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sertservices.sharepoint.com/sites/DataDrive/Shared Documents/"/>
    </mc:Choice>
  </mc:AlternateContent>
  <xr:revisionPtr revIDLastSave="5047" documentId="8_{ADE2A4D8-68C3-4AA6-AEDE-9070F0F0D482}" xr6:coauthVersionLast="47" xr6:coauthVersionMax="47" xr10:uidLastSave="{E53885B6-8EA6-4A2C-8EE8-F450380F56FB}"/>
  <bookViews>
    <workbookView xWindow="-120" yWindow="-120" windowWidth="29040" windowHeight="15720" activeTab="2" xr2:uid="{00000000-000D-0000-FFFF-FFFF00000000}"/>
  </bookViews>
  <sheets>
    <sheet name="Rental items" sheetId="1" r:id="rId1"/>
    <sheet name="Rental B &amp; V" sheetId="2" r:id="rId2"/>
    <sheet name="SWPPP #s" sheetId="3" r:id="rId3"/>
    <sheet name="CP Invoices 2024" sheetId="15" r:id="rId4"/>
    <sheet name="CP Invoices 2025" sheetId="16" r:id="rId5"/>
    <sheet name="Credit Memos" sheetId="5" r:id="rId6"/>
    <sheet name="Liberty Utilities Information" sheetId="14" r:id="rId7"/>
    <sheet name="Water Meter Pricing" sheetId="7" r:id="rId8"/>
    <sheet name="Goodyear Hydrant Meter Pricing" sheetId="17" r:id="rId9"/>
  </sheets>
  <calcPr calcId="191028"/>
  <customWorkbookViews>
    <customWorkbookView name="Jayson Roti - Personal View" guid="{6FE888E1-B358-42BC-B224-1A6E12FDD154}" mergeInterval="0" personalView="1" maximized="1" xWindow="1" yWindow="1" windowWidth="1916" windowHeight="975" activeSheetId="5"/>
    <customWorkbookView name="KWild - Personal View" guid="{B833ECD0-B2EA-4563-BF52-8F4997DD5865}" mergeInterval="0" personalView="1" maximized="1" xWindow="1" yWindow="1" windowWidth="1680" windowHeight="830" activeSheetId="4"/>
    <customWorkbookView name="TPlouffe - Personal View" guid="{3F8469A6-D7D6-40FE-961B-0F4DB49C065A}" mergeInterval="0" personalView="1" xWindow="1" yWindow="49" windowWidth="1668" windowHeight="739" activeSheetId="4"/>
    <customWorkbookView name="JaysonRoti - Personal View" guid="{5BED333D-6C00-4AE4-BC7B-E591817DA915}" mergeInterval="0" personalView="1" maximized="1" windowWidth="1916" windowHeight="994" activeSheetId="2"/>
    <customWorkbookView name="jeffschulz - Personal View" guid="{C1601B07-5C84-4A16-9026-E7B825653351}" mergeInterval="0" personalView="1" maximized="1" xWindow="1" yWindow="1" windowWidth="1680" windowHeight="830" activeSheetId="2"/>
    <customWorkbookView name="Lisa - Personal View" guid="{4B7AC47A-8FE8-4F16-A850-738E315D7F74}" mergeInterval="0" personalView="1" maximized="1" xWindow="1" yWindow="1" windowWidth="1680" windowHeight="830" activeSheetId="4"/>
    <customWorkbookView name="TBiggs - Personal View" guid="{9C4EF064-4EA9-4F2E-BE2A-2805AB91FC86}" mergeInterval="0" personalView="1" maximized="1" windowWidth="1676" windowHeight="884" activeSheetId="4"/>
    <customWorkbookView name="Jackie Lanning - Personal View" guid="{CF15F0F4-A054-4F72-8311-2AF52973F9B1}" mergeInterval="0" personalView="1" xWindow="7" yWindow="27" windowWidth="1668" windowHeight="354" activeSheetId="1"/>
    <customWorkbookView name="CPickering - Personal View" guid="{BCCF6C91-9E87-430E-A544-99B637592FD1}" mergeInterval="0" personalView="1" maximized="1" windowWidth="1676" windowHeight="870" activeSheetId="4"/>
    <customWorkbookView name="JackieLanning - Personal View" guid="{6BD53CE3-0046-44DE-9A85-072FE7129437}" mergeInterval="0" personalView="1" maximized="1" windowWidth="1596" windowHeight="968" activeSheetId="4"/>
    <customWorkbookView name="Administrator - Personal View" guid="{9C794C77-B249-42BF-B28C-65723B67646C}" mergeInterval="0" personalView="1" maximized="1" windowWidth="1916" windowHeight="1054" activeSheetId="4"/>
    <customWorkbookView name="trehberg - Personal View" guid="{F8FD3A8B-445F-4B14-ABDE-793E5AF5BEC0}" mergeInterval="0" personalView="1" maximized="1" xWindow="1" yWindow="1" windowWidth="1680" windowHeight="809" activeSheetId="4"/>
    <customWorkbookView name="MeganPioth - Personal View" guid="{E106F09D-D654-4D31-B0D1-1BD3AB286CD1}" mergeInterval="0" personalView="1" maximized="1" xWindow="1" yWindow="1" windowWidth="1680" windowHeight="809" activeSheetId="1"/>
    <customWorkbookView name="MLanning - Personal View" guid="{D1D059BB-9C44-438D-9A96-FE41C60BF431}" mergeInterval="0" personalView="1" maximized="1" xWindow="1" yWindow="1" windowWidth="1528" windowHeight="721" activeSheetId="4"/>
    <customWorkbookView name="JeffGardner - Personal View" guid="{61E1CF23-BD8D-49E2-9DC1-CA45E2FABE54}" mergeInterval="0" personalView="1" maximized="1" xWindow="1" yWindow="1" windowWidth="1600" windowHeight="679" activeSheetId="4"/>
    <customWorkbookView name="JLanning - Personal View" guid="{AEB051F6-B0CA-4117-9317-6B4705DAB9AC}" mergeInterval="0" personalView="1" maximized="1" windowWidth="1676" windowHeight="904" activeSheetId="4"/>
    <customWorkbookView name="  - Personal View" guid="{0461DA79-A79C-4DEB-8769-F97B764E69E8}" mergeInterval="0" personalView="1" maximized="1" windowWidth="1676" windowHeight="904" tabRatio="471" activeSheetId="4"/>
    <customWorkbookView name="Jschulz - Personal View" guid="{3A237827-5B6E-4817-B1C4-2B7124C81893}" mergeInterval="0" personalView="1" maximized="1" xWindow="1" yWindow="1" windowWidth="1676" windowHeight="830" activeSheetId="2"/>
    <customWorkbookView name="KendraAsh - Personal View" guid="{27819D09-F639-4E44-9C23-9CF52369D613}" mergeInterval="0" personalView="1" maximized="1" xWindow="1" yWindow="1" windowWidth="1680" windowHeight="830" activeSheetId="4"/>
    <customWorkbookView name="Mike Lanning - Personal View" guid="{E6E302D9-C5A5-43AB-853B-E6387C419824}" mergeInterval="0" personalView="1" xWindow="-1596" yWindow="29" windowWidth="3247" windowHeight="926" activeSheetId="4"/>
    <customWorkbookView name="Kendra Ash - Personal View" guid="{B8A8DD2B-571A-4307-9865-DA42A7D24AA5}" mergeInterval="0" personalView="1" maximized="1" xWindow="1" yWindow="1" windowWidth="1916" windowHeight="938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4" i="1" l="1"/>
  <c r="B20" i="7"/>
  <c r="B8" i="7"/>
  <c r="B11" i="7"/>
  <c r="D23" i="5" l="1"/>
  <c r="D127" i="5" s="1"/>
</calcChain>
</file>

<file path=xl/sharedStrings.xml><?xml version="1.0" encoding="utf-8"?>
<sst xmlns="http://schemas.openxmlformats.org/spreadsheetml/2006/main" count="12804" uniqueCount="7975">
  <si>
    <t>Job ID</t>
  </si>
  <si>
    <t>Name</t>
  </si>
  <si>
    <t xml:space="preserve">Location </t>
  </si>
  <si>
    <t>Memo</t>
  </si>
  <si>
    <t>Whats rented</t>
  </si>
  <si>
    <t>Comments</t>
  </si>
  <si>
    <t>Start Date</t>
  </si>
  <si>
    <t>Pick up date</t>
  </si>
  <si>
    <t xml:space="preserve">Next billing Date </t>
  </si>
  <si>
    <t>Mill Creek</t>
  </si>
  <si>
    <t>Modera Chandler</t>
  </si>
  <si>
    <t>2 meters</t>
  </si>
  <si>
    <t>just water billing</t>
  </si>
  <si>
    <t>Agate Construction</t>
  </si>
  <si>
    <t>Falco</t>
  </si>
  <si>
    <t>Temp Fence</t>
  </si>
  <si>
    <t>AR Mays</t>
  </si>
  <si>
    <t>Signature at San Tan</t>
  </si>
  <si>
    <t>Grates</t>
  </si>
  <si>
    <t>Wespac</t>
  </si>
  <si>
    <t>Gold Dust Apartments</t>
  </si>
  <si>
    <t>Grates 1.5 sets</t>
  </si>
  <si>
    <t>Mortenson Construction</t>
  </si>
  <si>
    <t>Sloan Park Womens Locker Room</t>
  </si>
  <si>
    <t>MTI- Mitchell</t>
  </si>
  <si>
    <t>14031 W Grand Ave, Surprise</t>
  </si>
  <si>
    <t>temp fence and backflow</t>
  </si>
  <si>
    <t>temp fence picked up 10-27-25</t>
  </si>
  <si>
    <t xml:space="preserve">Irwin Construction </t>
  </si>
  <si>
    <t>7901 E Frank Lloyd Wright</t>
  </si>
  <si>
    <t>Willmeng</t>
  </si>
  <si>
    <t>Papago Commerce Center</t>
  </si>
  <si>
    <t>Temp Fence &amp; Grates</t>
  </si>
  <si>
    <t>Greystar</t>
  </si>
  <si>
    <t>Peoria Place Lot 4</t>
  </si>
  <si>
    <t>HBI Construction</t>
  </si>
  <si>
    <t>Mesa AZ Public Storage</t>
  </si>
  <si>
    <t>McShane</t>
  </si>
  <si>
    <t>Waterview</t>
  </si>
  <si>
    <t>Thompson Thrift</t>
  </si>
  <si>
    <t>The Gilmore</t>
  </si>
  <si>
    <t>water donkey/hose</t>
  </si>
  <si>
    <t>814 Develoment, was Miller Watkins, LLC</t>
  </si>
  <si>
    <t>Miller Watkins</t>
  </si>
  <si>
    <t>temp fence</t>
  </si>
  <si>
    <t>Haydon</t>
  </si>
  <si>
    <t>USACE- AMSE</t>
  </si>
  <si>
    <t>LGE Design</t>
  </si>
  <si>
    <t>Gilbert Heritage</t>
  </si>
  <si>
    <t>no charge for grates</t>
  </si>
  <si>
    <t>Smart Choice</t>
  </si>
  <si>
    <t>11416 N 66th St</t>
  </si>
  <si>
    <t>Layton Construction</t>
  </si>
  <si>
    <t>CV Germann</t>
  </si>
  <si>
    <t>Grates x 2</t>
  </si>
  <si>
    <t>Reliance Commercial</t>
  </si>
  <si>
    <t>99 Holdings</t>
  </si>
  <si>
    <t>water crossing equipment</t>
  </si>
  <si>
    <t>Caldwell County BBQ</t>
  </si>
  <si>
    <t>Water meter, water donkey and hoses</t>
  </si>
  <si>
    <t>Petrie Construction</t>
  </si>
  <si>
    <t>1935 S Signal Butte Rd</t>
  </si>
  <si>
    <t xml:space="preserve">Verde Investments- Was Dickens </t>
  </si>
  <si>
    <t>Fiesta Mall Demo- Mesa</t>
  </si>
  <si>
    <t>8321 E Appaloosa</t>
  </si>
  <si>
    <t>Johansen Interiors</t>
  </si>
  <si>
    <t>Panda Goodyear</t>
  </si>
  <si>
    <t>Sektion Corp</t>
  </si>
  <si>
    <t>8435 E Aster Dr</t>
  </si>
  <si>
    <t>Armstrong-Five Star- F. Roberts</t>
  </si>
  <si>
    <t>Ritz</t>
  </si>
  <si>
    <t xml:space="preserve">5 Meter, 4 Backflow, 6 sets of grates </t>
  </si>
  <si>
    <t>1 backflow removed 7-1-24</t>
  </si>
  <si>
    <t>Bell Building</t>
  </si>
  <si>
    <t>940 W Moon Valley Dr</t>
  </si>
  <si>
    <t>Wood Partners</t>
  </si>
  <si>
    <t>Alta Dove Valley</t>
  </si>
  <si>
    <t>5/16/2024, 7-5-24</t>
  </si>
  <si>
    <t>Indicap</t>
  </si>
  <si>
    <t>Eastmark 50 mesa</t>
  </si>
  <si>
    <t>Temp fence</t>
  </si>
  <si>
    <t>Agate - Now Primak</t>
  </si>
  <si>
    <t>Falcon 12 Aviation</t>
  </si>
  <si>
    <t>Vequity</t>
  </si>
  <si>
    <t>7-Eleven #47406- Phoenix</t>
  </si>
  <si>
    <t>Maris Construction</t>
  </si>
  <si>
    <t>One Scottsdale Atavia</t>
  </si>
  <si>
    <t>Kleven</t>
  </si>
  <si>
    <t>3738 E Miami</t>
  </si>
  <si>
    <t>Backflow</t>
  </si>
  <si>
    <t>Brycon</t>
  </si>
  <si>
    <t>GDMS- Support Infrustrucure</t>
  </si>
  <si>
    <t>Reigel Construction</t>
  </si>
  <si>
    <t>6915 W Van Buren St</t>
  </si>
  <si>
    <t>City North Parcel C</t>
  </si>
  <si>
    <t>Temp Fence, grates</t>
  </si>
  <si>
    <t>Agate/Primak</t>
  </si>
  <si>
    <t>Falco Aluminum MFG Facility</t>
  </si>
  <si>
    <t>Lang, James</t>
  </si>
  <si>
    <t>24740 N 92nd St -  Scottsdale</t>
  </si>
  <si>
    <t>Holder, Was WW Clyde</t>
  </si>
  <si>
    <t>Stream Data Center</t>
  </si>
  <si>
    <t>water tower</t>
  </si>
  <si>
    <t>NGC Group</t>
  </si>
  <si>
    <t>Home 2 Suites</t>
  </si>
  <si>
    <t>RKDA</t>
  </si>
  <si>
    <t>4912 E Calle Del Norte</t>
  </si>
  <si>
    <t>3411 Builders</t>
  </si>
  <si>
    <t>Atlas Kierland</t>
  </si>
  <si>
    <t>Backflow, Grates</t>
  </si>
  <si>
    <t>KOA</t>
  </si>
  <si>
    <t>Paoli Residence</t>
  </si>
  <si>
    <t>Arcadia Custom Builders</t>
  </si>
  <si>
    <t>6014 E CAron Circle</t>
  </si>
  <si>
    <t>Whiting Turner  Company</t>
  </si>
  <si>
    <t>City North Hotel</t>
  </si>
  <si>
    <t>Backflow and water meter</t>
  </si>
  <si>
    <t xml:space="preserve"> </t>
  </si>
  <si>
    <t>Holder</t>
  </si>
  <si>
    <t>AMEX- Project Odyssey</t>
  </si>
  <si>
    <t>water meter, backflow</t>
  </si>
  <si>
    <t>Farmer Bros 22430 E Ocotillo</t>
  </si>
  <si>
    <t xml:space="preserve">Okland </t>
  </si>
  <si>
    <t>Project Hope</t>
  </si>
  <si>
    <t>Hamilton Builders</t>
  </si>
  <si>
    <t>7737 E Horizon Drive Carefree</t>
  </si>
  <si>
    <t>Mo 25 LLC, Was under Pickering Brad</t>
  </si>
  <si>
    <t>2501/2445 E VanBuren</t>
  </si>
  <si>
    <t>Smart Choice Construction</t>
  </si>
  <si>
    <t>13202 N 76th Place</t>
  </si>
  <si>
    <t>Christy &amp; Co</t>
  </si>
  <si>
    <t>Ignatian Residence</t>
  </si>
  <si>
    <t>8476 E Wethersfield Rd</t>
  </si>
  <si>
    <t>Garden Communities</t>
  </si>
  <si>
    <t>Garden at Desert Ridge</t>
  </si>
  <si>
    <t>Grates x 2, water meters, backflows,hoses, water donkeys</t>
  </si>
  <si>
    <t>removed water ramps and barricades 8-24-24, removed 1 set of grates 5-9-25</t>
  </si>
  <si>
    <t>Legacy North Scottsdale Apartments</t>
  </si>
  <si>
    <t>Chipotle- Anthem</t>
  </si>
  <si>
    <t>Sunstone Two Tree</t>
  </si>
  <si>
    <t>Villas on Baseline</t>
  </si>
  <si>
    <t>Chanen</t>
  </si>
  <si>
    <t>MWU SHVI</t>
  </si>
  <si>
    <t>Keystone Homes</t>
  </si>
  <si>
    <t>Taylor Lot</t>
  </si>
  <si>
    <t>Caliente</t>
  </si>
  <si>
    <t>MSA-HUB1-1</t>
  </si>
  <si>
    <t>Devco</t>
  </si>
  <si>
    <t>Jesse Owens Pkwy</t>
  </si>
  <si>
    <t>grates</t>
  </si>
  <si>
    <t>GCon</t>
  </si>
  <si>
    <t>Banner Casa Grande</t>
  </si>
  <si>
    <t>Pacificap</t>
  </si>
  <si>
    <t>215 Rooosevelt</t>
  </si>
  <si>
    <t>Marlowe Peoria Place Lot 1 &amp; 3</t>
  </si>
  <si>
    <t>FD Construction</t>
  </si>
  <si>
    <t>Arise North Phoenix</t>
  </si>
  <si>
    <t>Water meter, backflow- 2, temp fence- (2 backflows, 1 is rented to us by Greg)</t>
  </si>
  <si>
    <t>Student Housing Phase 6</t>
  </si>
  <si>
    <t>100 N 79th Street</t>
  </si>
  <si>
    <t>Habit Burger- 19980 S Ellsworth</t>
  </si>
  <si>
    <t>Clayco</t>
  </si>
  <si>
    <t>Lifetime Living</t>
  </si>
  <si>
    <t>CSI Construction</t>
  </si>
  <si>
    <t>Ironwood Ranch</t>
  </si>
  <si>
    <t>Track out grates</t>
  </si>
  <si>
    <t>Honor Health Shea Garage</t>
  </si>
  <si>
    <t>backflow</t>
  </si>
  <si>
    <t>Double AA Builders</t>
  </si>
  <si>
    <t>Glendale Self Storage</t>
  </si>
  <si>
    <t>WAter donkey and hose</t>
  </si>
  <si>
    <t>SDB</t>
  </si>
  <si>
    <t>NW Durango</t>
  </si>
  <si>
    <t>514 2nd St</t>
  </si>
  <si>
    <t>Wolff Construction</t>
  </si>
  <si>
    <t>501 N  Plaza Dr</t>
  </si>
  <si>
    <t>water ramps</t>
  </si>
  <si>
    <t>Westates</t>
  </si>
  <si>
    <t>Lofts at Superstition</t>
  </si>
  <si>
    <t>Avondale 1492 LLC- was Ryan Companies, was Street Lights</t>
  </si>
  <si>
    <t>73rd Infrasturcture/One Scottsdale</t>
  </si>
  <si>
    <t>Transferred from Ryan 11-1-25</t>
  </si>
  <si>
    <t>KOA Built</t>
  </si>
  <si>
    <t>14540 E Javalina Ct</t>
  </si>
  <si>
    <t>EMJ Construction</t>
  </si>
  <si>
    <t>Avondale Station</t>
  </si>
  <si>
    <t>Backflow, water donkey, hoses</t>
  </si>
  <si>
    <t>7-1-22 and 7-26-22</t>
  </si>
  <si>
    <t>1 on 9-13-22</t>
  </si>
  <si>
    <t>FCL</t>
  </si>
  <si>
    <t>Freeberg</t>
  </si>
  <si>
    <t>Path Construction</t>
  </si>
  <si>
    <t>Marriott- Studio Res Mesa</t>
  </si>
  <si>
    <t>Overland</t>
  </si>
  <si>
    <t>Avondale Commons</t>
  </si>
  <si>
    <t>Travis Custom Homes</t>
  </si>
  <si>
    <t>33094 N Northstar Circle</t>
  </si>
  <si>
    <t>Portico N Scottsdale</t>
  </si>
  <si>
    <t>Layton</t>
  </si>
  <si>
    <t>Nextwave</t>
  </si>
  <si>
    <t>4/1/2025, 6-24-25</t>
  </si>
  <si>
    <t>FCL Builders</t>
  </si>
  <si>
    <t>Grand Forty Five Gateway</t>
  </si>
  <si>
    <t>CBRE- was FCL Builders</t>
  </si>
  <si>
    <t>Brickyards</t>
  </si>
  <si>
    <t>WD Construction</t>
  </si>
  <si>
    <t>Arterra</t>
  </si>
  <si>
    <t>Grates x 6, temp fence, water tower</t>
  </si>
  <si>
    <t>Imagine General- Was Eleven Residential</t>
  </si>
  <si>
    <t>7 Bungalows</t>
  </si>
  <si>
    <t>Verge at Ballpark</t>
  </si>
  <si>
    <t>Desert Sky Apartments</t>
  </si>
  <si>
    <t>Land lease</t>
  </si>
  <si>
    <t>Sublease</t>
  </si>
  <si>
    <t>QC Founders Dog Park</t>
  </si>
  <si>
    <t>1st &amp; Farmers</t>
  </si>
  <si>
    <t>302 W 1st ST</t>
  </si>
  <si>
    <t>504 W 2nd St</t>
  </si>
  <si>
    <t>Orchard Springs</t>
  </si>
  <si>
    <t>CSI- was ZT 56th Street</t>
  </si>
  <si>
    <t>Mezzo</t>
  </si>
  <si>
    <t>Backflow/Meter</t>
  </si>
  <si>
    <t>41 North</t>
  </si>
  <si>
    <t>Heritage Square</t>
  </si>
  <si>
    <t>24699 S 186th Pl</t>
  </si>
  <si>
    <t>Sauers Lopez</t>
  </si>
  <si>
    <t>Avondale KIA</t>
  </si>
  <si>
    <t>Bleuwave</t>
  </si>
  <si>
    <t>AFCU Glendale</t>
  </si>
  <si>
    <t>Heritage Park</t>
  </si>
  <si>
    <t>Harris Associates</t>
  </si>
  <si>
    <t>10605 N Scottsdale, RD</t>
  </si>
  <si>
    <t>temp Fence</t>
  </si>
  <si>
    <t>6032 N Palo Cristi</t>
  </si>
  <si>
    <t>US Development</t>
  </si>
  <si>
    <t>4858 W Maryland Ave</t>
  </si>
  <si>
    <t>Starbucks 42590 W Maricopa</t>
  </si>
  <si>
    <t>CSI- was ZT</t>
  </si>
  <si>
    <t>Azola</t>
  </si>
  <si>
    <t>Backflow, grates</t>
  </si>
  <si>
    <t>3/21/2025, 8-11-25</t>
  </si>
  <si>
    <t>Keystone</t>
  </si>
  <si>
    <t>Casadia</t>
  </si>
  <si>
    <t>Zaxby's-9350 W Thomas Rd</t>
  </si>
  <si>
    <t>3150 W Lower Buckeye Rd</t>
  </si>
  <si>
    <t>tempf fence</t>
  </si>
  <si>
    <t>Sun Valley Landscape</t>
  </si>
  <si>
    <t>56th &amp; Mayo</t>
  </si>
  <si>
    <t xml:space="preserve">Layton </t>
  </si>
  <si>
    <t>QTS PHX3 DC1- was QTS- PHX3 DC14</t>
  </si>
  <si>
    <t>grates, backflow, water tower</t>
  </si>
  <si>
    <t>Kalb</t>
  </si>
  <si>
    <t>3785 S Val Vista</t>
  </si>
  <si>
    <t>Catamount</t>
  </si>
  <si>
    <t>Elanto at Queen Creek</t>
  </si>
  <si>
    <t>CKZ</t>
  </si>
  <si>
    <t>Dr. Goodman</t>
  </si>
  <si>
    <t>Agate now Primak</t>
  </si>
  <si>
    <t>Cunningham Project</t>
  </si>
  <si>
    <t>Swell Steel was Bleuwave</t>
  </si>
  <si>
    <t>Cannon Beach</t>
  </si>
  <si>
    <t>JLB</t>
  </si>
  <si>
    <t>64th &amp; Mayo</t>
  </si>
  <si>
    <t>Bayley</t>
  </si>
  <si>
    <t>25213 SHOPS H</t>
  </si>
  <si>
    <t>Combs</t>
  </si>
  <si>
    <t>City of Tempe Bike lanes</t>
  </si>
  <si>
    <t>LGE</t>
  </si>
  <si>
    <t>1400 W 3rd St</t>
  </si>
  <si>
    <t>Princess &amp; Loop 101</t>
  </si>
  <si>
    <t>Grates- no charge</t>
  </si>
  <si>
    <t>Headley, Rob</t>
  </si>
  <si>
    <t>4314 E Glenrosa Phoenix, AZ 85018</t>
  </si>
  <si>
    <t>10402 E Charter Oak</t>
  </si>
  <si>
    <t>On Site Builders</t>
  </si>
  <si>
    <t>CHICK-FIL-A PEORIA #5729</t>
  </si>
  <si>
    <t>4301 W Bell Rd</t>
  </si>
  <si>
    <t>Verde Building</t>
  </si>
  <si>
    <t>Roosevelt Cottages</t>
  </si>
  <si>
    <t>Renaissance</t>
  </si>
  <si>
    <t>Peterson &amp; Ellsworth</t>
  </si>
  <si>
    <t>5th &amp; Goldwater</t>
  </si>
  <si>
    <t>ONeAZ Peoria</t>
  </si>
  <si>
    <t xml:space="preserve">Radius </t>
  </si>
  <si>
    <t>39769 N 106th Pl</t>
  </si>
  <si>
    <t xml:space="preserve"> HFHEC</t>
  </si>
  <si>
    <t>Christofferson</t>
  </si>
  <si>
    <t>Rudys Country Store</t>
  </si>
  <si>
    <t>Picked up 3-5-12</t>
  </si>
  <si>
    <t>243/month</t>
  </si>
  <si>
    <t>Billed to 3-11-12</t>
  </si>
  <si>
    <t>M.A. Carlson</t>
  </si>
  <si>
    <t>Coulter Nissan</t>
  </si>
  <si>
    <t>Delivered 1-19-12, picking  up 3-12-12</t>
  </si>
  <si>
    <t>Billed to 3-13-12</t>
  </si>
  <si>
    <t>NDCCM</t>
  </si>
  <si>
    <t>Pima Inn</t>
  </si>
  <si>
    <t>Delivered 1-10-12- Picked up 3-9-12</t>
  </si>
  <si>
    <t>Billed to 3-10-12</t>
  </si>
  <si>
    <t>Active</t>
  </si>
  <si>
    <t>S.D Crane</t>
  </si>
  <si>
    <t>Phoenix College (12th Ave &amp; Thomas</t>
  </si>
  <si>
    <t>Delivery Date 12-20-11, picked up 3-1-12</t>
  </si>
  <si>
    <t>Installed 30 panels 10-12-20-11 and added 8 more panels 2-1-12</t>
  </si>
  <si>
    <t>$396 install, Monthly service charge $100.00- with additional fence added 2-1-12</t>
  </si>
  <si>
    <t>Billed to 3-20-12</t>
  </si>
  <si>
    <t xml:space="preserve">67th Avenue &amp; Buckeye </t>
  </si>
  <si>
    <t>Delivery Date 5/18/2011- Picked up 11-11-11</t>
  </si>
  <si>
    <t>Monthly $2551.57</t>
  </si>
  <si>
    <t>Billed to 1-1-12</t>
  </si>
  <si>
    <t>Baseline &amp; Recker</t>
  </si>
  <si>
    <t>Delivery Date 8-7-2011, picked up 2-6-12</t>
  </si>
  <si>
    <t>Billed to 2-29-12</t>
  </si>
  <si>
    <t>Price &amp; Willis (1333 S Spectrum) League of innovations)</t>
  </si>
  <si>
    <t>Install Date 12-21-11, Picked up 2-9-12</t>
  </si>
  <si>
    <t>$50 per month rental</t>
  </si>
  <si>
    <t>Billed to 2-21-12</t>
  </si>
  <si>
    <t>Homes &amp; Sons</t>
  </si>
  <si>
    <t>2250 East Thomas  Quiktrip #1408</t>
  </si>
  <si>
    <t>Delivery Date 9-8-11</t>
  </si>
  <si>
    <t>80 panels, removed all but 8 panels on 2-9-12, removed final 8 panels on 3-27-12</t>
  </si>
  <si>
    <t>Billed to 4-8-12</t>
  </si>
  <si>
    <t>Core Construction</t>
  </si>
  <si>
    <t>PV Elementary #32</t>
  </si>
  <si>
    <t>Picked up 3-28-12</t>
  </si>
  <si>
    <t>No Charge on  grates for this entrance</t>
  </si>
  <si>
    <t>8/19/2011, picked up 3-28-12</t>
  </si>
  <si>
    <t>Sarto Pools</t>
  </si>
  <si>
    <t>12837 N Sunridge Dr</t>
  </si>
  <si>
    <t>Install Date 12-5-11, 10 panels, picked up 4-24-12</t>
  </si>
  <si>
    <t>$75min</t>
  </si>
  <si>
    <t xml:space="preserve">160.00 per Jayson all inclusive price for one month </t>
  </si>
  <si>
    <t>Billed to 5-5-12</t>
  </si>
  <si>
    <t>Tennan Construction</t>
  </si>
  <si>
    <t>6310 N 47th Place</t>
  </si>
  <si>
    <r>
      <t>Delivery Date 5-13-2011 Install approx 200 lf of temp fence</t>
    </r>
    <r>
      <rPr>
        <sz val="8"/>
        <color rgb="FFFF0000"/>
        <rFont val="Tahoma"/>
        <family val="2"/>
      </rPr>
      <t xml:space="preserve"> (picked up 4-23-12)</t>
    </r>
  </si>
  <si>
    <t>Fence</t>
  </si>
  <si>
    <t>Credit Card Pmt</t>
  </si>
  <si>
    <t>$250-Install &amp; $50 monthly rental;</t>
  </si>
  <si>
    <t>Billed to 4/1/2012</t>
  </si>
  <si>
    <t>Picked up 4-24-12</t>
  </si>
  <si>
    <t>Billed to 5-1-12</t>
  </si>
  <si>
    <t>Stephan Mackos</t>
  </si>
  <si>
    <t>8702 E Cactus Wren</t>
  </si>
  <si>
    <t>Delivery Date 5-21-2010, Removed 16 Panels on 1-4-12, 10 panels still on site.  All Fence Picked up 5-23-12</t>
  </si>
  <si>
    <t xml:space="preserve">$75 Per Month  and 312 Install </t>
  </si>
  <si>
    <t>Billed to 5/1/2012</t>
  </si>
  <si>
    <t>Hardison Downey</t>
  </si>
  <si>
    <t>ACC Vilas @ Vista Del Sol</t>
  </si>
  <si>
    <t>Delivery Date 2-3-12- Called for Pick up 4-10-12, picked up on 4-13-12- Delivered again on 4-25-12, picked up May 31st.</t>
  </si>
  <si>
    <t>$225/monthly, $100/delivery, $.98/gal pump off</t>
  </si>
  <si>
    <t>Billed to 5-25-12</t>
  </si>
  <si>
    <t>Howard Wright</t>
  </si>
  <si>
    <t>Park Riverside (5501 W Lower  Buckeye)</t>
  </si>
  <si>
    <t>Delivered 3-15-12, Picked up 5-30-12</t>
  </si>
  <si>
    <t>Billed to 6-15-12</t>
  </si>
  <si>
    <t>Vector</t>
  </si>
  <si>
    <t>Legacy Charter School 7900 S 43rd. Ave</t>
  </si>
  <si>
    <t>Installed 2-21-12, picked up 6-14-12</t>
  </si>
  <si>
    <t>350/month</t>
  </si>
  <si>
    <t>Billed thru 6-14-12</t>
  </si>
  <si>
    <t>Sheanny and Ironwood</t>
  </si>
  <si>
    <t>Delivery 8-13-2011, Picked up 6-19-12</t>
  </si>
  <si>
    <t>Installed 2 fence panels</t>
  </si>
  <si>
    <t>$50 per month</t>
  </si>
  <si>
    <t>Billed to 6-1-12</t>
  </si>
  <si>
    <t>St. George School</t>
  </si>
  <si>
    <t>12 panels delivered 2-20-12, removed fence on 7-6-12</t>
  </si>
  <si>
    <t>Billed to 7-20-12</t>
  </si>
  <si>
    <t>Oro Valley</t>
  </si>
  <si>
    <t>Installed 5-4-12, Removed 7-19-12</t>
  </si>
  <si>
    <t>Billed to 8-4-12</t>
  </si>
  <si>
    <t>Colley Constuction</t>
  </si>
  <si>
    <t>MGC Warehouse Building</t>
  </si>
  <si>
    <t>Installed track out grates 4-12-12</t>
  </si>
  <si>
    <t>Billed to 7-12-12</t>
  </si>
  <si>
    <t>BC Studio</t>
  </si>
  <si>
    <t>13100 Sunridge Drive Fountain Hills</t>
  </si>
  <si>
    <t>Installed 360 lf of temp fence 6-26-12, picked up 7-25-12</t>
  </si>
  <si>
    <t>Billed to 7-26-12</t>
  </si>
  <si>
    <t>S.D. Crane</t>
  </si>
  <si>
    <t>Brimhall School (Southern &amp; Higley)</t>
  </si>
  <si>
    <t>Delivered 10 fence panels 7-17-12 picked up 8-6-12</t>
  </si>
  <si>
    <t>Billed thru 8-17-12</t>
  </si>
  <si>
    <t>NRP</t>
  </si>
  <si>
    <t>Madison Point</t>
  </si>
  <si>
    <t>Installed 1-12-12, picked up 8-3-12</t>
  </si>
  <si>
    <t>Billed thru 8-12-12</t>
  </si>
  <si>
    <t>ASU</t>
  </si>
  <si>
    <t>Delivered 1-10-12</t>
  </si>
  <si>
    <t>Billed to 6-12-12</t>
  </si>
  <si>
    <t>Hayward Builders</t>
  </si>
  <si>
    <t>QuikTrip Store 1401</t>
  </si>
  <si>
    <t>Delivered 2-27-12, Picked up 8-21-12</t>
  </si>
  <si>
    <t>Billed Thru 7-27-12</t>
  </si>
  <si>
    <t>Park Place PL Phs 1B- Bldg 6</t>
  </si>
  <si>
    <t>Installed 1-31-12, picked up 8-13-12</t>
  </si>
  <si>
    <t>Billed thru 8-13-12</t>
  </si>
  <si>
    <t>Billed thru 8-14-12</t>
  </si>
  <si>
    <t>10027 S 51st Ave</t>
  </si>
  <si>
    <t>6-4-12- 10 panels with privacy Screen, picked up 9-4-12</t>
  </si>
  <si>
    <t>75/monthly</t>
  </si>
  <si>
    <t>Billed thru 9-4-12</t>
  </si>
  <si>
    <t>Kennedy Design Build</t>
  </si>
  <si>
    <t>Discovery Business Campus</t>
  </si>
  <si>
    <t>Delivered 2-27-12, picked up 8-29-12</t>
  </si>
  <si>
    <t>Billed thru 8-27-12</t>
  </si>
  <si>
    <t>Calgon Carbon</t>
  </si>
  <si>
    <t>GAC</t>
  </si>
  <si>
    <t>Installed 8-21-12, picked up 9-7-12</t>
  </si>
  <si>
    <t>450/month</t>
  </si>
  <si>
    <t>Billed to 9-21-12</t>
  </si>
  <si>
    <t>Schaefer</t>
  </si>
  <si>
    <t>1136 S Greenfeild</t>
  </si>
  <si>
    <t>Installed 700LF or temp fence on stands, picked up 8-15-12</t>
  </si>
  <si>
    <t>Billed thru 8-6-12</t>
  </si>
  <si>
    <t xml:space="preserve">Kitchell </t>
  </si>
  <si>
    <t>4001 Canyon Court</t>
  </si>
  <si>
    <t>Installed 7 panels 2-2-12, picked up 9-13-12</t>
  </si>
  <si>
    <t>PICKED UP 9-13-12</t>
  </si>
  <si>
    <t>Billed thru 9-13-12</t>
  </si>
  <si>
    <t>7340 S Kyrene</t>
  </si>
  <si>
    <t>2 panels with privacy screen 7-30-12- Picked up on 10-12-12</t>
  </si>
  <si>
    <t>75/Monthly</t>
  </si>
  <si>
    <t>Billed thru 10-31-12</t>
  </si>
  <si>
    <t>Encanto Point</t>
  </si>
  <si>
    <t>Delivered 3-2-12, picked up 10-17-12</t>
  </si>
  <si>
    <t>Billed to 11-2-12</t>
  </si>
  <si>
    <t>Concord</t>
  </si>
  <si>
    <t>Rock Point Church</t>
  </si>
  <si>
    <t>Delivered Grates 1-19-12, Picked up 10-24-12</t>
  </si>
  <si>
    <t>$250/month</t>
  </si>
  <si>
    <t>Billed to 11-19-12</t>
  </si>
  <si>
    <t>Okanogan Trail Construction</t>
  </si>
  <si>
    <t>124 St N of Shea</t>
  </si>
  <si>
    <t>Installed 60x60 yard with privacy screen and sand bags 6-20-12, picked up 10-23-12</t>
  </si>
  <si>
    <t>Billed thru 10-21-12</t>
  </si>
  <si>
    <t>Schaefer Construction</t>
  </si>
  <si>
    <t>1201 E Glendale</t>
  </si>
  <si>
    <t>Installed 26 panels 8-31-12, picked up 10-26-12</t>
  </si>
  <si>
    <t>Billed thru 10-30-12</t>
  </si>
  <si>
    <t>I-10 and University</t>
  </si>
  <si>
    <t>Installed 3-5-12, picked up 10-29-12</t>
  </si>
  <si>
    <t>$350/month</t>
  </si>
  <si>
    <t>Billed thru 11-5-12</t>
  </si>
  <si>
    <t>Installed 2-24-12, picked up 10-23-12</t>
  </si>
  <si>
    <t>All inclusive pricing</t>
  </si>
  <si>
    <t>Billed thru 12-24-12</t>
  </si>
  <si>
    <t>6201 E Quartz</t>
  </si>
  <si>
    <t>Delivery Date 8-14 and 15-2011  (We installed 504LF and 132LF of Privacy screening)</t>
  </si>
  <si>
    <t>$95 per month and $504 install, 42 panels</t>
  </si>
  <si>
    <t>Billed to 11-1-12</t>
  </si>
  <si>
    <t>Help Way (1445 S Spectrum)</t>
  </si>
  <si>
    <t>Installed 168 LF of temp fence on stands 6-26-12, picking up 11-12-12</t>
  </si>
  <si>
    <t>$75/Month</t>
  </si>
  <si>
    <t>Billed thru 11-12-12</t>
  </si>
  <si>
    <t>MJ Manone</t>
  </si>
  <si>
    <t>27501 N Lake Pleasant Parkway</t>
  </si>
  <si>
    <t>Delivered 5-29-12, picked up 11-17-12</t>
  </si>
  <si>
    <t>Billed to 11-29-12</t>
  </si>
  <si>
    <t>12629 N Paradise Village</t>
  </si>
  <si>
    <t>Installed 9-27-12- 6 Panels, pulled all fence 11-29-12</t>
  </si>
  <si>
    <t>Billed thru 11-27-12</t>
  </si>
  <si>
    <t>Installed 4-11-12</t>
  </si>
  <si>
    <t>2 1/2" hose</t>
  </si>
  <si>
    <t>$50/month</t>
  </si>
  <si>
    <t>Billed thru 12-11-12</t>
  </si>
  <si>
    <t>JE Dunn</t>
  </si>
  <si>
    <t>Saddle Mountain</t>
  </si>
  <si>
    <t>Installed 6-14-12</t>
  </si>
  <si>
    <t>Billed thru 11-14-12</t>
  </si>
  <si>
    <t>Holy Cross</t>
  </si>
  <si>
    <t>Installed 5-11-12- picked up 12-12-12</t>
  </si>
  <si>
    <t>Billed thru 12-12-12</t>
  </si>
  <si>
    <t>Installed 4-12-12 (153 panels)(added 8 Panels 5-22-12)/ 38 panels. 30 stands. Still at Colley Construction as of 11-15-12- Picked up 12-14-12</t>
  </si>
  <si>
    <t>Billed to 11-20-12</t>
  </si>
  <si>
    <t>AW Contracting</t>
  </si>
  <si>
    <t>Chandler Heights &amp; Kenworthy</t>
  </si>
  <si>
    <t>Installed 11-12-12, picked up 12-28-12</t>
  </si>
  <si>
    <t>$364/Month</t>
  </si>
  <si>
    <t>Billed to 12-12-12</t>
  </si>
  <si>
    <t>D&amp;O</t>
  </si>
  <si>
    <t>61st Ave &amp; Sherman</t>
  </si>
  <si>
    <t>Delivered 11-16-12, picked up 12-28-12</t>
  </si>
  <si>
    <t>Water Crossing</t>
  </si>
  <si>
    <t>$325/Month</t>
  </si>
  <si>
    <t>Billed to 12-28-12</t>
  </si>
  <si>
    <t>Roche Construction</t>
  </si>
  <si>
    <t>Walmart Marana</t>
  </si>
  <si>
    <t>Installed 8-13-12- 4 grates</t>
  </si>
  <si>
    <t>Picked up 1-13-13</t>
  </si>
  <si>
    <t>Billed thru 1-13-13</t>
  </si>
  <si>
    <t>5440 W. Parkview Ln</t>
  </si>
  <si>
    <t>Picked up 1-16-13</t>
  </si>
  <si>
    <t>Billed thru 2-3-13</t>
  </si>
  <si>
    <t>E.D. Smith Paving</t>
  </si>
  <si>
    <t>Irma Ln</t>
  </si>
  <si>
    <t>Delivered 1-2-13, picked up 1-11-13</t>
  </si>
  <si>
    <t>Water Ramp</t>
  </si>
  <si>
    <t>Billed to 2-2-13</t>
  </si>
  <si>
    <t>Gcon</t>
  </si>
  <si>
    <t>16th St &amp; Cocopah</t>
  </si>
  <si>
    <t>Delivered 1-2-13, picked up 1-23-13</t>
  </si>
  <si>
    <t>2219 E Camelback (Anchor Center)</t>
  </si>
  <si>
    <t>Installed 9-7-12/ Picked up 1-24-13</t>
  </si>
  <si>
    <t>Billed to 2-7-13</t>
  </si>
  <si>
    <t>Kitchell-Perez</t>
  </si>
  <si>
    <t>Botanical Garden</t>
  </si>
  <si>
    <t>Installed 2 panels and 4 stands for gate on 7-13-12, delivered 7 more fence panels, poles and stands on 9-26-12.  Picked up 1-30-13</t>
  </si>
  <si>
    <t>Billed thru 1-26-13</t>
  </si>
  <si>
    <t>2225 S 43rd Ave</t>
  </si>
  <si>
    <t>Picked up 2-4-13</t>
  </si>
  <si>
    <t>Billed thru 2-4-13</t>
  </si>
  <si>
    <t>619 N 7th Ave</t>
  </si>
  <si>
    <t>20 Panels- 9-26-12</t>
  </si>
  <si>
    <t>Picked up 2-1-13</t>
  </si>
  <si>
    <t>Installed 9-7-12, picked up 2-7-13</t>
  </si>
  <si>
    <t>4 Curb Ramps</t>
  </si>
  <si>
    <t>Heart &amp; Rythem</t>
  </si>
  <si>
    <t>Delivered 3 fence panels 12-11-12, picked up 2-15-13</t>
  </si>
  <si>
    <t>75/month</t>
  </si>
  <si>
    <t>Billed thru 2-11-13</t>
  </si>
  <si>
    <t>QuikTrip Store 492</t>
  </si>
  <si>
    <t>Delivered 7-26-12, picked up 2-5-13</t>
  </si>
  <si>
    <t>Billed thru 2-5-13</t>
  </si>
  <si>
    <t>Cavalia</t>
  </si>
  <si>
    <t>Installed 12-31-12</t>
  </si>
  <si>
    <t>2 Electric Heaters</t>
  </si>
  <si>
    <t>$7767.63/week</t>
  </si>
  <si>
    <t>Billed to 1-6-13</t>
  </si>
  <si>
    <t xml:space="preserve">Christofferson </t>
  </si>
  <si>
    <t>Z'Tejas</t>
  </si>
  <si>
    <t>Installed 11-7-12, picked up 3-11-13</t>
  </si>
  <si>
    <t>Trench Shore Rentals</t>
  </si>
  <si>
    <t>Billed to 3-11-13</t>
  </si>
  <si>
    <t>Spencer Manzano</t>
  </si>
  <si>
    <t>Hooters Metrocenter</t>
  </si>
  <si>
    <t>Installed 684LF , 57 Panels, 56 stands, and poles.  Picked up 3-6-13</t>
  </si>
  <si>
    <t>All inclusive pricing thru 2-28-13</t>
  </si>
  <si>
    <t>Billed thru 3-6-13</t>
  </si>
  <si>
    <t>7th Ave &amp; Filmore</t>
  </si>
  <si>
    <t>Temp fence installed 8-17-12 (17 panels)</t>
  </si>
  <si>
    <t>Billed thru 2-17-13</t>
  </si>
  <si>
    <t>55th Ave &amp; Lower Buckeye</t>
  </si>
  <si>
    <t>Delivered 10-11-12, picked up 3-18-13</t>
  </si>
  <si>
    <t>$500/Month</t>
  </si>
  <si>
    <t>Billed to 3-18-13</t>
  </si>
  <si>
    <t>Straightline Builders</t>
  </si>
  <si>
    <t>Walmart 3143</t>
  </si>
  <si>
    <t>Picked up 3-26-13</t>
  </si>
  <si>
    <t>Grates- Trench Shore Rentals</t>
  </si>
  <si>
    <t>Billed to 3-26-13</t>
  </si>
  <si>
    <t>Cotton Center</t>
  </si>
  <si>
    <t>Installed 8-14-12, picked up 3-29-13</t>
  </si>
  <si>
    <t>Billed thru 4-14-13</t>
  </si>
  <si>
    <t>.</t>
  </si>
  <si>
    <t>Installed 9-13-12, picked up 4-2-13</t>
  </si>
  <si>
    <t>Backflow, hoses and water donkey</t>
  </si>
  <si>
    <t>Billed thru 4-13-13</t>
  </si>
  <si>
    <t>Installed 9-10-12, added 200 LF of hose on 11-1-12, picked up 3-28-13</t>
  </si>
  <si>
    <t>Billed to 3-28-13</t>
  </si>
  <si>
    <t>Mclaughlin &amp; Sons</t>
  </si>
  <si>
    <t>3508 N Kala Rama</t>
  </si>
  <si>
    <t>Delivered 14 panel 2-9-12, picked up 12 on 11-14-12, picked up last 2 panels on 4-2-13</t>
  </si>
  <si>
    <t>14 panels</t>
  </si>
  <si>
    <t>Billed to 4-9-13</t>
  </si>
  <si>
    <t>Alexander</t>
  </si>
  <si>
    <t>Scottsdale &amp; Chauncey</t>
  </si>
  <si>
    <t>Installed 8-28-12, picked up 4-5-13</t>
  </si>
  <si>
    <t>Billed to 4-5-13</t>
  </si>
  <si>
    <t>MHM</t>
  </si>
  <si>
    <t>Fredricks</t>
  </si>
  <si>
    <t>Additional fence installed 2-18-13, 732 LF, Picked up 3-25-13</t>
  </si>
  <si>
    <t>Billed to 3-25-13</t>
  </si>
  <si>
    <t>Installed 10-9-12</t>
  </si>
  <si>
    <t>3 Curb Ramps, transferred to Johnson Carlier for billing</t>
  </si>
  <si>
    <t>$175/month</t>
  </si>
  <si>
    <t>All Inclusive fence 1572, installed 1-23-13, removed all fence on 4-12-13</t>
  </si>
  <si>
    <t>Billed to 4-23-13</t>
  </si>
  <si>
    <t>Perini</t>
  </si>
  <si>
    <t>Vee Quiva</t>
  </si>
  <si>
    <t>Installed 6-19-12, picked up 4-17-13</t>
  </si>
  <si>
    <t>Billed thru 5-19-13</t>
  </si>
  <si>
    <t>Removal of 3  Panels</t>
  </si>
  <si>
    <t>998 W Washington -SRP</t>
  </si>
  <si>
    <t>Installed 2-25-13, picked up 4-23-13</t>
  </si>
  <si>
    <t>Billed thru 4-25-13</t>
  </si>
  <si>
    <t>Iron  Clad Construction</t>
  </si>
  <si>
    <t>5519 E Calle De Norte</t>
  </si>
  <si>
    <t>Temp fence 11 Panels, Called for us to pick up on 5-22-13</t>
  </si>
  <si>
    <t>Billed thru 5-22-13</t>
  </si>
  <si>
    <t>Delivered 11-13-12, Picked up 5-20-13</t>
  </si>
  <si>
    <t>Billed to 5-13-13</t>
  </si>
  <si>
    <t>Kitchell</t>
  </si>
  <si>
    <t>6314 E Catesby</t>
  </si>
  <si>
    <t>204 LF of temp fence, piked up 5-31-13</t>
  </si>
  <si>
    <t>Billed thru 5-30-2013</t>
  </si>
  <si>
    <t xml:space="preserve">245 N Centenial Way Mesa, AZ </t>
  </si>
  <si>
    <t>120 LF, picked up 5-31-13</t>
  </si>
  <si>
    <t>Billed thru 6-9-13</t>
  </si>
  <si>
    <t>Price &amp; Willis Bldg #5</t>
  </si>
  <si>
    <t>Installed 2-9-12, picked up 5-29-13</t>
  </si>
  <si>
    <t>Water Tank</t>
  </si>
  <si>
    <t>Not on contract</t>
  </si>
  <si>
    <t>Billed thru 5-29-13</t>
  </si>
  <si>
    <t>Installed 50 panels for staging yard 7-20-12, picked up 5-28-13</t>
  </si>
  <si>
    <t>Billed thru 5-20-13</t>
  </si>
  <si>
    <t>Park Place PL Phs 1B- Bldg 6, now 5</t>
  </si>
  <si>
    <t>Installed 1-31-12, 244 panels, added 1 more panel on 2-27-12 (245 panels), added 5 more panels 5-23-12, all picked up by 5-28-13</t>
  </si>
  <si>
    <t>642.00/month starting December 2012</t>
  </si>
  <si>
    <t>Billed thru 5-30-13</t>
  </si>
  <si>
    <t>4600 E Washington (Cox Media)</t>
  </si>
  <si>
    <t>Installed 6 panels on stands with privacy screen, picked up 6-14-13</t>
  </si>
  <si>
    <t>Billed thru 6-10-13</t>
  </si>
  <si>
    <t>Septon Development</t>
  </si>
  <si>
    <t>4700 E Warner Road Phoenix</t>
  </si>
  <si>
    <t>Installed 5-22-13, picked up 6-8-13</t>
  </si>
  <si>
    <t>Track out grates 7-18-12, picked up 6-4-13</t>
  </si>
  <si>
    <t>Contract</t>
  </si>
  <si>
    <t xml:space="preserve">Montezuma Paving </t>
  </si>
  <si>
    <t>Job #712</t>
  </si>
  <si>
    <t>Water Ramp 20', picked up 6-19-13</t>
  </si>
  <si>
    <t>Billed thru 6-22-13</t>
  </si>
  <si>
    <t>Construction Enterprises</t>
  </si>
  <si>
    <t>The district on Apache</t>
  </si>
  <si>
    <t>Delivered 5-30-12, Picked up 7-1-13</t>
  </si>
  <si>
    <t>Billed to 6-30-13</t>
  </si>
  <si>
    <t>Delivered 7-23-12, Picked up 7-1-13</t>
  </si>
  <si>
    <t>Colley</t>
  </si>
  <si>
    <t>AZBTBank</t>
  </si>
  <si>
    <t>Installed 1-2-13 (Construction Yard), Picked up 6-28-13</t>
  </si>
  <si>
    <t>$60/month</t>
  </si>
  <si>
    <t>Billed to 7-2-13</t>
  </si>
  <si>
    <t>Installed 1-2-13, picked up 6-28-13</t>
  </si>
  <si>
    <t>168/month</t>
  </si>
  <si>
    <t>Hunter</t>
  </si>
  <si>
    <t>1194 N 83rd Ave</t>
  </si>
  <si>
    <t>Temp fence installed by Suzies 10-18-12, picked up all but 4 panels on 4-3-13, picked up remaining 5-24-13</t>
  </si>
  <si>
    <t>Temp Fence- Suzies</t>
  </si>
  <si>
    <t>Billed thru 6-18-13</t>
  </si>
  <si>
    <t>Installed 2-23-13</t>
  </si>
  <si>
    <t>Water Meter</t>
  </si>
  <si>
    <t>Billed thru 5-23-13</t>
  </si>
  <si>
    <t>Mayo Bldg 2 Casita 3</t>
  </si>
  <si>
    <t>Delivered 10-23-12, picked up 7-21-13</t>
  </si>
  <si>
    <t>500/month</t>
  </si>
  <si>
    <t>Billed thru 7-23-13</t>
  </si>
  <si>
    <t>Mary Lyn Hammer is taking over 7-10-13. Lustig Company is taking this over as of 4-22-2013 (old contractor Iron Clad Construction)</t>
  </si>
  <si>
    <t>5240 E Calle Ventura</t>
  </si>
  <si>
    <t>Installed 120LF on 2-14-13 picked up 7-15-13</t>
  </si>
  <si>
    <t>$100/month</t>
  </si>
  <si>
    <t>Billed thru 7-14-13</t>
  </si>
  <si>
    <t>2 paint totes delivered, one missing on 6-13-13</t>
  </si>
  <si>
    <t>1 Paint Tote</t>
  </si>
  <si>
    <t>4 Drywell Totes Delivered.3 picked up on 6-13-13</t>
  </si>
  <si>
    <t>1Drywell Totes</t>
  </si>
  <si>
    <t>Billed thru 7-13-13</t>
  </si>
  <si>
    <t>ED West</t>
  </si>
  <si>
    <t>8419 E Cortez</t>
  </si>
  <si>
    <t>two panels and poles delivered 11-12-12, added 14 panels, 5 poles and 13 stands on 11-30-12, delivered 4 stands on 5-16-13, picked up 13 panels on 6-26-13, picked up 7-26-13</t>
  </si>
  <si>
    <t>Billed to 8-12-13</t>
  </si>
  <si>
    <t>Johnson Carlier</t>
  </si>
  <si>
    <t>Transferred billing from Alexander to them on 4-9-13, Picker up 8-20-13</t>
  </si>
  <si>
    <t>3 Curb Ramps</t>
  </si>
  <si>
    <t>Billed to 9-9-13</t>
  </si>
  <si>
    <t xml:space="preserve">Pecos and Pennington (Dobson &amp; Arrowhead) </t>
  </si>
  <si>
    <t>Installed 5-7-13, picked up by Jim, no idea when</t>
  </si>
  <si>
    <t>501.00/Month</t>
  </si>
  <si>
    <t>Billed to 9-7-13</t>
  </si>
  <si>
    <t>RJM</t>
  </si>
  <si>
    <t>Queen Creek Communiversity</t>
  </si>
  <si>
    <t>Installed 1-24-13, picked up 7-31-13</t>
  </si>
  <si>
    <t>Water Buffalo</t>
  </si>
  <si>
    <t>Billed thru 7-31-13</t>
  </si>
  <si>
    <t>AUI</t>
  </si>
  <si>
    <t>Tempe Pipe Bursting</t>
  </si>
  <si>
    <t>Delivered 120LF temp fence on 5-20-13, 48 LF delivered on 6-6-13, 96 LF on 6-18-13, 48 LF on 6-24-13, 72LF on 7-5-13, 96LF on 7-17-13 and 96LF on 7-19-13 total of 50 panels.  8-2-13 AUI returned 19 panels.</t>
  </si>
  <si>
    <t>All was returned to the yard by 8-21-13</t>
  </si>
  <si>
    <t>Billed to 8-20-13</t>
  </si>
  <si>
    <t>1326 South Alma School</t>
  </si>
  <si>
    <t>(46 Panels, 37 Poles, and 1 stand)</t>
  </si>
  <si>
    <t>Picked up 9-20-13</t>
  </si>
  <si>
    <t>Billed thru 9-26-13</t>
  </si>
  <si>
    <t>Core</t>
  </si>
  <si>
    <t>Kingswood Elementary</t>
  </si>
  <si>
    <t>2 curb ramps, picked up 10-1-13</t>
  </si>
  <si>
    <t>Billed to 10-30-13</t>
  </si>
  <si>
    <t>Nextgen</t>
  </si>
  <si>
    <t>18250 N 25th Ave</t>
  </si>
  <si>
    <t>Backflow and meter installed 2-11-13, Removed 10-21-13</t>
  </si>
  <si>
    <t>Backflow and meter</t>
  </si>
  <si>
    <t>Billed thru 10-21-13</t>
  </si>
  <si>
    <t>459 N Gilbert Rd</t>
  </si>
  <si>
    <t>30 Temp Fence panels, added 11 panels on 9-17-13, Picked up 10-29-13</t>
  </si>
  <si>
    <t>Billed thru 11-11-13</t>
  </si>
  <si>
    <t>Commerce Park (24th St &amp; Riverbottom)</t>
  </si>
  <si>
    <t xml:space="preserve">Backflow   </t>
  </si>
  <si>
    <t>Picked up 11-15-13</t>
  </si>
  <si>
    <t>Billed thru 11-13-13</t>
  </si>
  <si>
    <t xml:space="preserve">Cox </t>
  </si>
  <si>
    <t>Picked up 11-11-13</t>
  </si>
  <si>
    <t>Billed to 11-12-13</t>
  </si>
  <si>
    <t>Water Donkey</t>
  </si>
  <si>
    <t>LPS</t>
  </si>
  <si>
    <t>Safeway</t>
  </si>
  <si>
    <t>Picked up 8-2-13</t>
  </si>
  <si>
    <t>Billed thru 8-29-13</t>
  </si>
  <si>
    <t>Jackson Dean</t>
  </si>
  <si>
    <t>Costco0 44th St &amp; Thomas</t>
  </si>
  <si>
    <t>Billed thru 11-15-13</t>
  </si>
  <si>
    <t>Monza</t>
  </si>
  <si>
    <t>95th Ave &amp; Coyote (Carls JR)</t>
  </si>
  <si>
    <t>Installed 72 panels on 5-8-13, added 4 panels on 7-11-13</t>
  </si>
  <si>
    <t>Picked up 11-4-13</t>
  </si>
  <si>
    <t>Billed thru 11-8-13</t>
  </si>
  <si>
    <t>Dysart Elementary</t>
  </si>
  <si>
    <t>3 curb ramps</t>
  </si>
  <si>
    <t>Picked up 11-19-13</t>
  </si>
  <si>
    <t>Billed to 11-19-13</t>
  </si>
  <si>
    <t>Picked up 11-18-13</t>
  </si>
  <si>
    <t>Billed to 11-18-13</t>
  </si>
  <si>
    <t>KHOV</t>
  </si>
  <si>
    <t>Hawes &amp; Queen Creek</t>
  </si>
  <si>
    <t>Installed 5-15-13, picked up 11-21-13</t>
  </si>
  <si>
    <t>2 sets grates</t>
  </si>
  <si>
    <t>1445 W Elliot Road</t>
  </si>
  <si>
    <t>Billed thru 11-10-13</t>
  </si>
  <si>
    <t>MT Builders</t>
  </si>
  <si>
    <t>Skysong</t>
  </si>
  <si>
    <t>Drywall tote- Picked up 10-31-13</t>
  </si>
  <si>
    <t>Billed thru 10-28-13</t>
  </si>
  <si>
    <t>Signal Peak Contractors</t>
  </si>
  <si>
    <t>Jackson &amp; 95th</t>
  </si>
  <si>
    <t>Water ramp and backflow 4-23-13/ picked up backflow on 8-27-13, picked up water ramp on 12-31-13</t>
  </si>
  <si>
    <t>Water ramp and backflow</t>
  </si>
  <si>
    <t>Billed thru 1-23-14</t>
  </si>
  <si>
    <t>Cameron</t>
  </si>
  <si>
    <t>Mesa JR High</t>
  </si>
  <si>
    <t>2 set grates 10-14-13</t>
  </si>
  <si>
    <t>Picked up 1-9-14</t>
  </si>
  <si>
    <t>Billed to 1-14-14</t>
  </si>
  <si>
    <t>Adolfson &amp; Peterson</t>
  </si>
  <si>
    <t>AAEC</t>
  </si>
  <si>
    <t>Delivery 3-13-13 of water donkey, backflow and hose.  Picked up water donkey and hoses 8-30-13</t>
  </si>
  <si>
    <t>$310/month</t>
  </si>
  <si>
    <t>Installed 12-27-12</t>
  </si>
  <si>
    <t>Curb ramps</t>
  </si>
  <si>
    <t>Billed thru 10-27-13</t>
  </si>
  <si>
    <t>Installed 12-13-12</t>
  </si>
  <si>
    <t>Select Development</t>
  </si>
  <si>
    <t>Sams</t>
  </si>
  <si>
    <t>They picked up from yard 6-8-13, they delivered back to yard</t>
  </si>
  <si>
    <t>Overhead water tank $950/mo</t>
  </si>
  <si>
    <t>Billed thru 1-8-14</t>
  </si>
  <si>
    <t>Tils</t>
  </si>
  <si>
    <t>Kneaders- Ahwatukee</t>
  </si>
  <si>
    <t>Paint washout</t>
  </si>
  <si>
    <t>Billed thru 1-14-14</t>
  </si>
  <si>
    <t>Colley Construction</t>
  </si>
  <si>
    <t>MPS Parking Lot</t>
  </si>
  <si>
    <t>Grates 10-23-13, picked up 1-24-14</t>
  </si>
  <si>
    <t>Billled to 1-23-14</t>
  </si>
  <si>
    <t>SW11-053</t>
  </si>
  <si>
    <t>Adam Miller</t>
  </si>
  <si>
    <t>2048 E La-Vieve Tempe</t>
  </si>
  <si>
    <t>Delivery 1-25-2011</t>
  </si>
  <si>
    <t>4 temp fence panels</t>
  </si>
  <si>
    <t>Normal Rate</t>
  </si>
  <si>
    <t>Billed to 1/30/2014</t>
  </si>
  <si>
    <t>Kruger, Wes</t>
  </si>
  <si>
    <t>4414 E Calle Allegere</t>
  </si>
  <si>
    <t>84 lF of Tempe Fence, picked up 1-27-14</t>
  </si>
  <si>
    <t>Biled thru 1-20-14</t>
  </si>
  <si>
    <t>Sunland</t>
  </si>
  <si>
    <t>Home Depot- Tolleson</t>
  </si>
  <si>
    <t>Picked up 2-11-14</t>
  </si>
  <si>
    <t>Billed thru 2-11-14</t>
  </si>
  <si>
    <t>Torri Custom Homes</t>
  </si>
  <si>
    <t>5224 E Gold Dust</t>
  </si>
  <si>
    <t>Temp Fence installed 2-5-14</t>
  </si>
  <si>
    <t>1. Installed 5 Panels, 7 poles and 2 stands and 8 Sand bags.</t>
  </si>
  <si>
    <t>Billed thru 3-5-14</t>
  </si>
  <si>
    <t>Sonoran Creek</t>
  </si>
  <si>
    <t>Installed 12-6-13 picked up 3-26-14</t>
  </si>
  <si>
    <t>E.D Smith Paving</t>
  </si>
  <si>
    <t>12450 W Cinnabar Ave</t>
  </si>
  <si>
    <t>water ramp</t>
  </si>
  <si>
    <t>Billed to 4-1-14</t>
  </si>
  <si>
    <t>US Airways</t>
  </si>
  <si>
    <t>184 LF temp fence with screen, picked up 4-14-14</t>
  </si>
  <si>
    <t>Billed thru 4-14-14</t>
  </si>
  <si>
    <t>MT</t>
  </si>
  <si>
    <t>Elevation Chandler</t>
  </si>
  <si>
    <t>2 Paint totes 12-31-14, picked up 4-9-14</t>
  </si>
  <si>
    <t>Billed thru 3-31-14</t>
  </si>
  <si>
    <t>Kneaders- Queen Creek</t>
  </si>
  <si>
    <t>Temp Fence. Installed 12-31-13 picked up in April</t>
  </si>
  <si>
    <t>Billed thru 4-31-14</t>
  </si>
  <si>
    <t>Allred</t>
  </si>
  <si>
    <t>Picked up 4-30-14</t>
  </si>
  <si>
    <t>Billed thru 4-25-14</t>
  </si>
  <si>
    <t>Nitti Graycor</t>
  </si>
  <si>
    <t>Mack</t>
  </si>
  <si>
    <t>Grates 12-4-13 free for 3 months</t>
  </si>
  <si>
    <t>Picked up 5-1-14</t>
  </si>
  <si>
    <t>Biled thru 2-28-13</t>
  </si>
  <si>
    <t>Water set up. Installed 1-7-14</t>
  </si>
  <si>
    <t>Picked up 2-21-14</t>
  </si>
  <si>
    <t>Billed thru 2-21-14</t>
  </si>
  <si>
    <t>95th Ave &amp; Deer Valley</t>
  </si>
  <si>
    <t>Installed 8-29-13, picked up 5-5-14</t>
  </si>
  <si>
    <t>Billed thru 5-5-14</t>
  </si>
  <si>
    <t>Allred #4</t>
  </si>
  <si>
    <t>Water Meter and backflow</t>
  </si>
  <si>
    <t>Water Meter &amp; Backflow</t>
  </si>
  <si>
    <t>picked up 5-6-14</t>
  </si>
  <si>
    <t>Billed thru 5-3-14</t>
  </si>
  <si>
    <t>Hillwood</t>
  </si>
  <si>
    <t>7845 W Buckeye</t>
  </si>
  <si>
    <t>Grates installed 2-27-14</t>
  </si>
  <si>
    <t>2/27/2014, Picked up 5-16-14</t>
  </si>
  <si>
    <t>Billed to 5-27-14</t>
  </si>
  <si>
    <t>ZDI</t>
  </si>
  <si>
    <t>Peoria Center</t>
  </si>
  <si>
    <t>Water Wagon</t>
  </si>
  <si>
    <t>Picked up 6-11-14</t>
  </si>
  <si>
    <t>Billed thru 6-11-14</t>
  </si>
  <si>
    <t>Ryan</t>
  </si>
  <si>
    <t>Brophy Pool</t>
  </si>
  <si>
    <t>Installed 12-9-13- Full water install, picked up 7-9-14</t>
  </si>
  <si>
    <t>Full water install</t>
  </si>
  <si>
    <t>Billed thru 7-9-13</t>
  </si>
  <si>
    <t>Seven Apts</t>
  </si>
  <si>
    <t xml:space="preserve">Water set up. </t>
  </si>
  <si>
    <t>Picked up 8-4-14</t>
  </si>
  <si>
    <t>Billed thru 8-4-14</t>
  </si>
  <si>
    <t>Richard Doria</t>
  </si>
  <si>
    <t>Medlock</t>
  </si>
  <si>
    <t>Installed 264 LF 2-19-14, picked up 8-7-14</t>
  </si>
  <si>
    <t>Billed To 8-7-14</t>
  </si>
  <si>
    <t>Southand Paving</t>
  </si>
  <si>
    <t>MCDOT Buckeye</t>
  </si>
  <si>
    <t>Billed thru 5-30-14</t>
  </si>
  <si>
    <t>Schaffer Construction</t>
  </si>
  <si>
    <t>Villas at Hampton</t>
  </si>
  <si>
    <t>17 fence panels, picked up 8-11-14</t>
  </si>
  <si>
    <t>Billed thru 8-23-14</t>
  </si>
  <si>
    <t>Grand Canyon University</t>
  </si>
  <si>
    <t>Paint washout delivered 6-6-14 picked up 8-21-14</t>
  </si>
  <si>
    <t>Paint Totes</t>
  </si>
  <si>
    <t>Billed thru 8-21-14</t>
  </si>
  <si>
    <t>LIV</t>
  </si>
  <si>
    <t>2 paint totes</t>
  </si>
  <si>
    <t>picked up 9-1-14</t>
  </si>
  <si>
    <t>Billed thru 8-20-14</t>
  </si>
  <si>
    <t>Sierra Springs Contracting</t>
  </si>
  <si>
    <t>Jacaranda &amp; Oleander</t>
  </si>
  <si>
    <t>Installed 12-31-13</t>
  </si>
  <si>
    <t>6ft water ramp, 10' hose and 2 barricades</t>
  </si>
  <si>
    <t>Billed thru 9-12-14</t>
  </si>
  <si>
    <t>GCON</t>
  </si>
  <si>
    <t>Farmers</t>
  </si>
  <si>
    <t xml:space="preserve">Water set up  </t>
  </si>
  <si>
    <t>Picked up 9-29-14</t>
  </si>
  <si>
    <t>Billed to 10-12-14</t>
  </si>
  <si>
    <t>Alta Scottsdale</t>
  </si>
  <si>
    <t>Track out grates installed 4-29-14, picked up 9-23-14</t>
  </si>
  <si>
    <t>Billed thru 9-29-14</t>
  </si>
  <si>
    <t>Galco 3</t>
  </si>
  <si>
    <t xml:space="preserve">Crossover, donkey and 35' of hoses. </t>
  </si>
  <si>
    <t>4/14/2014, picked up 10-14-14</t>
  </si>
  <si>
    <t>Billed thru 10-14-14</t>
  </si>
  <si>
    <t>Ocotillo Landing</t>
  </si>
  <si>
    <t>Installed 4-14-14</t>
  </si>
  <si>
    <t>Picked up 9-5-14</t>
  </si>
  <si>
    <t>Billed thru 9-14-14</t>
  </si>
  <si>
    <t>Chandler Corporate Center</t>
  </si>
  <si>
    <t>Water set up. Installed 4-8-14</t>
  </si>
  <si>
    <t>Billed thru 8-8-14</t>
  </si>
  <si>
    <t>Veritas</t>
  </si>
  <si>
    <t>Oasis Street Improvements</t>
  </si>
  <si>
    <t>33 Panels and 35 Poles</t>
  </si>
  <si>
    <t>Picked up 10-15-14</t>
  </si>
  <si>
    <t>Billed to 10-15-14</t>
  </si>
  <si>
    <t>J Kopras Homes</t>
  </si>
  <si>
    <t>Elkington Residence</t>
  </si>
  <si>
    <t>12 panels, 13 poles</t>
  </si>
  <si>
    <t>6/2/2014, picked up 10-16-14</t>
  </si>
  <si>
    <t>Billed thru 10-2-14</t>
  </si>
  <si>
    <t>Restore 1</t>
  </si>
  <si>
    <t xml:space="preserve">1710 S Gilbert Road, Mesa, AZ </t>
  </si>
  <si>
    <t>13 temp fence panels</t>
  </si>
  <si>
    <t>5/14/2014, picked up 10-30-14</t>
  </si>
  <si>
    <t>Billed thru 10-30-14</t>
  </si>
  <si>
    <t>Villages at Camelback</t>
  </si>
  <si>
    <t>Installed water donkey and 50' hose 4-16-14, reinstalled 9-12-14</t>
  </si>
  <si>
    <t>Picked up 8-7-14</t>
  </si>
  <si>
    <t>4/16/2014 and 9-12-14, picked up again 11-18-14</t>
  </si>
  <si>
    <t>Billed thru 12-12-14</t>
  </si>
  <si>
    <t>Montezuma Paving</t>
  </si>
  <si>
    <t>Job 731(50th St and Fry)</t>
  </si>
  <si>
    <t>Installed 6-19-13, 1 picked up on 8-14-13, other picked up on 2-19-13, except backflow is still on site.</t>
  </si>
  <si>
    <t>1 Backflow and ramp</t>
  </si>
  <si>
    <t>6/19/2013, picked up 12-1-14</t>
  </si>
  <si>
    <t>Billed thru 12-1-14</t>
  </si>
  <si>
    <t>SD Crane</t>
  </si>
  <si>
    <t>Norris Air</t>
  </si>
  <si>
    <t>6/11/2014, picked up 12-1-14</t>
  </si>
  <si>
    <t>44th St Employee Parking</t>
  </si>
  <si>
    <t>7/7/2014, picked up 11-26-14</t>
  </si>
  <si>
    <t>Billed to 11-26-14</t>
  </si>
  <si>
    <t>Iron Clad</t>
  </si>
  <si>
    <t>4620 N 39th Place</t>
  </si>
  <si>
    <t>Temp Fence- 15 panels</t>
  </si>
  <si>
    <t>6/9/2014, picked up 12-3-14</t>
  </si>
  <si>
    <t>Billed to 12-3-14</t>
  </si>
  <si>
    <t>Yavapai-Apache Nation I-17 Corridor Project</t>
  </si>
  <si>
    <t>Temp Fence 1-10-14 (372LF)</t>
  </si>
  <si>
    <t>Billed to 12-10-14</t>
  </si>
  <si>
    <t>Apache Sun Builders</t>
  </si>
  <si>
    <t>19118 E. Indiana Ave, Queen Creek</t>
  </si>
  <si>
    <t>672LF of temp fence</t>
  </si>
  <si>
    <t>picked up 12-17-14</t>
  </si>
  <si>
    <t>Billed to 12-17-14</t>
  </si>
  <si>
    <t>ESI</t>
  </si>
  <si>
    <t>Walmart Buckeye</t>
  </si>
  <si>
    <t>Office Rental</t>
  </si>
  <si>
    <t>Billed to 10-14-14</t>
  </si>
  <si>
    <t>Dunn Brothers Coffee</t>
  </si>
  <si>
    <t>384LF temp fence</t>
  </si>
  <si>
    <t>9/12/2014, picked up last six panels on 12-19-14</t>
  </si>
  <si>
    <t>Cambridge</t>
  </si>
  <si>
    <t>Germann Rd Transfer station</t>
  </si>
  <si>
    <t>Picked up 12-8-14</t>
  </si>
  <si>
    <t>Billed thru 12-8-14</t>
  </si>
  <si>
    <t>Team Fishel</t>
  </si>
  <si>
    <t>Dysart &amp; 19th Ave</t>
  </si>
  <si>
    <t>744 LF temp fence</t>
  </si>
  <si>
    <t>Billed to 12-18-14</t>
  </si>
  <si>
    <t>492 LF temp fence</t>
  </si>
  <si>
    <t>Billed to 12-28-14</t>
  </si>
  <si>
    <t>300 LF temp fence</t>
  </si>
  <si>
    <t>Billed to 12-16-14</t>
  </si>
  <si>
    <t>Martin Harris</t>
  </si>
  <si>
    <t>Frys</t>
  </si>
  <si>
    <t>Picked up 1-22-15</t>
  </si>
  <si>
    <t>Billed thru 2-14-15</t>
  </si>
  <si>
    <t>Water Donkey, 100Lf hose</t>
  </si>
  <si>
    <t>5/22/2014, Jim picked up, no idea when?</t>
  </si>
  <si>
    <t>Museum of the West</t>
  </si>
  <si>
    <t>Paint washout ($275/month with $.95/gal pump fee)</t>
  </si>
  <si>
    <t>10/27/2014, picked up 1-22-15</t>
  </si>
  <si>
    <t>Billed to 12-27-14</t>
  </si>
  <si>
    <t>Donavan, John</t>
  </si>
  <si>
    <t>2735 W Avion Way</t>
  </si>
  <si>
    <t>12/3/2014, picked up 1-12-15</t>
  </si>
  <si>
    <t>Billed to 1-3-15</t>
  </si>
  <si>
    <t>ICON</t>
  </si>
  <si>
    <t>EL Rancho (719 E Main St)</t>
  </si>
  <si>
    <t>Storage Container</t>
  </si>
  <si>
    <t>Picked up 2-19-15</t>
  </si>
  <si>
    <t>Billed to 3-2-15</t>
  </si>
  <si>
    <t>Chandler 101 Buisiness Center</t>
  </si>
  <si>
    <t>2 sets of grates</t>
  </si>
  <si>
    <t>Picked up 3-18-15</t>
  </si>
  <si>
    <t>Billed thru 3-17-15</t>
  </si>
  <si>
    <t>Ricor</t>
  </si>
  <si>
    <t>Old Dominion Freight Lines</t>
  </si>
  <si>
    <t>Picked up 3-11-15</t>
  </si>
  <si>
    <t>Billed Thru 3-22-15</t>
  </si>
  <si>
    <t>97th Ave &amp; Deer Valley</t>
  </si>
  <si>
    <t>Installed 7-8-14</t>
  </si>
  <si>
    <t>Billed thru 3-8-15</t>
  </si>
  <si>
    <t>Maricipa Off-sites</t>
  </si>
  <si>
    <t>Grates, picked up 4-6-15</t>
  </si>
  <si>
    <t>Billed to 3-15-15</t>
  </si>
  <si>
    <t>Young Swenson &amp; Cross</t>
  </si>
  <si>
    <t>Solstice Condos</t>
  </si>
  <si>
    <t>Picked up sometime in Jan</t>
  </si>
  <si>
    <t>Billed thru 4-17-15</t>
  </si>
  <si>
    <t>Water Cross over and donkey</t>
  </si>
  <si>
    <t>10/9/2014, picked up 4-21-15</t>
  </si>
  <si>
    <t>Billed to 4-21-15</t>
  </si>
  <si>
    <t>Temp Fence (324LF)  Desert Services</t>
  </si>
  <si>
    <t>Picked up 252 LF on 11-20-14</t>
  </si>
  <si>
    <t>Billed to 3-17-15</t>
  </si>
  <si>
    <t>Billed to 4-4-15</t>
  </si>
  <si>
    <t>Karen DR &amp; 54th PL</t>
  </si>
  <si>
    <t>2/24/2015 picked up 5-6-15</t>
  </si>
  <si>
    <t>Billed thru 4-24-15</t>
  </si>
  <si>
    <t>35th Ave &amp; Baseline</t>
  </si>
  <si>
    <t>Jim should pick up 4-29-15</t>
  </si>
  <si>
    <t>4/2/2015 picked up on 4-30-15</t>
  </si>
  <si>
    <t>Billed thru 5-2-15</t>
  </si>
  <si>
    <t>Desert Arroyo</t>
  </si>
  <si>
    <t>2/17/2015, picked up 5-8-15</t>
  </si>
  <si>
    <t>Billed to 5-17-15</t>
  </si>
  <si>
    <t>Southwest Earthwork</t>
  </si>
  <si>
    <t>Basis Goodyear</t>
  </si>
  <si>
    <t>2/9/2015, picked up 5-15-15</t>
  </si>
  <si>
    <t>Billed thru 5-14-15</t>
  </si>
  <si>
    <t>6/3/2014, picked up 5-14-15</t>
  </si>
  <si>
    <t>Billed to 5-14-15</t>
  </si>
  <si>
    <t>Express Oil</t>
  </si>
  <si>
    <t>water set up</t>
  </si>
  <si>
    <t>12/12/2014, picked up 5-5-15</t>
  </si>
  <si>
    <t>Billed to 5-12-15</t>
  </si>
  <si>
    <t>GSS</t>
  </si>
  <si>
    <t>Gainey Ranch</t>
  </si>
  <si>
    <t>11/7/2014, picked up 5-27-15</t>
  </si>
  <si>
    <t>Billed to 5-27-15</t>
  </si>
  <si>
    <t>Monterosa</t>
  </si>
  <si>
    <t>1/27/2015, picked up 5-27-15</t>
  </si>
  <si>
    <t>Billed thru 5-27-15</t>
  </si>
  <si>
    <t>2 water donkeys, 150LF hose</t>
  </si>
  <si>
    <t>6/13/2014, picked up 6-8-15</t>
  </si>
  <si>
    <t>Billed thru 6-13-15</t>
  </si>
  <si>
    <t>MPC Employee Parking</t>
  </si>
  <si>
    <t>picked up 5-29-15</t>
  </si>
  <si>
    <t>Billed thru 6-6-15</t>
  </si>
  <si>
    <t>Airport I-10</t>
  </si>
  <si>
    <t>Trackout Grates</t>
  </si>
  <si>
    <t>picked up 6-12-15</t>
  </si>
  <si>
    <t>Billed thru 6-16-15</t>
  </si>
  <si>
    <t>6845 N. Rocking Road, Scottsdale</t>
  </si>
  <si>
    <t>264Lf of temp fence</t>
  </si>
  <si>
    <t>12/16/2014, picked up 6-30-15</t>
  </si>
  <si>
    <t>Billed thru 6-30-14</t>
  </si>
  <si>
    <t>Alta Tempe</t>
  </si>
  <si>
    <t>Paint Washout</t>
  </si>
  <si>
    <t>$400 per pump</t>
  </si>
  <si>
    <t>2/11/2015, picked up 6-30-15</t>
  </si>
  <si>
    <t>Maydall</t>
  </si>
  <si>
    <t>Indian School rd</t>
  </si>
  <si>
    <t>2/6/2015, picked up 6-19-15</t>
  </si>
  <si>
    <t>Billed thru 7-6-15</t>
  </si>
  <si>
    <t>Portales Apts</t>
  </si>
  <si>
    <t>Installed temp fence with privacy screen. 2250LF on 3-29-13, added 1104LF 6-20-13, added 612 LF on 7-2-13.  Picked up 504 LF on 10-21-13, picked up 168LF on 11-20-13, picked up 276LF 12-9-13, installed 1 new panel on 12-27-13, Count was done on 12-31-13 187 Panels, added 5 panels on 2-28-14</t>
  </si>
  <si>
    <t>3/29/2013, final picked up 7-2-15</t>
  </si>
  <si>
    <t>Billed thru 7-17-15</t>
  </si>
  <si>
    <t>Dobson High School</t>
  </si>
  <si>
    <t>28' Water ramp</t>
  </si>
  <si>
    <t>Billed thru 7-22-15</t>
  </si>
  <si>
    <t>81st Pl &amp; McClellan</t>
  </si>
  <si>
    <t>Billed thru 8-5-15</t>
  </si>
  <si>
    <t>80th Pl &amp; Virginia</t>
  </si>
  <si>
    <t>Karen DR &amp; 23rd PL</t>
  </si>
  <si>
    <t>Billed thru 8-13-15</t>
  </si>
  <si>
    <t>Sun Coast Builders</t>
  </si>
  <si>
    <t>1133 W 5th Ave</t>
  </si>
  <si>
    <t>Installed 612LF of temp fence</t>
  </si>
  <si>
    <t>3/31/2015, picked up 8-20-15</t>
  </si>
  <si>
    <t>Billed thru August 2015</t>
  </si>
  <si>
    <t>Allred Bldg 10</t>
  </si>
  <si>
    <t>2/4/2015, picked up 8-11-15</t>
  </si>
  <si>
    <t>Billed thru 8-11-15</t>
  </si>
  <si>
    <t>Lone Butte Casino</t>
  </si>
  <si>
    <t>1 paint washout</t>
  </si>
  <si>
    <t>3/18/2015, picked up 8-28-15</t>
  </si>
  <si>
    <t>Billed thru 8-28-15</t>
  </si>
  <si>
    <t>1 stucco washout</t>
  </si>
  <si>
    <t>4/2/2015, picked up 8-28-15</t>
  </si>
  <si>
    <t>Rivulon</t>
  </si>
  <si>
    <t>Billed thru 9-10-15</t>
  </si>
  <si>
    <t>Loop Rd &amp; Drury</t>
  </si>
  <si>
    <t>12/19/2014, picked up 9-17-15</t>
  </si>
  <si>
    <t>Billed thru 9-19-15</t>
  </si>
  <si>
    <t>Bella Vista Elementary</t>
  </si>
  <si>
    <t>Billed thru 10-24-15</t>
  </si>
  <si>
    <t>Residence at Fountainhead</t>
  </si>
  <si>
    <t>2 paint washouts</t>
  </si>
  <si>
    <t>Paint washouts</t>
  </si>
  <si>
    <t>no rental fee, $400 per pump</t>
  </si>
  <si>
    <t>8/19/2015, picked up 11-3-15</t>
  </si>
  <si>
    <t>Waypoint</t>
  </si>
  <si>
    <t>3/20/2015, picked up 11-6-15</t>
  </si>
  <si>
    <t>Billed thru 11-5-15</t>
  </si>
  <si>
    <t>PWI</t>
  </si>
  <si>
    <t>Wigwam</t>
  </si>
  <si>
    <t>7/30/2015, Picked 11-11-15</t>
  </si>
  <si>
    <t>Billed thru 11-30-15</t>
  </si>
  <si>
    <t>Recker &amp; Azalea</t>
  </si>
  <si>
    <t>4' water ramp</t>
  </si>
  <si>
    <t>3/27/2015, picked up 11-18-15</t>
  </si>
  <si>
    <t>Billed thru 10-27-15</t>
  </si>
  <si>
    <t>Gilbert Spectrum</t>
  </si>
  <si>
    <t>1188LF temp fence</t>
  </si>
  <si>
    <t>Removed 92 panels on 10-5-15, 7 remaining onsite</t>
  </si>
  <si>
    <t>Billed thru 11-19-15</t>
  </si>
  <si>
    <t>Summit</t>
  </si>
  <si>
    <t>Argo at Town Lake</t>
  </si>
  <si>
    <t>Installed 4-1-14</t>
  </si>
  <si>
    <t>LE</t>
  </si>
  <si>
    <t>$325 for pump out</t>
  </si>
  <si>
    <t>Picked up 11-12-15</t>
  </si>
  <si>
    <t>Billed thru 11-12-15</t>
  </si>
  <si>
    <t>75th Ave &amp; Durango</t>
  </si>
  <si>
    <t>8/17/2015, picked up 12-4-15</t>
  </si>
  <si>
    <t>Billed thru 12-4-15</t>
  </si>
  <si>
    <t>Reliance</t>
  </si>
  <si>
    <t>First Bank Town &amp; Country</t>
  </si>
  <si>
    <t>7/10/2015, picked up 12-4-15</t>
  </si>
  <si>
    <t>Billed thru 11-10-15</t>
  </si>
  <si>
    <t>Ritz Carlton (camelback)</t>
  </si>
  <si>
    <t>$450 pump</t>
  </si>
  <si>
    <t>9/14/2015, Picked up 12-11-15</t>
  </si>
  <si>
    <t>Billed delivery charge</t>
  </si>
  <si>
    <t>Desert Storage</t>
  </si>
  <si>
    <t>8/21/2015, picked up 12-17-15</t>
  </si>
  <si>
    <t>Billed thru 12-21-15</t>
  </si>
  <si>
    <t>4/10/2015, picked up 11-30-15</t>
  </si>
  <si>
    <t>Billed thru 12-10-15</t>
  </si>
  <si>
    <t xml:space="preserve">Wespac </t>
  </si>
  <si>
    <t>Presidio</t>
  </si>
  <si>
    <t>8/10/2015, picked up 11-18-15</t>
  </si>
  <si>
    <t>Billed thru 11-18-15</t>
  </si>
  <si>
    <t>7/25/2015, picked up 12-23-15</t>
  </si>
  <si>
    <t>Billed thru 12-23-15</t>
  </si>
  <si>
    <t>Mach 1 Chandler Airpark</t>
  </si>
  <si>
    <t>2/23/2015, picked up 12-23-15</t>
  </si>
  <si>
    <t>Colorcor</t>
  </si>
  <si>
    <t>5777 Mayo Blvd</t>
  </si>
  <si>
    <t>2 Paint washouts (picked up 1 on 10-28-14)</t>
  </si>
  <si>
    <t>No Rental Fee, $450 per pump</t>
  </si>
  <si>
    <t>Copper Springs</t>
  </si>
  <si>
    <t>3/13/2015, picked up 12-22-15</t>
  </si>
  <si>
    <t>Billed thru 12-22-15</t>
  </si>
  <si>
    <t>Balfour Beatty</t>
  </si>
  <si>
    <t>IRIS</t>
  </si>
  <si>
    <t>2 sets Grates</t>
  </si>
  <si>
    <t>8/6/2015, picked up 1-4-16</t>
  </si>
  <si>
    <t>Billed thru 1-6-16</t>
  </si>
  <si>
    <t>Construction Management Technology</t>
  </si>
  <si>
    <t>McLane Food Service</t>
  </si>
  <si>
    <t>11/6/2015, picked up 1-13-16</t>
  </si>
  <si>
    <t>Billed thru 1-13-16</t>
  </si>
  <si>
    <t>16th Street &amp; Highland</t>
  </si>
  <si>
    <t>Sigma Homes</t>
  </si>
  <si>
    <t>8300 E Dixiletta</t>
  </si>
  <si>
    <t>Temp Fence 504LF, picked up 4 panels on, removed 32 panels on 1-22-16</t>
  </si>
  <si>
    <t>12/20/2014, picked up 1-22-16</t>
  </si>
  <si>
    <t>Billed thru 1-20-16</t>
  </si>
  <si>
    <t>Deer Valley 344</t>
  </si>
  <si>
    <t>4 paint washouts, 2 picked up 11-12-15</t>
  </si>
  <si>
    <t>.95/gallon</t>
  </si>
  <si>
    <t>2/27/2015- 2 and 3-27-15- 2</t>
  </si>
  <si>
    <t>Billed thru 11-27-16</t>
  </si>
  <si>
    <t>Mayo Clinic (132nd &amp; Shea)</t>
  </si>
  <si>
    <t>9/15/2015, picked up 2-8-16</t>
  </si>
  <si>
    <t>Phoenician</t>
  </si>
  <si>
    <t xml:space="preserve">48LF of temp fence, picked up </t>
  </si>
  <si>
    <t>10/12/2015. picked up 2-4-16</t>
  </si>
  <si>
    <t>Billed thru 2-12-16</t>
  </si>
  <si>
    <t>Anthony Gold/APD, Inc</t>
  </si>
  <si>
    <t>14025 N 80th Pl</t>
  </si>
  <si>
    <t>9/11/2015, picked up 2-11-16</t>
  </si>
  <si>
    <t>Billed thru 2-11-16</t>
  </si>
  <si>
    <t>RK Sanders</t>
  </si>
  <si>
    <t>Deer Valley Rd improvement</t>
  </si>
  <si>
    <t>8/25/2015, picked up 2-11-16</t>
  </si>
  <si>
    <t>Billed thru February 2016</t>
  </si>
  <si>
    <t>ICS, switched billing to LKY Real Estate Fund IV LP</t>
  </si>
  <si>
    <t>600 W Grant St</t>
  </si>
  <si>
    <t>11/30/2015, picked up 2-29-16</t>
  </si>
  <si>
    <t>91st &amp; Northern</t>
  </si>
  <si>
    <t>6/19/2015, picked up 12-18-15</t>
  </si>
  <si>
    <t>Colton</t>
  </si>
  <si>
    <t>Right Toyota</t>
  </si>
  <si>
    <t>Meter and backflow</t>
  </si>
  <si>
    <t>2104 - 2112 E Fairmont St</t>
  </si>
  <si>
    <t>Installed 408LF of temp fence</t>
  </si>
  <si>
    <t>Picked up 2-29-16</t>
  </si>
  <si>
    <t>Billed thru 2-29-16</t>
  </si>
  <si>
    <t>Kopras Homes</t>
  </si>
  <si>
    <t>10815 N Arista Ln</t>
  </si>
  <si>
    <t>12/1/2015, picked up 3-8-16</t>
  </si>
  <si>
    <t>Parc 28</t>
  </si>
  <si>
    <t>1 paint washouts</t>
  </si>
  <si>
    <t>Picked up 1 piantwash on 1-16-16, picked up 1 on 3-14-16</t>
  </si>
  <si>
    <t>Billed thru 2-8-16</t>
  </si>
  <si>
    <t>Crossroad Apts</t>
  </si>
  <si>
    <t>delivered 2 on 4/14/2015, picked 1 up on 2-4-16</t>
  </si>
  <si>
    <t>Billed thru 2-14-16</t>
  </si>
  <si>
    <t>Wadman</t>
  </si>
  <si>
    <t>Fry's #686</t>
  </si>
  <si>
    <t>1 set grates left/picked up 1 set on 3-9-16 2nd set picked up on 3-23-16</t>
  </si>
  <si>
    <t>Billed thru 3-27-16</t>
  </si>
  <si>
    <t>8/26/2015, picked up 3-30-16</t>
  </si>
  <si>
    <t>Living Spaces</t>
  </si>
  <si>
    <t>8/14/2015, picked up 4-5-16</t>
  </si>
  <si>
    <t>Billed thru 4-14-16</t>
  </si>
  <si>
    <t>Chasse</t>
  </si>
  <si>
    <t>NAC Work Force Housing</t>
  </si>
  <si>
    <t>Water Donkey and 150' hose</t>
  </si>
  <si>
    <t>Billed thru January 2016</t>
  </si>
  <si>
    <t>They called and said job was over in december</t>
  </si>
  <si>
    <t>Alta Chandler</t>
  </si>
  <si>
    <t>8/12/2015- Picked up 3-28-16</t>
  </si>
  <si>
    <t>Opus</t>
  </si>
  <si>
    <t>Phoenix Airport</t>
  </si>
  <si>
    <t>3/10/2016, picked up 4-8-16</t>
  </si>
  <si>
    <t>Billed thru 4-10-16</t>
  </si>
  <si>
    <t>CCV</t>
  </si>
  <si>
    <t>1565 N 113th Ave</t>
  </si>
  <si>
    <t>2 Water ramps, water donkey and hose</t>
  </si>
  <si>
    <t>Water ramp, water donkey and hose</t>
  </si>
  <si>
    <t>2/12/2016, picked up 4-1-16</t>
  </si>
  <si>
    <t>Billed thru 3-31-16</t>
  </si>
  <si>
    <t>DCB</t>
  </si>
  <si>
    <t>StoreQuest</t>
  </si>
  <si>
    <t>Water ramp, donkey, hoses</t>
  </si>
  <si>
    <t>12/11/2015, picked up 4-18-16</t>
  </si>
  <si>
    <t>Billed thru 4-18-16</t>
  </si>
  <si>
    <t>1200 LF Temp Fence installed 7-16-13, added 240 LF,  (a count was done which was 1644LF 8-22-13), 9-16-13 added 168LF, 10-24-13 added 228LF, Added 72 LF on 11-13-13, added 156LF on 12-18-13, Count was done on 12-31-13 242 Panels, picked up 13 panels 2-28-14, installed 264LF 11-12-14, pulled 468 LF and man gate on  1-9-15.</t>
  </si>
  <si>
    <t>Billed thru 4-16-16</t>
  </si>
  <si>
    <t>Charlie Fine</t>
  </si>
  <si>
    <t>44th Street &amp; Camelback</t>
  </si>
  <si>
    <t>80 LF temp fence, added 96LF on 4-22-15, pulled 7 panels on 12-4-5</t>
  </si>
  <si>
    <t>Picked up 5-12-16</t>
  </si>
  <si>
    <t>Billed thru 5-9-16</t>
  </si>
  <si>
    <t>Renassaince</t>
  </si>
  <si>
    <t xml:space="preserve">Delivered new paint washout on 3-30-16 ---3 paint washouts, picked up 1 on 3-1-16.  </t>
  </si>
  <si>
    <t>1 Paint washout Picked up 5-13-16</t>
  </si>
  <si>
    <t>Billed thru 5-13-16</t>
  </si>
  <si>
    <t>JE John</t>
  </si>
  <si>
    <t>Natural Grocers (Williamsfield)</t>
  </si>
  <si>
    <t>4/18/2016, picked up 6-6-16</t>
  </si>
  <si>
    <t>Porter Brothers</t>
  </si>
  <si>
    <t>Chandler Home 2 Suites</t>
  </si>
  <si>
    <t xml:space="preserve">First washout is $350, (trial) $400 after that </t>
  </si>
  <si>
    <t>3/18/2016, picked up 7-5-16</t>
  </si>
  <si>
    <t>Rhino Contracting</t>
  </si>
  <si>
    <t>128th st &amp; Shea</t>
  </si>
  <si>
    <t>Track out Grates (2 sets)</t>
  </si>
  <si>
    <t>Track out Grates</t>
  </si>
  <si>
    <t>3/7/2016, 2nd set 3-21-16, returned both sets on 7-8-16</t>
  </si>
  <si>
    <t>Billed 6-7-16</t>
  </si>
  <si>
    <t>SE Ambulatory</t>
  </si>
  <si>
    <t>2 sets of grates, + 1= 3 sets of grates</t>
  </si>
  <si>
    <t>1-5-16 and 1-7-15, picked up 7-27-16, called of weeks before that, but we couldn't pick them up till now.</t>
  </si>
  <si>
    <t>Billed thru 7-6-16</t>
  </si>
  <si>
    <t>Guthrie General</t>
  </si>
  <si>
    <t>Honeywell #1240</t>
  </si>
  <si>
    <t>204LF of temp fence</t>
  </si>
  <si>
    <t>5/11/2016, picked up 7-27-16</t>
  </si>
  <si>
    <t>Billed thru 7-11-16</t>
  </si>
  <si>
    <t>Infineon</t>
  </si>
  <si>
    <t>Water meter and backflow</t>
  </si>
  <si>
    <t>water meter &amp; backflow</t>
  </si>
  <si>
    <t>2/10/2016, picked up 6-30-16</t>
  </si>
  <si>
    <t>Billed thru 7-10-16</t>
  </si>
  <si>
    <t>Lot 1 Abigale Acres</t>
  </si>
  <si>
    <t>Picked up 8-1-16</t>
  </si>
  <si>
    <t>Billed thru 8-8-16</t>
  </si>
  <si>
    <t>Meritage</t>
  </si>
  <si>
    <t>The Parks</t>
  </si>
  <si>
    <t>2/19/2016, called off on 8-11-16</t>
  </si>
  <si>
    <t>Billed thru 8-19-16</t>
  </si>
  <si>
    <t>RCDS</t>
  </si>
  <si>
    <t>Phoenix VA ER Expansion</t>
  </si>
  <si>
    <t>Temp Fence, added 48LF on 2-20-16</t>
  </si>
  <si>
    <t>1/26/2015, picked up 8-26-16</t>
  </si>
  <si>
    <t>Billed thru 8-26-16</t>
  </si>
  <si>
    <t>water donkey</t>
  </si>
  <si>
    <t>2/4/2015, picked up 8-26-16</t>
  </si>
  <si>
    <t>18700 N Porter Rd</t>
  </si>
  <si>
    <t>7' water ramp with 15' hose</t>
  </si>
  <si>
    <t>3/10/2016 picked up 8-25-16</t>
  </si>
  <si>
    <t>Billed thru 8-25-16</t>
  </si>
  <si>
    <t>Dared 90</t>
  </si>
  <si>
    <t xml:space="preserve">Water Ramp </t>
  </si>
  <si>
    <t xml:space="preserve">6/9/2016, picked up </t>
  </si>
  <si>
    <t>Billed thru 9-9-16</t>
  </si>
  <si>
    <t>SWC of 82nd St &amp; Arlington</t>
  </si>
  <si>
    <t>6/9/2016, picked up 9-8-16</t>
  </si>
  <si>
    <t>Billed thru 9-8-16</t>
  </si>
  <si>
    <t>Brasfield &amp; Gorrie</t>
  </si>
  <si>
    <t>East Valley Rehab</t>
  </si>
  <si>
    <t>11/9/2015, picked up 8-12-16 and 9-13-16</t>
  </si>
  <si>
    <t>Aspera</t>
  </si>
  <si>
    <t>Billed thru 9-27-16</t>
  </si>
  <si>
    <t>2 Paint washout</t>
  </si>
  <si>
    <t>Tempe Town Lake</t>
  </si>
  <si>
    <t>3 paint washout</t>
  </si>
  <si>
    <t>1 paint washout, 2nd delivered 3-18-16), 3rd delivered 5-4-16</t>
  </si>
  <si>
    <t>Billed thru  9-9-16</t>
  </si>
  <si>
    <t>Metro Tech (19th Ave &amp; Thomas)</t>
  </si>
  <si>
    <t>10/13/2015, picked up 8-25-16</t>
  </si>
  <si>
    <t>billed thru 8-25-16</t>
  </si>
  <si>
    <t>Torrent</t>
  </si>
  <si>
    <t>Elliott and 101- Then moved to 142nd St &amp; Riggs</t>
  </si>
  <si>
    <t>5/23/2016- picked up 6-22-16</t>
  </si>
  <si>
    <t>Billed thru 7-23-16</t>
  </si>
  <si>
    <t>9710 Palisades</t>
  </si>
  <si>
    <t>5/16/2015, picked up 10-8-16</t>
  </si>
  <si>
    <t>Billed thru 9-16-16</t>
  </si>
  <si>
    <t>Valwest</t>
  </si>
  <si>
    <t>Fuji Films</t>
  </si>
  <si>
    <t>Water donkey and hoses</t>
  </si>
  <si>
    <t>Billed thru September 2016</t>
  </si>
  <si>
    <t>Goodwill (91st and Northern)</t>
  </si>
  <si>
    <t>7/8/2016, picked up 10-19-16</t>
  </si>
  <si>
    <t>Billed thru 10-19-16</t>
  </si>
  <si>
    <t>Perlo</t>
  </si>
  <si>
    <t xml:space="preserve">Water Ramp   </t>
  </si>
  <si>
    <t>8/1/2016, picked up 11-3-16</t>
  </si>
  <si>
    <t>Billed thru October 2016</t>
  </si>
  <si>
    <t>Fry's #83</t>
  </si>
  <si>
    <t>1/18/2016, picked up 11-2-16 and 11-5-16</t>
  </si>
  <si>
    <t>Billed Thru 11-5-16</t>
  </si>
  <si>
    <t>1/16/2016, picked up 11-2-16</t>
  </si>
  <si>
    <t>Billed thru 11-2-16</t>
  </si>
  <si>
    <t>Southern Avenue Villas</t>
  </si>
  <si>
    <t>2 Paint washouts</t>
  </si>
  <si>
    <t>4/15/2016, picked up 11-4-16</t>
  </si>
  <si>
    <t>Haworth-  was bill to MHM until 8-8-16 then transferred to Haworth</t>
  </si>
  <si>
    <t>Chase Bank</t>
  </si>
  <si>
    <t>Temp Fence 77.5 panels</t>
  </si>
  <si>
    <t>5/18/2016, picked up 11-8-16</t>
  </si>
  <si>
    <t>Billed thru 11-8-16</t>
  </si>
  <si>
    <t>Honeywell</t>
  </si>
  <si>
    <t>228LF of temp fence</t>
  </si>
  <si>
    <t>10/31/2016 picked up 11-21-16</t>
  </si>
  <si>
    <t>Billed thru November 2016</t>
  </si>
  <si>
    <t>Project Q</t>
  </si>
  <si>
    <t>2/9/2016, picked up 11-22-16</t>
  </si>
  <si>
    <t>Billed thru 11-22-16</t>
  </si>
  <si>
    <t>Aspera Bank Improvements</t>
  </si>
  <si>
    <t>8/23/2016, picked up 12-1-16</t>
  </si>
  <si>
    <t>Billed thru 12-23-16</t>
  </si>
  <si>
    <t>Liberty Replenishment Facility</t>
  </si>
  <si>
    <t>396LF of temp fence/added 720 Lf 6-24-16</t>
  </si>
  <si>
    <t>6/3/2016, remainder of fence picked up 12-2-16</t>
  </si>
  <si>
    <t>Billed thru 11-10-16</t>
  </si>
  <si>
    <t>5/31/2016, picked up 12-9-16</t>
  </si>
  <si>
    <t>Enterprise rent a car- Tempe</t>
  </si>
  <si>
    <t>8'water ramp</t>
  </si>
  <si>
    <t>6/22/2016, picked up 12-9-16</t>
  </si>
  <si>
    <t>Billed thru 12-9-16</t>
  </si>
  <si>
    <t>Rampzilla</t>
  </si>
  <si>
    <t>Billed thru 10-28-16</t>
  </si>
  <si>
    <t>The Whiting Turner  Company</t>
  </si>
  <si>
    <t>Fry's #657</t>
  </si>
  <si>
    <t>2/9/2016, picked up 12-18-16</t>
  </si>
  <si>
    <t>Billed thru 11-9-16</t>
  </si>
  <si>
    <t>Haworth-  was bill to MHM until 10-5-16 then transferred to Haworth</t>
  </si>
  <si>
    <t xml:space="preserve">El Pollo Loco </t>
  </si>
  <si>
    <t>Temp Fence, 492 LF , + 12LF</t>
  </si>
  <si>
    <t>3/17/2016, picked up 12-27-16</t>
  </si>
  <si>
    <t>Biled thru 12-27-16</t>
  </si>
  <si>
    <t>10- 6ft A-Frame Barricades</t>
  </si>
  <si>
    <t>Billed thru 12-20-16</t>
  </si>
  <si>
    <t>Paxton</t>
  </si>
  <si>
    <t>Rose Ln</t>
  </si>
  <si>
    <t>10/28/2016, picked up 1-4-17</t>
  </si>
  <si>
    <t>Billed thru December 2016</t>
  </si>
  <si>
    <t>Wickenburg Ranch</t>
  </si>
  <si>
    <t>2/1/2016, picked up 1-13-17</t>
  </si>
  <si>
    <t>Billed thru January 13th, 2017</t>
  </si>
  <si>
    <t>42nd &amp; Frier</t>
  </si>
  <si>
    <t>11/15/2016, picked up 1-17-17</t>
  </si>
  <si>
    <t>Billed thru 1-17-17</t>
  </si>
  <si>
    <t>6038 W Poinsettia</t>
  </si>
  <si>
    <t>6/24/2016, picked up 1-17-17</t>
  </si>
  <si>
    <t>Potato Barn (Bahia &amp; 101)</t>
  </si>
  <si>
    <t>28' Water ramp and water donkey</t>
  </si>
  <si>
    <t>Billed thru 1-15-17</t>
  </si>
  <si>
    <t>CLG/ Anthony Gold</t>
  </si>
  <si>
    <t>12624 N 68th St</t>
  </si>
  <si>
    <t>16 panels, 17 poles</t>
  </si>
  <si>
    <t>6/3/2016, picked up 1-25-17</t>
  </si>
  <si>
    <t>Billed thru 1-25-17</t>
  </si>
  <si>
    <t>ANDAZ</t>
  </si>
  <si>
    <t>3 Paint washouts</t>
  </si>
  <si>
    <t>3 paint washouts</t>
  </si>
  <si>
    <t>Southwest Architectual Builders</t>
  </si>
  <si>
    <t>5120 N Central</t>
  </si>
  <si>
    <t>8/5/2016, picked up 2/3/2017</t>
  </si>
  <si>
    <t>Billed thru 2-3-17</t>
  </si>
  <si>
    <t>The Grand</t>
  </si>
  <si>
    <t>3 sets track out grates</t>
  </si>
  <si>
    <t>4/19/2016, picked up 11-19-16 and 1-30-17</t>
  </si>
  <si>
    <t>Billed thru 1-30-17</t>
  </si>
  <si>
    <t>Accent Contruction</t>
  </si>
  <si>
    <t>AZ General ER</t>
  </si>
  <si>
    <t>11/4/2016, picked up 3-13-17</t>
  </si>
  <si>
    <t>Billed thru 3-13-17</t>
  </si>
  <si>
    <t>Phoenix VA/ER</t>
  </si>
  <si>
    <t>10/24/2016, picked up 2-17-17</t>
  </si>
  <si>
    <t>Billed thru 2-24-16</t>
  </si>
  <si>
    <t>Dutch Brothers Coffee (3045 E Indian School)</t>
  </si>
  <si>
    <t>Billed thru 1-27-17</t>
  </si>
  <si>
    <t>Water meter only everything else has been picked up.</t>
  </si>
  <si>
    <t>Water meter, backflow, water donkey and hose.</t>
  </si>
  <si>
    <t>Billed thru 2-12-17</t>
  </si>
  <si>
    <t>MCO and Associates</t>
  </si>
  <si>
    <t>Cobblestone Carwash- Mesa</t>
  </si>
  <si>
    <t>1/4/2017, picked up 2-7-17</t>
  </si>
  <si>
    <t>Billed thru 2-7-17</t>
  </si>
  <si>
    <t>Dared 89</t>
  </si>
  <si>
    <t>1 sets track out grates 3-15-17, picked up 2nd set on 2-6-17</t>
  </si>
  <si>
    <t>2 Track out Grates</t>
  </si>
  <si>
    <t>Billed thru 3-15-17</t>
  </si>
  <si>
    <t>McLaughlin &amp; Sons</t>
  </si>
  <si>
    <t>5400 E Via Delcielo</t>
  </si>
  <si>
    <t xml:space="preserve">Temp Fence 432LF </t>
  </si>
  <si>
    <t>6/8/2016, picked up 3-16-17</t>
  </si>
  <si>
    <t>Billed thru 3-16-17</t>
  </si>
  <si>
    <t>Chase Pipeline Construction</t>
  </si>
  <si>
    <t>16th St &amp; Dobbins</t>
  </si>
  <si>
    <t>3/10/2017, picked up 3-28-17</t>
  </si>
  <si>
    <t>Billed thru 4-10-17</t>
  </si>
  <si>
    <t>Dutch Brothers Coffee (Rural and Lemon)</t>
  </si>
  <si>
    <t>12/27/2016, picked up 1-30-17</t>
  </si>
  <si>
    <t>Billed 1-27-17</t>
  </si>
  <si>
    <t>Low Mountain</t>
  </si>
  <si>
    <t>303 on N side of Indian School</t>
  </si>
  <si>
    <t>1/5/2017, picked up 4-3-17</t>
  </si>
  <si>
    <t>Billed thru 4-5-17</t>
  </si>
  <si>
    <t>donkey, hoses</t>
  </si>
  <si>
    <t>Delivered 9-14-16, picked up 4-6-17</t>
  </si>
  <si>
    <t>Billed thru 4-6-17</t>
  </si>
  <si>
    <t>2610 N 3rd St</t>
  </si>
  <si>
    <t>10/19/2016, picked up 4-13-17</t>
  </si>
  <si>
    <t>Billed thru 4-19-17</t>
  </si>
  <si>
    <t>Peter Piper Pizza</t>
  </si>
  <si>
    <t>Backflow, water crossing, water Donkey, Curb Ramp, 265LF of hose.</t>
  </si>
  <si>
    <t>10/18/2016, picked up 4-18-17</t>
  </si>
  <si>
    <t>Billed thru 4-18-17</t>
  </si>
  <si>
    <t>McManus</t>
  </si>
  <si>
    <t>Popeyes Mesa</t>
  </si>
  <si>
    <t>1/24/2017, picked up 4-19-17</t>
  </si>
  <si>
    <t>Billed thru 4-24-17</t>
  </si>
  <si>
    <t>Amerisource TI</t>
  </si>
  <si>
    <t>Picked up 4-26-17</t>
  </si>
  <si>
    <t>Billed thru 4-26-17</t>
  </si>
  <si>
    <t>Mesquite Grove</t>
  </si>
  <si>
    <t>3/24/2017, picked up 5-2-17</t>
  </si>
  <si>
    <t>Billed thru 5-2-17</t>
  </si>
  <si>
    <t>MCO Parks Lake Pleasant</t>
  </si>
  <si>
    <t>Billed thru 4-25-17</t>
  </si>
  <si>
    <t>AndAZ</t>
  </si>
  <si>
    <t>Billed thru April 2017</t>
  </si>
  <si>
    <t>2/10/2016, picked up 4-3-17</t>
  </si>
  <si>
    <t>JW Marriott- Pool Bar</t>
  </si>
  <si>
    <t>12/12/2017, picked up 4-20-17</t>
  </si>
  <si>
    <t>Billed thru 5-12-17</t>
  </si>
  <si>
    <t>3/22/2017, picked up 6-7-17</t>
  </si>
  <si>
    <t>Billed thru 6-22-17</t>
  </si>
  <si>
    <t>Spurr</t>
  </si>
  <si>
    <t>840 E Maryland</t>
  </si>
  <si>
    <t>Water equipment</t>
  </si>
  <si>
    <t>Water ramp, donkey and hoses</t>
  </si>
  <si>
    <t>1/30/2017, picked up 6-12-17</t>
  </si>
  <si>
    <t xml:space="preserve">Billed thru May 2017    </t>
  </si>
  <si>
    <t>RKS Storage Yard</t>
  </si>
  <si>
    <t>backflow &amp; water ramp</t>
  </si>
  <si>
    <t>4/6/2017, picked up 7-10-17</t>
  </si>
  <si>
    <t>Billed thru 7-6-17</t>
  </si>
  <si>
    <t>MHM Builders</t>
  </si>
  <si>
    <t>Rose Lane Market Project</t>
  </si>
  <si>
    <t>11/8/2016, picked up 7-5-17</t>
  </si>
  <si>
    <t>Billed thru 7-8-17</t>
  </si>
  <si>
    <t>K.Hovnanian</t>
  </si>
  <si>
    <t>Affinity of Verado</t>
  </si>
  <si>
    <t>water buffalo</t>
  </si>
  <si>
    <t>4/17/2017, picked up from a different location 6-26-17</t>
  </si>
  <si>
    <t>Billed thru 6-17-17</t>
  </si>
  <si>
    <t>Coronado High</t>
  </si>
  <si>
    <t>5/22/2017, picked up 7-28-17</t>
  </si>
  <si>
    <t>Billed thru 7-22-17</t>
  </si>
  <si>
    <t>38th St &amp; Miami</t>
  </si>
  <si>
    <t>4/22/2016, picked up 8-1-17</t>
  </si>
  <si>
    <t>Southwest Earthworks</t>
  </si>
  <si>
    <t>SE Corner of Indian School Rd &amp; Pima Rd</t>
  </si>
  <si>
    <t>2 sets track out grates</t>
  </si>
  <si>
    <t>11/8/2016, picked up 7-10-17</t>
  </si>
  <si>
    <t>Alma School &amp; Bass Pro Drive (Waypoint)</t>
  </si>
  <si>
    <t>7/27/2015, probably picked up in Dec 2016 of Jan 2017 but was not ever notified.</t>
  </si>
  <si>
    <t>NO Charge, for DS use</t>
  </si>
  <si>
    <t>The School Builder</t>
  </si>
  <si>
    <t>ALA Gilbert South- Reagan</t>
  </si>
  <si>
    <t>3/10/2017, picked up 7-25-17</t>
  </si>
  <si>
    <t>Billed thru 7-10-17</t>
  </si>
  <si>
    <t>New Legacy</t>
  </si>
  <si>
    <t>9521 N 52nd Pl</t>
  </si>
  <si>
    <t>5/1/2017, picked up 8-9-17</t>
  </si>
  <si>
    <t>Billed thru 8-9-17</t>
  </si>
  <si>
    <t>Ethos Construction</t>
  </si>
  <si>
    <t>5580 W Chandler Blvd</t>
  </si>
  <si>
    <t>7/7/2017, picked up 8-10-17</t>
  </si>
  <si>
    <t>Billed thru 8-7-17</t>
  </si>
  <si>
    <t>42nd and Opportunity Way</t>
  </si>
  <si>
    <t>5/31/2017, was stolen</t>
  </si>
  <si>
    <t>Billed thru July 2017</t>
  </si>
  <si>
    <t>Chaparral High</t>
  </si>
  <si>
    <t>5/22/2017, picked up 8-23-17</t>
  </si>
  <si>
    <t>Billed thru 8-22-17</t>
  </si>
  <si>
    <t>Woodruff Construction</t>
  </si>
  <si>
    <t>Mountainview Elementary</t>
  </si>
  <si>
    <t>Backflow, Water donkey and hoses</t>
  </si>
  <si>
    <t>6-16-17, picked up 8-20-17</t>
  </si>
  <si>
    <t>Billed thru 8-20-17</t>
  </si>
  <si>
    <t>Marriott Gazebo</t>
  </si>
  <si>
    <t>7/31/2017, 8-25-17</t>
  </si>
  <si>
    <t>Billed thru August 2017</t>
  </si>
  <si>
    <t>ASU Herberger</t>
  </si>
  <si>
    <t>Billed thru 7-28-17</t>
  </si>
  <si>
    <t>Caruso construction</t>
  </si>
  <si>
    <t>Trilogy at Power Ranch</t>
  </si>
  <si>
    <t>4/5/2017, picked up 9-8-17</t>
  </si>
  <si>
    <t>Billed thru 9-5-17</t>
  </si>
  <si>
    <t>Street Lights</t>
  </si>
  <si>
    <t>Camelback &amp; 28th St</t>
  </si>
  <si>
    <t>4/19/2017, picked up 9-6-17</t>
  </si>
  <si>
    <t>Billed thru 8-19-17</t>
  </si>
  <si>
    <t>Wash Werks Carwash</t>
  </si>
  <si>
    <t>3/3/2017, picked up 9-13-17</t>
  </si>
  <si>
    <t>Billed thru 9-3-17</t>
  </si>
  <si>
    <t>The Whiting Turner</t>
  </si>
  <si>
    <t>Block 23 Archeology Exploration</t>
  </si>
  <si>
    <t>Water meter and backflow and 50' hose.</t>
  </si>
  <si>
    <t>3/8/2017,  6-18-17 purchesed back flow and transferred water meter into their name.</t>
  </si>
  <si>
    <t>Billed thru 9-17-17</t>
  </si>
  <si>
    <t>21st Ave &amp; Cactus</t>
  </si>
  <si>
    <t>9/6/2017, picked up 9-29-17</t>
  </si>
  <si>
    <t>Billed thru 10-6-17</t>
  </si>
  <si>
    <t>Hensel Phelps</t>
  </si>
  <si>
    <t>PSHIA Bldg and Gate</t>
  </si>
  <si>
    <t>3/13/2017, picked up 11-2-17</t>
  </si>
  <si>
    <t>Billed thru 11-13-17</t>
  </si>
  <si>
    <t>Ak-Chin</t>
  </si>
  <si>
    <t>26 temp fence panels</t>
  </si>
  <si>
    <t>9/9/2016, picked up 11-2-17</t>
  </si>
  <si>
    <t>Biled thru 10-9-16</t>
  </si>
  <si>
    <t>Home Depot- Mesa</t>
  </si>
  <si>
    <t>installed 10-19-17</t>
  </si>
  <si>
    <t>Billed thru 11-19-17</t>
  </si>
  <si>
    <t>Trinsic Residential</t>
  </si>
  <si>
    <t>Aura Apartments</t>
  </si>
  <si>
    <t>Water ramp, hoses, and water donkey</t>
  </si>
  <si>
    <t>9/12/2017, picked up 11-17-17</t>
  </si>
  <si>
    <t>Billed thru 11-15-17</t>
  </si>
  <si>
    <t>Popeye's Camelback</t>
  </si>
  <si>
    <t>6/27/2017, picked up 11-17-17</t>
  </si>
  <si>
    <t>Billed thru 11-17-17</t>
  </si>
  <si>
    <t>St. Josephs</t>
  </si>
  <si>
    <t>8/22/2017, picked up 12-1-17</t>
  </si>
  <si>
    <t>Billed thru 11/22/2017</t>
  </si>
  <si>
    <t>Discount Tire Tolleson</t>
  </si>
  <si>
    <t>Backflow, water ramp and hoses.</t>
  </si>
  <si>
    <t>7/19/2017, picked up water ramp and hoses 8-1-17. Picked up backflow 12-1-17</t>
  </si>
  <si>
    <t>Billed thru 10-19-17</t>
  </si>
  <si>
    <t>Parc Midtown</t>
  </si>
  <si>
    <t>2 sets track out grates, removed 1 set 10-26-17</t>
  </si>
  <si>
    <t>7/28/2017, picked up 1-5-18</t>
  </si>
  <si>
    <t>Billed thru 1-5-18</t>
  </si>
  <si>
    <t>Princess</t>
  </si>
  <si>
    <t>11/10/2017, picked up 12-5-17</t>
  </si>
  <si>
    <t>Billed thru 12-10-17</t>
  </si>
  <si>
    <t>Caruso Construction</t>
  </si>
  <si>
    <t>Egg &amp; Joe</t>
  </si>
  <si>
    <t>12/27/2017, picked up 1-10-17</t>
  </si>
  <si>
    <t>Billed thru 1-27-18</t>
  </si>
  <si>
    <t>Scottsdale Springs</t>
  </si>
  <si>
    <t>5/24/2017, picked up 1-16-18</t>
  </si>
  <si>
    <t>Billed thru 1-24-18</t>
  </si>
  <si>
    <t>Zzone Construction</t>
  </si>
  <si>
    <t>Chandler Extra Space Storage</t>
  </si>
  <si>
    <t>Temp Fence, water meter</t>
  </si>
  <si>
    <t>temp fence, water meter</t>
  </si>
  <si>
    <t>temp fence picked up 12-4-17</t>
  </si>
  <si>
    <t>Billed thru 1-4-18</t>
  </si>
  <si>
    <t>6557 S Portugal Circle, Tucson</t>
  </si>
  <si>
    <t>Billed thru 2-1-18</t>
  </si>
  <si>
    <t>MS Square</t>
  </si>
  <si>
    <t>3930 Rancho Dr</t>
  </si>
  <si>
    <t>9/15/2017, picked up 2-2-18</t>
  </si>
  <si>
    <t>Billed thru 2-2-18</t>
  </si>
  <si>
    <t>installed 1-5-18, picked up 2-12-18</t>
  </si>
  <si>
    <t>Billed thru 2-12-18</t>
  </si>
  <si>
    <t>59th &amp; Utopia</t>
  </si>
  <si>
    <t>4/4/2017, picked up 2-20-18</t>
  </si>
  <si>
    <t>Billed thru 2-18-18</t>
  </si>
  <si>
    <t>Dutch Bros. 3215 E Chandler Blvd Awatukee</t>
  </si>
  <si>
    <t>8/31/2017, picked up 2-21-18</t>
  </si>
  <si>
    <t>Billed thru 2-21-18</t>
  </si>
  <si>
    <t>Pro-Low (low mtn)</t>
  </si>
  <si>
    <t>PV303</t>
  </si>
  <si>
    <t>2 sets of Grates</t>
  </si>
  <si>
    <t>10/23/2017 and 11-1-17, picked up 1 set on 1-11-18, picked up 2nd set on 2-21-18</t>
  </si>
  <si>
    <t>Billed thru 1-23-18</t>
  </si>
  <si>
    <t>7/10/2017, picked up 2-27-18</t>
  </si>
  <si>
    <t>Billed thru 2-27-18</t>
  </si>
  <si>
    <t>SE Corner of Price and Fry</t>
  </si>
  <si>
    <t>4 sets of grates</t>
  </si>
  <si>
    <t xml:space="preserve">10/20/2017, </t>
  </si>
  <si>
    <t>Billed thru 2-28-18</t>
  </si>
  <si>
    <t xml:space="preserve">Gallo </t>
  </si>
  <si>
    <t>Jones Ford</t>
  </si>
  <si>
    <t>10/5/2017, picked up 2-26-18</t>
  </si>
  <si>
    <t>Billed thru 2-26-18</t>
  </si>
  <si>
    <t>Seven Foot</t>
  </si>
  <si>
    <t>3802 N 24th ST</t>
  </si>
  <si>
    <t>7/27/2017, picked up 1-18-18</t>
  </si>
  <si>
    <t>Billed thru 1-18-18</t>
  </si>
  <si>
    <t>Mor Furniture (103rd Ave &amp; McDowell)</t>
  </si>
  <si>
    <t>12/6/2017, picked up 4-6-18</t>
  </si>
  <si>
    <t>Billed thru 4-6-18</t>
  </si>
  <si>
    <t>Sharp Creek</t>
  </si>
  <si>
    <t>Ocotillo &amp; Gilbert</t>
  </si>
  <si>
    <t>Water Ramps</t>
  </si>
  <si>
    <t>7/26/2017, picked up 4-12-18</t>
  </si>
  <si>
    <t>Billed thru 4-12-18</t>
  </si>
  <si>
    <t>Oracle</t>
  </si>
  <si>
    <t>Bio-Life</t>
  </si>
  <si>
    <t>6/19/2017, picked up 4-16-18</t>
  </si>
  <si>
    <t>Embree</t>
  </si>
  <si>
    <t>QT</t>
  </si>
  <si>
    <t>Water ramp</t>
  </si>
  <si>
    <t>12/4/2017. picked up 2-28-18</t>
  </si>
  <si>
    <t>AZAP General Contracting</t>
  </si>
  <si>
    <t>6466 W Chandler Blvd</t>
  </si>
  <si>
    <t>10/9/2017, picked up 5-3-18</t>
  </si>
  <si>
    <t>Povolny Group</t>
  </si>
  <si>
    <t>VA Hospital</t>
  </si>
  <si>
    <t>4/13/2018, picked up 5-11-18</t>
  </si>
  <si>
    <t>Billed thru 5-13-18</t>
  </si>
  <si>
    <t>Travata</t>
  </si>
  <si>
    <t>3/19/2018, picked up 5-11-18</t>
  </si>
  <si>
    <t>Billed thru 5-11-18</t>
  </si>
  <si>
    <t>Dog Park</t>
  </si>
  <si>
    <t>2/19/2018, picked up 5-14-18</t>
  </si>
  <si>
    <t>billed thru 5-14-18</t>
  </si>
  <si>
    <t>Ace Asphalt</t>
  </si>
  <si>
    <t>NWC of 94th Ave &amp; Buckeye</t>
  </si>
  <si>
    <t>Watertower</t>
  </si>
  <si>
    <t>watertower</t>
  </si>
  <si>
    <t>3/23/2018, brought back 5-18-18</t>
  </si>
  <si>
    <t>Billed thru 5-23-18</t>
  </si>
  <si>
    <t>water crossing, hoses, backflow and water tower.</t>
  </si>
  <si>
    <t>Picked up water tower, water ramps and hoses.</t>
  </si>
  <si>
    <t>Billed thru 4-23-18</t>
  </si>
  <si>
    <t>McGough</t>
  </si>
  <si>
    <t>Mayo SSB</t>
  </si>
  <si>
    <t>Asphalt track out grates</t>
  </si>
  <si>
    <t>Billed thru 5-7-18</t>
  </si>
  <si>
    <t>Chewy</t>
  </si>
  <si>
    <t>Temp Fence, 2 sets of Grates</t>
  </si>
  <si>
    <t>Temp fence, grates</t>
  </si>
  <si>
    <t>2/10/2018, picked up 2 sets of grates on 4-23-18</t>
  </si>
  <si>
    <t>Billed thru 5-10-18</t>
  </si>
  <si>
    <t>Talon</t>
  </si>
  <si>
    <t>AFB Fuel facility</t>
  </si>
  <si>
    <t>Water ramps</t>
  </si>
  <si>
    <t>5/14/2018, 5-29-18</t>
  </si>
  <si>
    <t>Billed thru 6-14-18</t>
  </si>
  <si>
    <t>Elite Fitness</t>
  </si>
  <si>
    <t>10/6/2017, picked up 6-19-18</t>
  </si>
  <si>
    <t>Billed thru 6-6-18</t>
  </si>
  <si>
    <t>ED Smith</t>
  </si>
  <si>
    <t>Apache Trail &amp; Phelps Dr</t>
  </si>
  <si>
    <t>12/7/2017, picked up 6-21-18</t>
  </si>
  <si>
    <t>Billed thru 6-7-18</t>
  </si>
  <si>
    <t>Dutch Bros. 3670 S Val Vista- Gilbert</t>
  </si>
  <si>
    <t>1/23/2018, picked up 4-26-18</t>
  </si>
  <si>
    <t>Steve Julius Construction</t>
  </si>
  <si>
    <t>Discount Tire Tucson</t>
  </si>
  <si>
    <t>11/3/2017, picked up 4-3-18</t>
  </si>
  <si>
    <t>Billed thru 4-3-17</t>
  </si>
  <si>
    <t>DBC Parking Structure</t>
  </si>
  <si>
    <t>2/14/2018, picked up 7-11-18</t>
  </si>
  <si>
    <t>Billed Thru 7-14-18</t>
  </si>
  <si>
    <t>Longbow heartland dental</t>
  </si>
  <si>
    <t>4/11/2018, picked up 7-12-18</t>
  </si>
  <si>
    <t>Billed thru 7-11-18</t>
  </si>
  <si>
    <t>The Met- 3675 W Chandler Blvd</t>
  </si>
  <si>
    <t>11/28/2017, picked up 7-13-18</t>
  </si>
  <si>
    <t>Billed thru 7-12-18</t>
  </si>
  <si>
    <t>Metal Media</t>
  </si>
  <si>
    <t>740 W Grant St</t>
  </si>
  <si>
    <t>6/7/2018, picked up 7-17-18</t>
  </si>
  <si>
    <t>Billed thru 7-7-18</t>
  </si>
  <si>
    <t>West Glen Villas</t>
  </si>
  <si>
    <t>7310 W Cactus Wren</t>
  </si>
  <si>
    <t>5/25/2018, picked up 7-19-18</t>
  </si>
  <si>
    <t>Billed thru 7-18-18</t>
  </si>
  <si>
    <t>11/20/2017, picked up 7-30-18</t>
  </si>
  <si>
    <t>billed thru 7-30-18</t>
  </si>
  <si>
    <t>Agave Residences</t>
  </si>
  <si>
    <t>Billed thru 8-2-18</t>
  </si>
  <si>
    <t>School Builder</t>
  </si>
  <si>
    <t>Avalon at Chandler Park</t>
  </si>
  <si>
    <t>12/20/2017, picked up 7-12-18</t>
  </si>
  <si>
    <t>Weitz</t>
  </si>
  <si>
    <t>Sagewood- PHASE 1F</t>
  </si>
  <si>
    <t>Water meter, backflow and donkey</t>
  </si>
  <si>
    <t>6/22/2016, picked up water donkey  1-17-17, picked up backflow and meter 8-10-18</t>
  </si>
  <si>
    <t>Billed thru 8-10-18</t>
  </si>
  <si>
    <t>Monolith Storage</t>
  </si>
  <si>
    <t>Water meter, backflow,water crossing, water donkey and hoses.</t>
  </si>
  <si>
    <t>Water meter, backflow, overhead tower, water crossing, water donkey and hoses.</t>
  </si>
  <si>
    <t>8/22/2017, picked up 8-10-18</t>
  </si>
  <si>
    <t>billed thru 8-10-17</t>
  </si>
  <si>
    <t>3/16/2016, picked up 8-28-18</t>
  </si>
  <si>
    <t>Billed thru 8-28-18</t>
  </si>
  <si>
    <t>Caruso</t>
  </si>
  <si>
    <t>Seville Country Club</t>
  </si>
  <si>
    <t>4/30/2018, picked up 9-17-18</t>
  </si>
  <si>
    <t>Billed thru 9-17-18</t>
  </si>
  <si>
    <t>ASU Polytech</t>
  </si>
  <si>
    <t>7/20/2018, picked up 9-20-18</t>
  </si>
  <si>
    <t>Billed thru 8-20-18</t>
  </si>
  <si>
    <t>Dollar General Surprise</t>
  </si>
  <si>
    <t>Sidewalk ramp</t>
  </si>
  <si>
    <t xml:space="preserve">sidewalk ramp </t>
  </si>
  <si>
    <t>9/10/2018, picked up 9-20-18</t>
  </si>
  <si>
    <t>Billed thru 10-10-18</t>
  </si>
  <si>
    <t>Shawmut Design (transferred from AR Mays)</t>
  </si>
  <si>
    <t>Apple Scottsdale (Was SFS Barneys)</t>
  </si>
  <si>
    <t>7/12/2017, picked up 9-29-18</t>
  </si>
  <si>
    <t>Billed thru 9-29-18</t>
  </si>
  <si>
    <t>SRPMIC Police Evidence Facility</t>
  </si>
  <si>
    <t>8/3/2018, picked up 10-3-18</t>
  </si>
  <si>
    <t>Billed thru 10-3-18</t>
  </si>
  <si>
    <t>Homes Point 16</t>
  </si>
  <si>
    <t>4/14/2017, picked up 10-3-18</t>
  </si>
  <si>
    <t>Four Seasons Troon</t>
  </si>
  <si>
    <t>6/25/2018, picked up 10-13-18</t>
  </si>
  <si>
    <t>Billed thru 10-25-18</t>
  </si>
  <si>
    <t>St. Josephs Café</t>
  </si>
  <si>
    <t>temps fence</t>
  </si>
  <si>
    <t>3/1/2018, picked up 10-15-18</t>
  </si>
  <si>
    <t>Billed thru October 2018</t>
  </si>
  <si>
    <t>Hospitality Builders</t>
  </si>
  <si>
    <t>Scottsdale Links Resort</t>
  </si>
  <si>
    <t>5/3/2018, picked up 10-15-18</t>
  </si>
  <si>
    <t>Billed thru 10-22-18</t>
  </si>
  <si>
    <t>7/10/2018, picked up 10-23-18</t>
  </si>
  <si>
    <t>Billed thru 10-23-18</t>
  </si>
  <si>
    <t>45 Buchanan</t>
  </si>
  <si>
    <t>5/18/2018, picked up 10-24-18</t>
  </si>
  <si>
    <t>Billed thru 10-26-18</t>
  </si>
  <si>
    <t>Sierra Springs</t>
  </si>
  <si>
    <t>Osborn &amp; Longview</t>
  </si>
  <si>
    <t>sidewalk ramps/curb ramp</t>
  </si>
  <si>
    <t>8/24/2018, picked up 10-25-18</t>
  </si>
  <si>
    <t>Billed thru 9-24-18</t>
  </si>
  <si>
    <t>Hacienda at Fairmont Princess</t>
  </si>
  <si>
    <t>Billed thru 9-26-18</t>
  </si>
  <si>
    <t>Radisson Hotel #18</t>
  </si>
  <si>
    <t>7/17/2018, removed 12-7-18</t>
  </si>
  <si>
    <t>Billed thru 12-7-18</t>
  </si>
  <si>
    <t>Freedom Financial PH.2</t>
  </si>
  <si>
    <t>3/28/2018, picked up 12-19-18</t>
  </si>
  <si>
    <t>Billed thru 10-28-18</t>
  </si>
  <si>
    <t>Kennedy Design</t>
  </si>
  <si>
    <t>Reliance Riverview</t>
  </si>
  <si>
    <t>5/4/2017, picked up 12-19-18</t>
  </si>
  <si>
    <t>Billed thru 12-4-18</t>
  </si>
  <si>
    <t>Young, Swenson &amp; Cross</t>
  </si>
  <si>
    <t>St.Johns High School</t>
  </si>
  <si>
    <t>3/24/2017, picked up 12-27-18</t>
  </si>
  <si>
    <t>Billed thru 12-24-18</t>
  </si>
  <si>
    <t>4719 E Palo Verde Dr</t>
  </si>
  <si>
    <t>11/2/2017, picked up 12-27-18</t>
  </si>
  <si>
    <t>Billed thru 12-2-18</t>
  </si>
  <si>
    <t>Villago Aspire</t>
  </si>
  <si>
    <t>12/11/2018, picked up 1-5-19</t>
  </si>
  <si>
    <t>Billed thru 1-11-19</t>
  </si>
  <si>
    <t>Mitchell</t>
  </si>
  <si>
    <t>Starbucks- 221 E Dunlap</t>
  </si>
  <si>
    <t>10/18/2018, picked up 1-9-19</t>
  </si>
  <si>
    <t>Billed thru 1-9-19</t>
  </si>
  <si>
    <t>Crossland Construction</t>
  </si>
  <si>
    <t>Tru By Hilton</t>
  </si>
  <si>
    <t>4/11/2018, picked up 12-27-18</t>
  </si>
  <si>
    <t>Billed thru 12-27-18</t>
  </si>
  <si>
    <t>CAZ 7 Project Flight</t>
  </si>
  <si>
    <t>picked up 1-17-19</t>
  </si>
  <si>
    <t>Billed thru 1-12-19</t>
  </si>
  <si>
    <t>Starbucks- 9679 N Haydon</t>
  </si>
  <si>
    <t>9/24/2018, picked up 1-22-19</t>
  </si>
  <si>
    <t>Billed thru 1-22-19</t>
  </si>
  <si>
    <t>Starbucks- 35th Ave &amp; Bell</t>
  </si>
  <si>
    <t>11/1/2018, picked up 1-21-19</t>
  </si>
  <si>
    <t>Billed thru January 2019</t>
  </si>
  <si>
    <t>Paul Chavez</t>
  </si>
  <si>
    <t>8046 Thomas</t>
  </si>
  <si>
    <t>11/10/2017, picked up 1-28-19</t>
  </si>
  <si>
    <t>Billed thru 1-28-19</t>
  </si>
  <si>
    <t>Benchmark electronics</t>
  </si>
  <si>
    <t>Four Seasons Wickenburg</t>
  </si>
  <si>
    <t>12/3/2018, removed 1-8-19</t>
  </si>
  <si>
    <t>Billed thru 1-8-19</t>
  </si>
  <si>
    <t>Newman Builders</t>
  </si>
  <si>
    <t>Desert Mtn Sonoran Restroom Project</t>
  </si>
  <si>
    <t>7/13/2018, picked up 1-30-19</t>
  </si>
  <si>
    <t>Billed thru 2-13-19</t>
  </si>
  <si>
    <t>Phx sky train stage 2</t>
  </si>
  <si>
    <t>8/20/2018, picked up 2-5-19</t>
  </si>
  <si>
    <t>Billed thru 2-5-19</t>
  </si>
  <si>
    <t>Tolleson Logistic Center</t>
  </si>
  <si>
    <t>2/6/2018, picked up 2-12-19</t>
  </si>
  <si>
    <t>Billed thru 2-6-19</t>
  </si>
  <si>
    <t>21st St &amp; Morton</t>
  </si>
  <si>
    <t>10/20/2017, picked up 2-14-19</t>
  </si>
  <si>
    <t>Billed thru 2-20-19</t>
  </si>
  <si>
    <t>Aire</t>
  </si>
  <si>
    <t>8/3/2017, removed 2-14-19</t>
  </si>
  <si>
    <t>Billed thru 2-3-19</t>
  </si>
  <si>
    <t>Pride Contracting</t>
  </si>
  <si>
    <t>Circle K 7th St</t>
  </si>
  <si>
    <t>8/7/2018, removed everything 2-4-19</t>
  </si>
  <si>
    <t>billed thru 2-7-19</t>
  </si>
  <si>
    <t xml:space="preserve">Knipp </t>
  </si>
  <si>
    <t>Moran Lumber</t>
  </si>
  <si>
    <t>9/17/2018, requested them to be picked up 2-20-19.  We didn't actually pick them up until 3-5-19</t>
  </si>
  <si>
    <t>Billed thru 2-21-19</t>
  </si>
  <si>
    <t>JW Marriott</t>
  </si>
  <si>
    <t>10/1/2019, picked up 3-11-19</t>
  </si>
  <si>
    <t>Billed thru 3-11-19</t>
  </si>
  <si>
    <t>Double Tree Suites</t>
  </si>
  <si>
    <t>6/5/2018, picked up 3-13-19</t>
  </si>
  <si>
    <t>Billed thru 3-5-19</t>
  </si>
  <si>
    <t>Logos</t>
  </si>
  <si>
    <t>SEC of Devonshire and 12th St</t>
  </si>
  <si>
    <t>Water ramp and donkey</t>
  </si>
  <si>
    <t>8/24/2018, picked up 3-22-19</t>
  </si>
  <si>
    <t>Billed thru 2-24-19</t>
  </si>
  <si>
    <t>Paradise Valley Property Maintenance</t>
  </si>
  <si>
    <t>411 W 5th St</t>
  </si>
  <si>
    <t>6/19/2018, picked up 2-28-19</t>
  </si>
  <si>
    <t>Billed thru 2-28-19</t>
  </si>
  <si>
    <t>Pinnacle Peak Country Club</t>
  </si>
  <si>
    <t>6/5/2018, picked up 3-25-19</t>
  </si>
  <si>
    <t>Pinnacle at Silverstone</t>
  </si>
  <si>
    <t>3/20/2019, picked up 4-1-19</t>
  </si>
  <si>
    <t>Billed thru 4-20-19</t>
  </si>
  <si>
    <t>Mulberry North</t>
  </si>
  <si>
    <t>Backflow, water donkey</t>
  </si>
  <si>
    <t>backflow, water donkey</t>
  </si>
  <si>
    <t>7/30/2018, picked up 4-1-19</t>
  </si>
  <si>
    <t>Billed thru 3-30-19</t>
  </si>
  <si>
    <t>West 80</t>
  </si>
  <si>
    <t>8/23/2018, picked up 4-2-19</t>
  </si>
  <si>
    <t>Billed thru 2-23-19</t>
  </si>
  <si>
    <t>Dutch Bros. (1370 N Higley)</t>
  </si>
  <si>
    <t>12/15/2018, picked up 4-15-19</t>
  </si>
  <si>
    <t>Billed thru 3-15-19</t>
  </si>
  <si>
    <t>ED Smith Paving</t>
  </si>
  <si>
    <t>99th Ave &amp; Jomax</t>
  </si>
  <si>
    <t>3/13/2019, picked up 4-24-19</t>
  </si>
  <si>
    <t>Billed thru 4-13-19</t>
  </si>
  <si>
    <t xml:space="preserve">SRP Storage Yard </t>
  </si>
  <si>
    <t>2/12/2019, picked up 4-30-19</t>
  </si>
  <si>
    <t>Billed thru 4-30-19</t>
  </si>
  <si>
    <t>Nitti</t>
  </si>
  <si>
    <t>13650 N 99th Ave</t>
  </si>
  <si>
    <t>Barricades</t>
  </si>
  <si>
    <t>10/26/2018, picked up 4-30-19</t>
  </si>
  <si>
    <t>Killian Western</t>
  </si>
  <si>
    <t>Aloft</t>
  </si>
  <si>
    <t>sidewalk ramp/Backflow</t>
  </si>
  <si>
    <t>3/16/2018, picked up 3-26-19</t>
  </si>
  <si>
    <t>Billed thru 3-26-19</t>
  </si>
  <si>
    <t>Moog</t>
  </si>
  <si>
    <t>9/10/2018, picked up 3-19-19</t>
  </si>
  <si>
    <t>Billed thru 3-19-19</t>
  </si>
  <si>
    <t>N &amp; E Construction</t>
  </si>
  <si>
    <t>5502 E Weather Fields Rd</t>
  </si>
  <si>
    <t>1/4/2018, picked up 5-21-19</t>
  </si>
  <si>
    <t>Billed thru 5-21-19</t>
  </si>
  <si>
    <t>DR Horton</t>
  </si>
  <si>
    <t>Circle Cross</t>
  </si>
  <si>
    <t>11/6/2018, picked up 5-13-19</t>
  </si>
  <si>
    <t>Billed thru 5-13-19</t>
  </si>
  <si>
    <t>Bergman KPRS</t>
  </si>
  <si>
    <t xml:space="preserve">Arrowhead Orchard Medical </t>
  </si>
  <si>
    <t>backflow &amp; Donkey</t>
  </si>
  <si>
    <t>7/24/2018, removed 5-22-19</t>
  </si>
  <si>
    <t>Billed thru 5-22-19</t>
  </si>
  <si>
    <t>Kessler Construction</t>
  </si>
  <si>
    <t>8195 E Lone Mountain</t>
  </si>
  <si>
    <t>7/17/2017, picked up 5-24-19</t>
  </si>
  <si>
    <t>Billed thru 5-24-19</t>
  </si>
  <si>
    <t>Rigley Extra Space</t>
  </si>
  <si>
    <t>3/1/2019, picked up 3-8-19. 4-30-19, picked up 5-17-19)</t>
  </si>
  <si>
    <t>Billed thru 4-1-19, 5-17-19</t>
  </si>
  <si>
    <t>Tolleson HS#7</t>
  </si>
  <si>
    <t>1-9-19 and 1-16-19, picked up 6-5-19</t>
  </si>
  <si>
    <t>Billed thru 6-13-19</t>
  </si>
  <si>
    <t xml:space="preserve">Pro-Low </t>
  </si>
  <si>
    <t>Element Hotel</t>
  </si>
  <si>
    <t xml:space="preserve">water ramps  </t>
  </si>
  <si>
    <t>Billed thru 6-5-19</t>
  </si>
  <si>
    <t>Sun Valley Builders</t>
  </si>
  <si>
    <t>Trevor Brown HS</t>
  </si>
  <si>
    <t>11/27/2018, picked up 6-5-19</t>
  </si>
  <si>
    <t>Billed thru 6-27-19</t>
  </si>
  <si>
    <t>Biolife Mesa</t>
  </si>
  <si>
    <t>temp fence, water meter, backflow, water donkey, hose.</t>
  </si>
  <si>
    <t>Billed thru 5-2-19</t>
  </si>
  <si>
    <t>Silverleaf</t>
  </si>
  <si>
    <t>12/12/2018, removed 6-13-19</t>
  </si>
  <si>
    <t>Billed thru 6-12-19</t>
  </si>
  <si>
    <t>Texas Alliance Group</t>
  </si>
  <si>
    <t>Autozone #4491- Glendale</t>
  </si>
  <si>
    <t>Meter, backflow, water donkey, hoses</t>
  </si>
  <si>
    <t>Meter, Backflow, water donkey</t>
  </si>
  <si>
    <t>1/31/2019, picked up fence 5-10-19, picked up backflow and other accessories 6-24-19</t>
  </si>
  <si>
    <t>Billed thru 6-20-19</t>
  </si>
  <si>
    <t>Franciscan Renewal</t>
  </si>
  <si>
    <t>10/23/2018, PICKED UP 6-26-19</t>
  </si>
  <si>
    <t>Billed thru 6-23-19</t>
  </si>
  <si>
    <t>40094 N Costa Del sol</t>
  </si>
  <si>
    <t>6/1/2018, picked up 6-28-19</t>
  </si>
  <si>
    <t>Billed thru June 2019</t>
  </si>
  <si>
    <t>Retreat at Alameda</t>
  </si>
  <si>
    <t>Sidewalk ramp, hose</t>
  </si>
  <si>
    <t>4/23/2019, removed 4-26-19</t>
  </si>
  <si>
    <t>Billed thru 5-23-19</t>
  </si>
  <si>
    <t>Magma Ranch</t>
  </si>
  <si>
    <t>1/12/2019, removed 1 ramp 6-6-19, removed 2nd ramp 7-10-19</t>
  </si>
  <si>
    <t>Billed thru 7-12-19</t>
  </si>
  <si>
    <t>Lotus</t>
  </si>
  <si>
    <t>12/4/2018, picked up 7-31-19</t>
  </si>
  <si>
    <t>Billed thru 7-31-19</t>
  </si>
  <si>
    <t>Valle Luna</t>
  </si>
  <si>
    <t>Marriott Hotel- Mesa</t>
  </si>
  <si>
    <t>Donkey and grates</t>
  </si>
  <si>
    <t>10/20/2017, picked up grates 5-10-19, picked up donkey 8-2-19</t>
  </si>
  <si>
    <t>Billed thru 7-20-19</t>
  </si>
  <si>
    <t>Pro-Low</t>
  </si>
  <si>
    <t>City North Ph.2</t>
  </si>
  <si>
    <t>6/5/2019, picked up 8-7-19</t>
  </si>
  <si>
    <t>Billed thru 8-5-19</t>
  </si>
  <si>
    <t>9/12/2017, picked up 11-17-17, reinstalled 11-27-18, removed 8-15-19</t>
  </si>
  <si>
    <t>Billed thru 8-15-19</t>
  </si>
  <si>
    <t>202 Logistics</t>
  </si>
  <si>
    <t xml:space="preserve">Water meter, backflow  </t>
  </si>
  <si>
    <t>3/25/2019, removed 8-5-19</t>
  </si>
  <si>
    <t>6/25/2019, picked up 8-19-19</t>
  </si>
  <si>
    <t>Billed thru 8-19-19</t>
  </si>
  <si>
    <t>7/31/2019, removed 8-28-19</t>
  </si>
  <si>
    <t>Billed thru August 2019</t>
  </si>
  <si>
    <t>Image Builders</t>
  </si>
  <si>
    <t>AZ Grand Event Center</t>
  </si>
  <si>
    <t>Temp Fence, 4 Flat grates</t>
  </si>
  <si>
    <t>12/8/2018, picked up grates on 7-3-19, picked up fence on 7-5-19</t>
  </si>
  <si>
    <t>Billed thru 7-8-19</t>
  </si>
  <si>
    <t>Whiting Turner</t>
  </si>
  <si>
    <t>Midieval Times</t>
  </si>
  <si>
    <t>5/9/2018, picked up 7-17-19</t>
  </si>
  <si>
    <t>Billed thru 7-17-19</t>
  </si>
  <si>
    <t>DBC The rock Church</t>
  </si>
  <si>
    <t>temp</t>
  </si>
  <si>
    <t>5/2/2019, removed 7-31-19</t>
  </si>
  <si>
    <t>Billed thru 8-2-19</t>
  </si>
  <si>
    <t xml:space="preserve">Street Lights </t>
  </si>
  <si>
    <t>Tempe 2100 RIO</t>
  </si>
  <si>
    <t>4/2/2018, picked up 1 set 8-9-19, picked up 2nd set 8-27-19</t>
  </si>
  <si>
    <t>Billed thru 9-18-19</t>
  </si>
  <si>
    <t>Foothills Storage</t>
  </si>
  <si>
    <t>Meter, Backflow, Temp Fence, water donkey</t>
  </si>
  <si>
    <t>12/22/2017 Removed everything 9-10-19 and 9-12-19</t>
  </si>
  <si>
    <t>Billed thru 9-10-19</t>
  </si>
  <si>
    <t>UEB</t>
  </si>
  <si>
    <t>3rd &amp; Pierce</t>
  </si>
  <si>
    <t>10/19/2017, removed 9-18-19</t>
  </si>
  <si>
    <t>Radius Contractors</t>
  </si>
  <si>
    <t>3701 N Marshall Way</t>
  </si>
  <si>
    <t>6/5/2019, removed 9-17-19</t>
  </si>
  <si>
    <t>Billed thru 9-17-19</t>
  </si>
  <si>
    <t>Skye (68th &amp; McDowell)</t>
  </si>
  <si>
    <t>9/23/2017, removed 9-23-19</t>
  </si>
  <si>
    <t>Billed thru 9-23-19</t>
  </si>
  <si>
    <t>Princeton Construction</t>
  </si>
  <si>
    <t>Pima Crossing Pad BLDG</t>
  </si>
  <si>
    <t>backflow, donkey, water ramp</t>
  </si>
  <si>
    <t>1/4/2019, removed 8-9-19</t>
  </si>
  <si>
    <t>Billed thru 8-4-19</t>
  </si>
  <si>
    <t>10/18/2017, removed 7-2-19</t>
  </si>
  <si>
    <t>Billed thru 7-2-19</t>
  </si>
  <si>
    <t>Adeline</t>
  </si>
  <si>
    <t>Water donkey and hose</t>
  </si>
  <si>
    <t>Water Donkey and hoses</t>
  </si>
  <si>
    <t>9/5/2019, picked up 10-2-19</t>
  </si>
  <si>
    <t>Billed thru 10-5-19</t>
  </si>
  <si>
    <t>Calla Development</t>
  </si>
  <si>
    <t>4919 E Friess</t>
  </si>
  <si>
    <t>4/2/2019, picked up 10-3-19</t>
  </si>
  <si>
    <t>Billed thru 10-2-19</t>
  </si>
  <si>
    <t>48LF</t>
  </si>
  <si>
    <t>Stewart Ranch (22645 N 152nd St)</t>
  </si>
  <si>
    <t>6/18/2019, picked up 10-23-19</t>
  </si>
  <si>
    <t>Billed thru 10-23-19</t>
  </si>
  <si>
    <t>456LF</t>
  </si>
  <si>
    <t>FMC- Chandler</t>
  </si>
  <si>
    <t>11/14/2018, picked up 9-16-19</t>
  </si>
  <si>
    <t>Billed thru 9-14-19</t>
  </si>
  <si>
    <t>RPM</t>
  </si>
  <si>
    <t>1645 W Olive Ave</t>
  </si>
  <si>
    <t>7/11/2019. picked up 11-1-19</t>
  </si>
  <si>
    <t>Billed thru 9-11-19</t>
  </si>
  <si>
    <t>108LF</t>
  </si>
  <si>
    <t>Kruidener Construction</t>
  </si>
  <si>
    <t>27939 N 100th Pl Lot 105</t>
  </si>
  <si>
    <t>8/1/2019, removed 11-1-19</t>
  </si>
  <si>
    <t>Billed thru 10-1-19</t>
  </si>
  <si>
    <t>Chauncey</t>
  </si>
  <si>
    <t>8/30/2017, removed all fence 10-25-19</t>
  </si>
  <si>
    <t>Billed thru October 2019</t>
  </si>
  <si>
    <t>1188LF</t>
  </si>
  <si>
    <t>5225 N Woodmere</t>
  </si>
  <si>
    <t>6/28/2019, removed 11-5-19</t>
  </si>
  <si>
    <t>Billed thru 11-5-19</t>
  </si>
  <si>
    <t>180LF</t>
  </si>
  <si>
    <t>RSG Builders</t>
  </si>
  <si>
    <t>Perimeter Center</t>
  </si>
  <si>
    <t>12/6/2018, Picked up 11-8-19</t>
  </si>
  <si>
    <t>Billed thru 11-6-19</t>
  </si>
  <si>
    <t>Northridge Construction</t>
  </si>
  <si>
    <t xml:space="preserve">Extended Stay </t>
  </si>
  <si>
    <t>11/12/2018, removed 11-11-19</t>
  </si>
  <si>
    <t>Billed thru 11-12-19</t>
  </si>
  <si>
    <t>792LF</t>
  </si>
  <si>
    <t>Rivulon commons</t>
  </si>
  <si>
    <t>3/9/2018, removed 11-11-19</t>
  </si>
  <si>
    <t>Billed thru 11-9-19</t>
  </si>
  <si>
    <t>CAZ 5 Bldg 1 &amp; 2- switched to CAZ 5 Parking Garage</t>
  </si>
  <si>
    <t>6/4/2018, 11-20-19</t>
  </si>
  <si>
    <t>Billed thru 11-20-19</t>
  </si>
  <si>
    <t>Home Depot 0408</t>
  </si>
  <si>
    <t>Asphalt Rumble Grates</t>
  </si>
  <si>
    <t>8/21/2019, removed 11-20-19</t>
  </si>
  <si>
    <t>Billed thru 11-21-19</t>
  </si>
  <si>
    <t>Wickenburg Community Center</t>
  </si>
  <si>
    <t>Backflow, water ramps, hoses, barricades</t>
  </si>
  <si>
    <t>Picked up 11-21-19</t>
  </si>
  <si>
    <t>DBC Cave Creek</t>
  </si>
  <si>
    <t>8/9/2019, picked up 9-16-19, Installed 2 panels 10-25-19, picked up 11-25-19</t>
  </si>
  <si>
    <t>Billed thru 11-25-19</t>
  </si>
  <si>
    <t>1050 E Whitton Ave</t>
  </si>
  <si>
    <t>6/3/2019, picked up 11-26-19</t>
  </si>
  <si>
    <t>Billed thru 10-3-19</t>
  </si>
  <si>
    <t>72LF</t>
  </si>
  <si>
    <t>Contegra</t>
  </si>
  <si>
    <t>Walgreens Chandler</t>
  </si>
  <si>
    <t>8/8/2019, picked up 11-19-19</t>
  </si>
  <si>
    <t>Billed thru 11-19-19</t>
  </si>
  <si>
    <t xml:space="preserve">120LF </t>
  </si>
  <si>
    <t>4512 E Mulberry Dr</t>
  </si>
  <si>
    <t>5/1/2019, picked up 12-3-19</t>
  </si>
  <si>
    <t>Billed thru November 2019</t>
  </si>
  <si>
    <t>228LF</t>
  </si>
  <si>
    <t>Scottsdale Heights</t>
  </si>
  <si>
    <t>Eye Wash Station</t>
  </si>
  <si>
    <t>10/4/2019, picked up 12-6-19</t>
  </si>
  <si>
    <t>Billed thru 12-4-19</t>
  </si>
  <si>
    <t>Wes Laphen</t>
  </si>
  <si>
    <t>2488 W Jasper Ave</t>
  </si>
  <si>
    <t>temp fence, Mike's friend, only keeping a couple weeks, not in QB guy paid $100 cash.</t>
  </si>
  <si>
    <t>Wes from Torrent, installed 10-19-17, Mike said we picked them up but no one must have notified us.</t>
  </si>
  <si>
    <t>Billed on 8-14-18</t>
  </si>
  <si>
    <t>Westin Kierland</t>
  </si>
  <si>
    <t>6/13/2019, picked up 1-2-20</t>
  </si>
  <si>
    <t>Billed thru 1-2-20</t>
  </si>
  <si>
    <t>Pad 3 Someburros</t>
  </si>
  <si>
    <t>8/28/2019, picked up 1-9-20</t>
  </si>
  <si>
    <t>Billed thru 1-9-20</t>
  </si>
  <si>
    <t>624LF</t>
  </si>
  <si>
    <t>1st Park- Cotton &amp; Indian School</t>
  </si>
  <si>
    <t>5/3/2019, picked up 1-3-20</t>
  </si>
  <si>
    <t>Billed thru 1-3-20</t>
  </si>
  <si>
    <t>Green Street Communities</t>
  </si>
  <si>
    <t>4156 N 33rd Pl</t>
  </si>
  <si>
    <t>metal rumble plates</t>
  </si>
  <si>
    <t>4/12/2019, picked up 11-15-19</t>
  </si>
  <si>
    <t>Summit at Silverstone</t>
  </si>
  <si>
    <t>Dayton Apartments</t>
  </si>
  <si>
    <t>Water ramps, backflow</t>
  </si>
  <si>
    <t>10/25/2019, picked up 1-22-20</t>
  </si>
  <si>
    <t>Billed thru 1-25-20</t>
  </si>
  <si>
    <t>Crossland</t>
  </si>
  <si>
    <t>Tru &amp; Springhill Suites</t>
  </si>
  <si>
    <t>7/26/2019, picked up 1-31-20</t>
  </si>
  <si>
    <t>Billed thru 01/26/2020</t>
  </si>
  <si>
    <t>Air Products</t>
  </si>
  <si>
    <t>5/22/2019, Removed 2-5-20</t>
  </si>
  <si>
    <t>Billed thru January 2020</t>
  </si>
  <si>
    <t>Copper Basin</t>
  </si>
  <si>
    <t>11/6/2018, removed 1-30-20</t>
  </si>
  <si>
    <t>Billed thru 1-30-20</t>
  </si>
  <si>
    <t>Paradise Honors</t>
  </si>
  <si>
    <t>11/26/2019, picked up 2-21-20</t>
  </si>
  <si>
    <t>Billed thru 2-21-20</t>
  </si>
  <si>
    <t>RCDS now under Briston</t>
  </si>
  <si>
    <t>3/27/2017, removed 2-22-20</t>
  </si>
  <si>
    <t>Billed thru 2-22-20</t>
  </si>
  <si>
    <t>CE Residential</t>
  </si>
  <si>
    <t>MM34</t>
  </si>
  <si>
    <t>water ramps, curb ramps, backflow, signs</t>
  </si>
  <si>
    <t>3/17/2018, should have removed in November, but we didn't until January 2020.</t>
  </si>
  <si>
    <t>Billed thru 12/17/2019</t>
  </si>
  <si>
    <t>2237 E Mercer Lane</t>
  </si>
  <si>
    <t>9/9/2019, picked up 1-29-20</t>
  </si>
  <si>
    <t>Billed thru 02/09/2020</t>
  </si>
  <si>
    <t xml:space="preserve">72LF </t>
  </si>
  <si>
    <t>Mitchell General</t>
  </si>
  <si>
    <t>PLS 4302 W McDowell</t>
  </si>
  <si>
    <t>12/3/2019, picked up 2-28-20</t>
  </si>
  <si>
    <t>Billed thru 03/03/2020</t>
  </si>
  <si>
    <t>Roca Verde Design</t>
  </si>
  <si>
    <t>Pitchfork Mesa 500</t>
  </si>
  <si>
    <t>3/27/2019, picked up 1-23-20</t>
  </si>
  <si>
    <t>Billed thru 01/27/2020</t>
  </si>
  <si>
    <t>768LF</t>
  </si>
  <si>
    <t>Tre Vincino</t>
  </si>
  <si>
    <t>9/10/2019, picked up 2-26-20</t>
  </si>
  <si>
    <t>Billed thru 02/26/2020</t>
  </si>
  <si>
    <t>Avondale 101 Logistics</t>
  </si>
  <si>
    <t>10/4/2019, picked up 3-6-20</t>
  </si>
  <si>
    <t>Billed thru 02-04-2020</t>
  </si>
  <si>
    <t>Fortress</t>
  </si>
  <si>
    <t>Novella Biltmore</t>
  </si>
  <si>
    <t>Grates #1 and #7</t>
  </si>
  <si>
    <t>12/16/2019, removed 3-25-20</t>
  </si>
  <si>
    <t>Billed thru 02/16/2020</t>
  </si>
  <si>
    <t>Torri</t>
  </si>
  <si>
    <t>5725 N 10th Place</t>
  </si>
  <si>
    <t>1/2/2020, Picked up 3-24-20</t>
  </si>
  <si>
    <t>Billed thru 3-24-20</t>
  </si>
  <si>
    <t>Hiedi's Village</t>
  </si>
  <si>
    <t>Grates &amp; water donkey</t>
  </si>
  <si>
    <t>4/2/2019, removed grates 3-27-20</t>
  </si>
  <si>
    <t>Billed thru 4-2-20</t>
  </si>
  <si>
    <t>Gateway Chevrolet</t>
  </si>
  <si>
    <t>Parking Lot Expansion</t>
  </si>
  <si>
    <t>Backflow, water tower</t>
  </si>
  <si>
    <t>7/29/2019, removed backflow 3-24-20</t>
  </si>
  <si>
    <t>Form Third- NOW BILLED TO Wilderness DTPHX</t>
  </si>
  <si>
    <t>AZ Wilderness Brewing</t>
  </si>
  <si>
    <t>Billed thru December 2019, then they purchased fence.</t>
  </si>
  <si>
    <t>106LF</t>
  </si>
  <si>
    <t xml:space="preserve">Kopras Homes </t>
  </si>
  <si>
    <t>Osborn Residence</t>
  </si>
  <si>
    <t>Temp</t>
  </si>
  <si>
    <t>1/25/2019, picked up 3-31-20</t>
  </si>
  <si>
    <t>Billed thru 3-31-20</t>
  </si>
  <si>
    <t>2626 E Ellwood St.</t>
  </si>
  <si>
    <t>8/27/2019, removed 4-6-20</t>
  </si>
  <si>
    <t>Billed thru 02/27/2020</t>
  </si>
  <si>
    <t>168LF</t>
  </si>
  <si>
    <t>Greenlight</t>
  </si>
  <si>
    <t>Cabana on 12th</t>
  </si>
  <si>
    <t>Grates 2 sets</t>
  </si>
  <si>
    <t>5/13/2019, 2nd set 7-5-19, removed 4-9-20</t>
  </si>
  <si>
    <t>Billed thru 4-13-20</t>
  </si>
  <si>
    <t>Mountain View Storage</t>
  </si>
  <si>
    <t>Backflow, water ramps, hoses, Donkey</t>
  </si>
  <si>
    <t>9/24/2019, picked up water donkey and water ramps 2-4-20, removed the rest 4-10-20</t>
  </si>
  <si>
    <t>Billed thru 4-24-20</t>
  </si>
  <si>
    <t>Project Charger</t>
  </si>
  <si>
    <t>6/7/2019, Removed 12-15-19</t>
  </si>
  <si>
    <t>6235 E Sweetwater Ave</t>
  </si>
  <si>
    <t>6/18/2019, Removed 3-27-20</t>
  </si>
  <si>
    <t>252LF</t>
  </si>
  <si>
    <t>10415 W Grand Ave</t>
  </si>
  <si>
    <t>Picked up 4-23-20</t>
  </si>
  <si>
    <t>Anderson Row</t>
  </si>
  <si>
    <t>Grates #2 and #3</t>
  </si>
  <si>
    <t>12/16/2019, picked up 5-7-20</t>
  </si>
  <si>
    <t>Arizona Trench Co</t>
  </si>
  <si>
    <t>Phx70</t>
  </si>
  <si>
    <t>4/13/2020, picked up 5-14-20</t>
  </si>
  <si>
    <t>Ventana Lakes</t>
  </si>
  <si>
    <t>4/9/2020, picked up 5-14-20</t>
  </si>
  <si>
    <t>Form Third</t>
  </si>
  <si>
    <t>207 E McDowell</t>
  </si>
  <si>
    <t>1/20/2020, picked up 5-19-20</t>
  </si>
  <si>
    <t>Gilbert Gateway</t>
  </si>
  <si>
    <t>8/20/2019, picked up 4-30-20</t>
  </si>
  <si>
    <t>MMR</t>
  </si>
  <si>
    <t>11/6/2019, picked up 5-8-20</t>
  </si>
  <si>
    <t>Oktoberfest</t>
  </si>
  <si>
    <t>4/21/2020, picked up 5-27-20</t>
  </si>
  <si>
    <t>Queen Creek &amp; McQueen</t>
  </si>
  <si>
    <t>4/28/2020, 5-29-20</t>
  </si>
  <si>
    <t>Legacy Center- 67th Ave &amp; Thunderbird</t>
  </si>
  <si>
    <t>8/28/2019. 5-29-20</t>
  </si>
  <si>
    <t>Scottsdale Center Ph.2</t>
  </si>
  <si>
    <t>4/4/2019, removed 6-11-20</t>
  </si>
  <si>
    <t>Pro-low</t>
  </si>
  <si>
    <t>GRY3</t>
  </si>
  <si>
    <t xml:space="preserve">water ramp   </t>
  </si>
  <si>
    <t>5/15/2020, picked up 6-22-20</t>
  </si>
  <si>
    <t>RJ Gurley</t>
  </si>
  <si>
    <t>Ford Residence</t>
  </si>
  <si>
    <t>4/29/2020, picked up 6-27-20</t>
  </si>
  <si>
    <t>IDM Builds</t>
  </si>
  <si>
    <t>Acero Cooley Station</t>
  </si>
  <si>
    <t>Removed all fence 6-26-20</t>
  </si>
  <si>
    <t>Black Rock- Windgate</t>
  </si>
  <si>
    <t>9/30/2019, removed 6-15-20</t>
  </si>
  <si>
    <t>Commerce Construction</t>
  </si>
  <si>
    <t>Papago Business Park</t>
  </si>
  <si>
    <t>12/5/2019, picked up 7-1-20</t>
  </si>
  <si>
    <t>Summit at Silverstone G</t>
  </si>
  <si>
    <t>4/8/2020, removed 7-8-20</t>
  </si>
  <si>
    <t>3/10/2020, removed 7-9-20</t>
  </si>
  <si>
    <t>Dignity Health Women and Childrens</t>
  </si>
  <si>
    <t>installed 2-5-20, removed 6-5-20</t>
  </si>
  <si>
    <t xml:space="preserve">ED Smith  </t>
  </si>
  <si>
    <t>Buckles Office Bldg</t>
  </si>
  <si>
    <t>Backflow/Water ramp</t>
  </si>
  <si>
    <t>backflow/water ramp</t>
  </si>
  <si>
    <t>7/9/2020, picked up 7-17-20</t>
  </si>
  <si>
    <t>Maricopa Meadows</t>
  </si>
  <si>
    <t>6/7/2019, picked up 7-17-20</t>
  </si>
  <si>
    <t>Laveen School #9</t>
  </si>
  <si>
    <t>Backflow, water ramp, water donkey</t>
  </si>
  <si>
    <t>11/15/2019, picked up 7-17-20</t>
  </si>
  <si>
    <t>Venue</t>
  </si>
  <si>
    <t>Hoffman Golisch</t>
  </si>
  <si>
    <t>8/7/2019, removed 7-17-20</t>
  </si>
  <si>
    <t>Robinson Construction</t>
  </si>
  <si>
    <t>Costco Surprise</t>
  </si>
  <si>
    <t>Track out Grates x 2</t>
  </si>
  <si>
    <t>1 set on 4-16-20, removed 7-2-20</t>
  </si>
  <si>
    <t>Watermark Residential</t>
  </si>
  <si>
    <t>4/16/2019, Removed 7-27-20</t>
  </si>
  <si>
    <t>AMS Avondale</t>
  </si>
  <si>
    <t>1/10/2020, picked up 7-28-20</t>
  </si>
  <si>
    <t>48th &amp; Baseline</t>
  </si>
  <si>
    <t>Water ramps, donkey, barricades, hoses</t>
  </si>
  <si>
    <t>4/1/2020, picked up 7-27-20</t>
  </si>
  <si>
    <t>picked up 8-10-20</t>
  </si>
  <si>
    <t>Standard Construction</t>
  </si>
  <si>
    <t>Carmax Expansion- 1480 E Motorplex loop</t>
  </si>
  <si>
    <t>2/21/2020, removed 8-18-20</t>
  </si>
  <si>
    <t>Penta Building Group</t>
  </si>
  <si>
    <t>Talking Stick Resort</t>
  </si>
  <si>
    <t>12/17/2019, Removed 8-14-20</t>
  </si>
  <si>
    <t>Arrowhead Dealership Glendale</t>
  </si>
  <si>
    <t>4/13/2020, picked up 8-19-20</t>
  </si>
  <si>
    <t>Beatitudes</t>
  </si>
  <si>
    <t>3 water meters, 3 Backflows</t>
  </si>
  <si>
    <t>3 water meters, 3 Backflows, 20Lf water crossing, water donkey, Sidewalk ramp, hoses, barricades</t>
  </si>
  <si>
    <t>7-13-20 picked up backflow, 3-19-19 Picked up water ramp, water donkey and hoses.  2-26-19, picked up sidewalk ramp, 1 barricade, and and hoses.Delivered 11/13/2018</t>
  </si>
  <si>
    <t xml:space="preserve">temp fence </t>
  </si>
  <si>
    <t>7/1/2020, picked up 8-7-20</t>
  </si>
  <si>
    <t>Westgate</t>
  </si>
  <si>
    <t>4/8/2020, picked up 8-20-20</t>
  </si>
  <si>
    <t>Affinity at Positano</t>
  </si>
  <si>
    <t>4/8/2020. picked up 8-10-20</t>
  </si>
  <si>
    <t>Heiman Construction</t>
  </si>
  <si>
    <t>7000 E Mayo Blvd</t>
  </si>
  <si>
    <t>7/6/2020, picked up 9-9-20</t>
  </si>
  <si>
    <t>09/21/2020 - Picked up 08-24-2020</t>
  </si>
  <si>
    <t>Northrop Grumman</t>
  </si>
  <si>
    <t>7/24/2020, Picked up 9-17-20</t>
  </si>
  <si>
    <t xml:space="preserve">American Groves </t>
  </si>
  <si>
    <t>4/23/2019, picked up 9-14-20</t>
  </si>
  <si>
    <t>ED Smith-</t>
  </si>
  <si>
    <t>3237 E Camelback Rd</t>
  </si>
  <si>
    <t>Backflow, hoses, water rams, sidewalk ramps, water donkey, Barricadesa and signs</t>
  </si>
  <si>
    <t>7/18/2020, removed 7-24-20</t>
  </si>
  <si>
    <t>3/18/2020, removed 9-14-20</t>
  </si>
  <si>
    <t>District of Chandler</t>
  </si>
  <si>
    <t>8/8/2018, Removed 8-31-20</t>
  </si>
  <si>
    <t>Cardinal Great Lawn</t>
  </si>
  <si>
    <t>Water set up</t>
  </si>
  <si>
    <t>Water Set up</t>
  </si>
  <si>
    <t>6/29/2020, picked up 10-3-20</t>
  </si>
  <si>
    <t>Mountain Pointe HS</t>
  </si>
  <si>
    <t>7/30/2020, picked up 10-6-20</t>
  </si>
  <si>
    <t>27451 N 103rd St</t>
  </si>
  <si>
    <t>5/18/2020, picked up 10-8-20</t>
  </si>
  <si>
    <t>Buckles Office</t>
  </si>
  <si>
    <t>Backflow, sidewalk ramp, water donkey</t>
  </si>
  <si>
    <t>8/18/2020, picked up 9-1-20</t>
  </si>
  <si>
    <t>ED Smith-= NOW EZM, Inc.</t>
  </si>
  <si>
    <t>Pasadena Warehouse</t>
  </si>
  <si>
    <t>Water ramp, water donkey, barricades, hoses.</t>
  </si>
  <si>
    <t>12/4/2019, removed 9-23-20</t>
  </si>
  <si>
    <t>Pride</t>
  </si>
  <si>
    <t>Arcadia 33</t>
  </si>
  <si>
    <t>Starbucks- 3320 W Bethany Home</t>
  </si>
  <si>
    <t>10/15/2020, removed 11-4-20</t>
  </si>
  <si>
    <t>Gainey Ranch Golf Club</t>
  </si>
  <si>
    <t>6/22/2020, picked up 10-30-20</t>
  </si>
  <si>
    <t>Gilbert Public Safety</t>
  </si>
  <si>
    <t>6/17/2019. picked up 10-30-20</t>
  </si>
  <si>
    <t>Amazon DTU- 9 Mesa</t>
  </si>
  <si>
    <t>8/20/2020, Picked up 11-2-20</t>
  </si>
  <si>
    <t>L Keeley Construction</t>
  </si>
  <si>
    <t xml:space="preserve">City North   </t>
  </si>
  <si>
    <t>water ramp/water donkey/hoses</t>
  </si>
  <si>
    <t>6/3/2020, picked up 11-11-20</t>
  </si>
  <si>
    <t>Bluewave</t>
  </si>
  <si>
    <t>Heritage Academy Laveen</t>
  </si>
  <si>
    <t>6/9/2020, Removed 11-13-20</t>
  </si>
  <si>
    <t>Mitchell General Contracting</t>
  </si>
  <si>
    <t>117 S Val Vista Dr</t>
  </si>
  <si>
    <t>9/11/2020, remove 11-16-20</t>
  </si>
  <si>
    <t>Pegasus Construction</t>
  </si>
  <si>
    <t>Valvoline- Gilbert</t>
  </si>
  <si>
    <t>4/20/2020, removed 12-2-20</t>
  </si>
  <si>
    <t>Derek Engineering</t>
  </si>
  <si>
    <t>Auviana Medical Complex</t>
  </si>
  <si>
    <t>10/16/2019. picked up 6-29-20</t>
  </si>
  <si>
    <t>9/14/2020, removed 12-10-20</t>
  </si>
  <si>
    <t>Northridge</t>
  </si>
  <si>
    <t>Coolidge Place</t>
  </si>
  <si>
    <t>11/26/2019, removed 12-8-20</t>
  </si>
  <si>
    <t>ITSA</t>
  </si>
  <si>
    <t>KFC- Goodyear</t>
  </si>
  <si>
    <t>Backflow, Temp Fence</t>
  </si>
  <si>
    <t>6/1/2020, fence removed 12-18-20, backflow removed 12-29-20</t>
  </si>
  <si>
    <t>Fat Cats- Queen Creek</t>
  </si>
  <si>
    <t>Temp fence/Grates</t>
  </si>
  <si>
    <t>6/23/2020. picked up grates 12-18-20</t>
  </si>
  <si>
    <t>Sun City Festival Rec Center</t>
  </si>
  <si>
    <t>meter, Backflow</t>
  </si>
  <si>
    <t>2/20/2019, removed 12-1-20</t>
  </si>
  <si>
    <t>United Construction</t>
  </si>
  <si>
    <t>4/23/2020, picked up 11-23-20</t>
  </si>
  <si>
    <t>Merit 1</t>
  </si>
  <si>
    <t>1/4/2020, picked up 10-15-20</t>
  </si>
  <si>
    <t>Parc Roundtree Ranch</t>
  </si>
  <si>
    <t>Grates x 1</t>
  </si>
  <si>
    <t>8/21/2019, picked up 1 set 11-5-20, picked up second set 12-23-20</t>
  </si>
  <si>
    <t>Cave Creek &amp; Greenway</t>
  </si>
  <si>
    <t>6/8/2020, picked up 12-28-20</t>
  </si>
  <si>
    <t>8/30/2019, picked up 3-9-20, but donkey and 20LF of hose still there, picked up the rest 1-13-21</t>
  </si>
  <si>
    <t>Black Rock Coffee- Tempe</t>
  </si>
  <si>
    <t>1/15/2020, removed 1-13-21</t>
  </si>
  <si>
    <t>Biolife Avondale</t>
  </si>
  <si>
    <t>Backflow, water donkey, temp Fence, grates- Removed 1 set 8-18-20- Removed 2nd and finals grates and all temp fence 9-14-20</t>
  </si>
  <si>
    <t>backflow/Temp Fence</t>
  </si>
  <si>
    <t>5/15/2020, picked up 1-14-21</t>
  </si>
  <si>
    <t>Hansen Construction</t>
  </si>
  <si>
    <t>Risen Savior Lutheran Church</t>
  </si>
  <si>
    <t>9/3/2019, removed 1-19-21</t>
  </si>
  <si>
    <t>Moss Custom Homes</t>
  </si>
  <si>
    <t>311 E Rose Lane</t>
  </si>
  <si>
    <t>11/15/2019, picked up 1-21-21</t>
  </si>
  <si>
    <t>146 E Coury Ave</t>
  </si>
  <si>
    <t>2/26/2020, picked up 1-21-20</t>
  </si>
  <si>
    <t>Cabana on Haydon</t>
  </si>
  <si>
    <t>2 sets of grates &amp; 1 hose</t>
  </si>
  <si>
    <t>2/28/2020 &amp; 4-29-20, removed 12-23-20</t>
  </si>
  <si>
    <t>Hyatt Scottsdale</t>
  </si>
  <si>
    <t>9/27/2019, picked up 1 set 11-3-20, picked up last grate 1-26-21</t>
  </si>
  <si>
    <t>9/24/2019, removed 2-5-21</t>
  </si>
  <si>
    <t>Elwood Logistics</t>
  </si>
  <si>
    <t>12/11/2019, removed 1 set 11-5-20 (pick up was requested 10-29-20) Removed 2nd set 2-11-21</t>
  </si>
  <si>
    <t>InterServe</t>
  </si>
  <si>
    <t>Rancho Manana</t>
  </si>
  <si>
    <t>Temp Fence &amp; Tall Cones</t>
  </si>
  <si>
    <t>11/3/2020, picked up 2-11-21</t>
  </si>
  <si>
    <t>Union Park</t>
  </si>
  <si>
    <t>1/16/2020, picked up 2-25-21</t>
  </si>
  <si>
    <t>WHPDA Mulit Use Soccer field</t>
  </si>
  <si>
    <t>10/20/2020, removed 2-26-21</t>
  </si>
  <si>
    <t>Symmetry Builders</t>
  </si>
  <si>
    <t>344 W Lynwood St</t>
  </si>
  <si>
    <t>10/22/2020, transferred to BK Design</t>
  </si>
  <si>
    <t>Park Place</t>
  </si>
  <si>
    <t>Water ramp, sidewalk ramps. Water donkey</t>
  </si>
  <si>
    <t>1/29/2019, picked up 3-11-21</t>
  </si>
  <si>
    <t>Retreat at Desert Mountain</t>
  </si>
  <si>
    <t>9/16/2020, picked up 11-2-20</t>
  </si>
  <si>
    <t>Palm Valley Pediatric</t>
  </si>
  <si>
    <t>12/9/2020, removed 3-9-21</t>
  </si>
  <si>
    <t>7/6/2018, removed 3-3-21</t>
  </si>
  <si>
    <t>Caliente Construction</t>
  </si>
  <si>
    <t>Papago Park Restrooms</t>
  </si>
  <si>
    <t>11/16/2020, picked up 3-23-21</t>
  </si>
  <si>
    <t>1/6/2021, picked up 3-26-21</t>
  </si>
  <si>
    <t>South Mountain Ranger Station</t>
  </si>
  <si>
    <t>Temp Fence and water crossing</t>
  </si>
  <si>
    <t>4/28/2020, removed 3-16-21</t>
  </si>
  <si>
    <t>Backflow, water ramps, hoses</t>
  </si>
  <si>
    <t>5/30/2019, 3-30-21</t>
  </si>
  <si>
    <t>Arizona Interior Innovations</t>
  </si>
  <si>
    <t>4302 E Devonshire Ave</t>
  </si>
  <si>
    <t>9/17/2020, picked up 3-30-21</t>
  </si>
  <si>
    <t>Cherokee Elementary School</t>
  </si>
  <si>
    <t>4/24/2020, Removed 4-3-21</t>
  </si>
  <si>
    <t>Equiteam</t>
  </si>
  <si>
    <t>2625 E Van Buren</t>
  </si>
  <si>
    <t>8/21/2020, picked up 4-12-21</t>
  </si>
  <si>
    <t>Parc Broadway</t>
  </si>
  <si>
    <t>1/6/2021, picked up 4-12-21</t>
  </si>
  <si>
    <t>The Fillmore</t>
  </si>
  <si>
    <t>grates x 3</t>
  </si>
  <si>
    <t>9/20/2019, removed 4-19-21</t>
  </si>
  <si>
    <t>Benedict Sportsmans Complex</t>
  </si>
  <si>
    <t>11/23/2020, picked up 4-21-21</t>
  </si>
  <si>
    <t>McClintock HS</t>
  </si>
  <si>
    <t>11/12/2020, removed 4-12-21</t>
  </si>
  <si>
    <t>Madewell</t>
  </si>
  <si>
    <t>Del Taco- Temp</t>
  </si>
  <si>
    <t>Temp Fence, hose</t>
  </si>
  <si>
    <t>7/3/2020, picked up fence 2-12-21, they still have 200LF of hose, removed hose 4-28-21</t>
  </si>
  <si>
    <t>Orsett Properties (Jeff Scott)</t>
  </si>
  <si>
    <t>Scott Home Renovation</t>
  </si>
  <si>
    <t>11/23/2020, removed 5-5-21</t>
  </si>
  <si>
    <t>RH Dupper Landscaping</t>
  </si>
  <si>
    <t>Estrella Vista</t>
  </si>
  <si>
    <t>4/29/2021, picked up 5-18-21</t>
  </si>
  <si>
    <t>Skanska</t>
  </si>
  <si>
    <t>ASU NFA PH 4A</t>
  </si>
  <si>
    <t>5/10/2021, picked up 5-19-21</t>
  </si>
  <si>
    <t xml:space="preserve">BK Design Inc. </t>
  </si>
  <si>
    <t>5/22/2020, removed 5-20-21</t>
  </si>
  <si>
    <t>Sodella</t>
  </si>
  <si>
    <t>Hampton East II</t>
  </si>
  <si>
    <t>sidewalk ramp</t>
  </si>
  <si>
    <t>7/2/2020, removed 5-19-21</t>
  </si>
  <si>
    <t>Four Seasons Victory at Verrado</t>
  </si>
  <si>
    <t>9/26/2019, picked up 5-25-21</t>
  </si>
  <si>
    <t>Toy Barn Chandler</t>
  </si>
  <si>
    <t>Grates/water donkey</t>
  </si>
  <si>
    <t>12/20/2019, removed 4-28-21</t>
  </si>
  <si>
    <t>E.D. Smith</t>
  </si>
  <si>
    <t>Buckles</t>
  </si>
  <si>
    <t>12/8/2020, removed 5-26-21</t>
  </si>
  <si>
    <t>Four Leaf</t>
  </si>
  <si>
    <t>West Park Ph. 2</t>
  </si>
  <si>
    <t>9/23/2019, Bob got Backflow out of conex on 6-3-21</t>
  </si>
  <si>
    <t>Claussen Residence</t>
  </si>
  <si>
    <t>11/13/2020, picked up 6-3-21</t>
  </si>
  <si>
    <t>Toy Barn Cave Creek</t>
  </si>
  <si>
    <t>1/31/2020, picked up 5-24-21</t>
  </si>
  <si>
    <t>Affinity at Verrado</t>
  </si>
  <si>
    <t>They say they called this fence off in Sept 2020, but we have no record of it, but they paid rent for 7 months which covers the cost of the 4 panels.</t>
  </si>
  <si>
    <t>CAZ 6 Bldgs 7 &amp; 8</t>
  </si>
  <si>
    <t>2 sets of track out grates</t>
  </si>
  <si>
    <t>6/26/2020, picked up 6-7-21</t>
  </si>
  <si>
    <t>Habit Burger Tempe</t>
  </si>
  <si>
    <t>3/5/2021, removed 6-4-21</t>
  </si>
  <si>
    <t>ASU NFA PH 4B</t>
  </si>
  <si>
    <t>5/13/2021, removed 6-18-21</t>
  </si>
  <si>
    <t xml:space="preserve">Haydon </t>
  </si>
  <si>
    <t>Felix Construction HQ</t>
  </si>
  <si>
    <t>Water ramp set up.</t>
  </si>
  <si>
    <t>9/8/2020, picked up 6-25-21</t>
  </si>
  <si>
    <t>Cabana on Power</t>
  </si>
  <si>
    <t xml:space="preserve">2 sets of grates   </t>
  </si>
  <si>
    <t>5/19/2020, removed 7-7-21</t>
  </si>
  <si>
    <t>Calcon</t>
  </si>
  <si>
    <t>Farmer Arts</t>
  </si>
  <si>
    <t>9/5/2019, picked up 7-8-21</t>
  </si>
  <si>
    <t>GC Legacy Construction</t>
  </si>
  <si>
    <t>Starbucks Cave Creek Rd</t>
  </si>
  <si>
    <t xml:space="preserve">Backflow, water ramp. </t>
  </si>
  <si>
    <t>9/18/2020, picked up 7-9-21</t>
  </si>
  <si>
    <t>PWI Construction</t>
  </si>
  <si>
    <t>6/11/2021, picked up 7-9-21</t>
  </si>
  <si>
    <t>PWI SLC LLC</t>
  </si>
  <si>
    <t>Ritz Carlton PV</t>
  </si>
  <si>
    <t>3/16/2021, removed 7-13-21</t>
  </si>
  <si>
    <t>Radius</t>
  </si>
  <si>
    <t>Ramirez Residence</t>
  </si>
  <si>
    <t>8/11/2020, removed 7-21-21</t>
  </si>
  <si>
    <t>Nitti Builders</t>
  </si>
  <si>
    <t>VB Cosmetics</t>
  </si>
  <si>
    <t>1/4/2021, picked up 7-28-21</t>
  </si>
  <si>
    <t>Starbucks Deer Valley Rd</t>
  </si>
  <si>
    <t>Temp Fence/Conex</t>
  </si>
  <si>
    <t>Builders Guild</t>
  </si>
  <si>
    <t>Lewis Substation</t>
  </si>
  <si>
    <t>Hose</t>
  </si>
  <si>
    <t>11/30/2020, 7-29-21</t>
  </si>
  <si>
    <t>Braden Bott</t>
  </si>
  <si>
    <t>5419 E Pinchot</t>
  </si>
  <si>
    <t>1/26/2021, picked up 8-2-21</t>
  </si>
  <si>
    <t>Opus Design</t>
  </si>
  <si>
    <t>Fairway 10</t>
  </si>
  <si>
    <t>11/18/2020, called off on 7-16-21</t>
  </si>
  <si>
    <t>Sunbelt</t>
  </si>
  <si>
    <t>PHX80 PC1906</t>
  </si>
  <si>
    <t>7/21/2020, picked up 8-6-21</t>
  </si>
  <si>
    <t>Ridgeview College Prep</t>
  </si>
  <si>
    <t>water donkey and hoses</t>
  </si>
  <si>
    <t>1/29/2021, removed 8-10-21</t>
  </si>
  <si>
    <t>Prolow</t>
  </si>
  <si>
    <t>Project Lagerhaus</t>
  </si>
  <si>
    <t xml:space="preserve">Grates </t>
  </si>
  <si>
    <t>9/23/2020, 2nd set delivered 4-13-21, 1 set picked up 7-1-21, 1 set called off on 7-29-21</t>
  </si>
  <si>
    <t>Brendon Weak</t>
  </si>
  <si>
    <t>7030 N 2nd Street Phoenix, AZ 85020</t>
  </si>
  <si>
    <t>10/1/2020, removed 8-9-21</t>
  </si>
  <si>
    <t>Stuart Ranch</t>
  </si>
  <si>
    <t>10/26/2020, picked up 8-19-21</t>
  </si>
  <si>
    <t>MCO Parks JOC DOC</t>
  </si>
  <si>
    <t>4/23/2021, picked up 8-7-21, but they requested it 3 weeks before.</t>
  </si>
  <si>
    <t>Williams Field HS</t>
  </si>
  <si>
    <t>9/21/2020, 8-30-21</t>
  </si>
  <si>
    <t>Inspire Entertainment</t>
  </si>
  <si>
    <t>1/12/2021, picked up 8-20-21</t>
  </si>
  <si>
    <t>White Tanks</t>
  </si>
  <si>
    <t>8/5/2021, removed 9-8-21</t>
  </si>
  <si>
    <t>SEC Higley &amp; Brown Shell</t>
  </si>
  <si>
    <t>6/8/2021, picked up 9-17-21</t>
  </si>
  <si>
    <t>PMG X Phoenix</t>
  </si>
  <si>
    <t>Plate Grates and trackout grates</t>
  </si>
  <si>
    <t>4/2/2020, picked up 10-12-21 (requested pick up on 10-1-21)</t>
  </si>
  <si>
    <t>Mesa Fire Station #221</t>
  </si>
  <si>
    <t>6' ADA Curb Ramp</t>
  </si>
  <si>
    <t>11/12/2020, picked up 10-18-21</t>
  </si>
  <si>
    <t>Prasada</t>
  </si>
  <si>
    <t>sidewalk ramp/backflow</t>
  </si>
  <si>
    <t>12/30/2020, removed 10-20-21</t>
  </si>
  <si>
    <t xml:space="preserve">CCV </t>
  </si>
  <si>
    <t>CCV Laveen</t>
  </si>
  <si>
    <t>8/24/2020, removed 10-28-21</t>
  </si>
  <si>
    <t>Gray West Construction</t>
  </si>
  <si>
    <t>Starbucks- Alma School Chandler</t>
  </si>
  <si>
    <t>9/7/2021, removed 11-8-21</t>
  </si>
  <si>
    <t>Marrs</t>
  </si>
  <si>
    <t>18th Street Proximity</t>
  </si>
  <si>
    <t>6/24/2021, picked up 11-8-21 (they requested pick up 10-28-21)</t>
  </si>
  <si>
    <t xml:space="preserve">ED Smith </t>
  </si>
  <si>
    <t>Dutch Bros- 3055 S Gilbert</t>
  </si>
  <si>
    <t>10/19/2021, picked up 11-12-21</t>
  </si>
  <si>
    <t>Village Grove at Verrado</t>
  </si>
  <si>
    <t>5/14/2021, picked up 11-16-21</t>
  </si>
  <si>
    <t>Raging Wire</t>
  </si>
  <si>
    <t>5/15/2020, removed 10-28-21</t>
  </si>
  <si>
    <t>8/6/2021, picked up 11-12-21, requested removal on 11-3-21</t>
  </si>
  <si>
    <t>Syla Ermal (GE Ventures)</t>
  </si>
  <si>
    <t>Craftsman Court</t>
  </si>
  <si>
    <t>6/3/2020, removed 11-12-21</t>
  </si>
  <si>
    <t>1/11/2021, removed 11-18-21</t>
  </si>
  <si>
    <t>Horse Lovers Park</t>
  </si>
  <si>
    <t>Backflow/water ramp set up</t>
  </si>
  <si>
    <t>3/18/2021, removed everything but backflow on 4-12-21, 11-4-21 backflow removed</t>
  </si>
  <si>
    <t>Galloway Ridge</t>
  </si>
  <si>
    <t>REQUEST TO REMOVE 11-29-21</t>
  </si>
  <si>
    <t>2/5/2021, removed 12-3-21</t>
  </si>
  <si>
    <t>Scottsdale Bible Church</t>
  </si>
  <si>
    <t>Barricades, complete water set up.</t>
  </si>
  <si>
    <t>12/4/2020, 1-25-21</t>
  </si>
  <si>
    <t>Dickens Quality Demo</t>
  </si>
  <si>
    <t>1500 N Central</t>
  </si>
  <si>
    <t>9/20/2021, 11-11-21 installed onstands and sold the fence</t>
  </si>
  <si>
    <t>Greenfield 202</t>
  </si>
  <si>
    <t>12/29/2020, picked up 11-8-21</t>
  </si>
  <si>
    <t>Shea</t>
  </si>
  <si>
    <t>Encanterra</t>
  </si>
  <si>
    <t>3/20/2020, removed 11-30-21</t>
  </si>
  <si>
    <t>Canyon Building &amp; Design</t>
  </si>
  <si>
    <t>3115 S Val Vista</t>
  </si>
  <si>
    <t>Water Ramp, hoses</t>
  </si>
  <si>
    <t>7/9/2021, picked up 12-14-21</t>
  </si>
  <si>
    <t>Queen Creek Commons</t>
  </si>
  <si>
    <t>Backflow, Grates x 1</t>
  </si>
  <si>
    <t>12/23/2020- 2 sets picked up 8-26-21, last set of grates picked up 11-4-21</t>
  </si>
  <si>
    <t>12/20/2021 - Bob picked up back flow</t>
  </si>
  <si>
    <t>Residences on First Phase II Mesa</t>
  </si>
  <si>
    <t>9/28/2020, fence removed 12-2-21</t>
  </si>
  <si>
    <t>Daniel C Gainey Estate Club</t>
  </si>
  <si>
    <t>10/20/2020, removed 12-20-21</t>
  </si>
  <si>
    <t>Near-Cal</t>
  </si>
  <si>
    <t>Storequest- Phoenix</t>
  </si>
  <si>
    <t>Temp Fence, Water ramp stuff</t>
  </si>
  <si>
    <t>10/28/2020, removed 12-17-21</t>
  </si>
  <si>
    <t>Falco Aluminum</t>
  </si>
  <si>
    <t>Track out Grates- 1 set</t>
  </si>
  <si>
    <t>5/13/2021, 1 set picked up 9-1-21, picked up second set 1-3-22</t>
  </si>
  <si>
    <t>MT2</t>
  </si>
  <si>
    <t>Buckeye Hills Shooting Range</t>
  </si>
  <si>
    <t>DWA Construction</t>
  </si>
  <si>
    <t>Spanish Trails West</t>
  </si>
  <si>
    <t>7/14/2020, removed 12-20-21</t>
  </si>
  <si>
    <t>Majestic 55</t>
  </si>
  <si>
    <t>12/16/2020, removed 1-12-22</t>
  </si>
  <si>
    <t>WoodSpring Suites</t>
  </si>
  <si>
    <t>11/20/2020, removed 1-8-22</t>
  </si>
  <si>
    <t>Dollar General- Arizona City</t>
  </si>
  <si>
    <t>missing the backflow and hose</t>
  </si>
  <si>
    <t>Higley Barns</t>
  </si>
  <si>
    <t>3/31/2021, picked up 1-28-22</t>
  </si>
  <si>
    <t>Eleven Western Builders</t>
  </si>
  <si>
    <t>Aldi #152 Buckeye</t>
  </si>
  <si>
    <t>Backflow, temp fence, track out plates.</t>
  </si>
  <si>
    <t>6/2/2021, temp fence picked up 1-21-22, backflow picked up 1-28-22, removed grates 1-20-22</t>
  </si>
  <si>
    <t>Dempsey Construction</t>
  </si>
  <si>
    <t>4325 S 33rd Place</t>
  </si>
  <si>
    <t>5/14/2021, removed 2-2-22</t>
  </si>
  <si>
    <t>Ethically Built</t>
  </si>
  <si>
    <t>7745 N Tatum</t>
  </si>
  <si>
    <t>12/17/2020, removed 2-10-22</t>
  </si>
  <si>
    <t>Porchlight Homes of Arizona</t>
  </si>
  <si>
    <t>14th Street &amp; Maryland</t>
  </si>
  <si>
    <t>The McDowell</t>
  </si>
  <si>
    <t>Temp Fence, grates x2</t>
  </si>
  <si>
    <t>8/30/2019, grates picked up on 2-24-21, picked up last of the fence 2-17-22</t>
  </si>
  <si>
    <t>CC Land Acquisitions</t>
  </si>
  <si>
    <t>Residences at Agua Fria</t>
  </si>
  <si>
    <t>meter, backflow</t>
  </si>
  <si>
    <t>12/17/2021, Removed 2-23-22</t>
  </si>
  <si>
    <t>Anthem Skate Park</t>
  </si>
  <si>
    <t>Mike Maguire</t>
  </si>
  <si>
    <t>4360 E Colter</t>
  </si>
  <si>
    <t>02/16/2022 On schedule for removal of fence requested by Terrence</t>
  </si>
  <si>
    <t>Capstone</t>
  </si>
  <si>
    <t>7412 E McDowell</t>
  </si>
  <si>
    <t>Job was completed months ago, no fence</t>
  </si>
  <si>
    <t>Avalon Villas</t>
  </si>
  <si>
    <t>Hoses</t>
  </si>
  <si>
    <t>Guardian Storage</t>
  </si>
  <si>
    <t>1/14/2021, removed 28ft water ramp 6-16-21, removed everything 2-28-22</t>
  </si>
  <si>
    <t>2020 E University</t>
  </si>
  <si>
    <t>Sunbelt Rentals</t>
  </si>
  <si>
    <t>Tilden</t>
  </si>
  <si>
    <t>7/22/2021, requested pick up on 1-12-22, we picked up on 3-7-22</t>
  </si>
  <si>
    <t>MTI- Mitchell General Contracting</t>
  </si>
  <si>
    <t>Dunkin Donuts- 6375 W Kyrene Rd</t>
  </si>
  <si>
    <t>9/2/2021, picked up 3-11-22</t>
  </si>
  <si>
    <t>Banner Rehab- Mesa</t>
  </si>
  <si>
    <t xml:space="preserve">Temp Fence, grates </t>
  </si>
  <si>
    <t>12/11/2020, removed 2-16-22 and 3-16-22</t>
  </si>
  <si>
    <t>3445 N Hunt HWY</t>
  </si>
  <si>
    <t>6/17/2021, removed 2-17-22</t>
  </si>
  <si>
    <t>Empower College Prep</t>
  </si>
  <si>
    <t>6/22/2021, removed 3-18-22, they called to have it picked up 3-10-22</t>
  </si>
  <si>
    <t>Omega Services</t>
  </si>
  <si>
    <t>2705 W Camelback</t>
  </si>
  <si>
    <t>1/10/2022, removed 3-10-22</t>
  </si>
  <si>
    <t>Aldi #163 Mesa</t>
  </si>
  <si>
    <t>Fence removed 2/24</t>
  </si>
  <si>
    <t>Ashland Companies</t>
  </si>
  <si>
    <t>212 E Georgia</t>
  </si>
  <si>
    <t>Jacobsen</t>
  </si>
  <si>
    <t>VA Phoenix</t>
  </si>
  <si>
    <t>Water meter, backflow</t>
  </si>
  <si>
    <t>installed 4-25-19, removed 3-30-22</t>
  </si>
  <si>
    <t>Cave Creek Road Partners</t>
  </si>
  <si>
    <t>19622 N Cave Creek</t>
  </si>
  <si>
    <t>Tempe Market Station</t>
  </si>
  <si>
    <t>8/20/2021, removed 3-26-22</t>
  </si>
  <si>
    <t>Katerra/ Now - Wolff</t>
  </si>
  <si>
    <t>Revel Scottsdale</t>
  </si>
  <si>
    <t>9/27/2018, picked up 3-29-22</t>
  </si>
  <si>
    <t>JB Henderson Project</t>
  </si>
  <si>
    <t>Picked up water donkey and hoses</t>
  </si>
  <si>
    <t>Installed fence 11-24-21 Removed Fence 4-1-22.   4/19/2021, removed 11-17-21.</t>
  </si>
  <si>
    <t>3042 N 37th St</t>
  </si>
  <si>
    <t>Maryland Ridge</t>
  </si>
  <si>
    <t>Residences @ San Tan</t>
  </si>
  <si>
    <t>4-18-22, but requested to pick up on 3-28-22</t>
  </si>
  <si>
    <t>Hamblen, David</t>
  </si>
  <si>
    <t>Hamblen Residence</t>
  </si>
  <si>
    <t>Kiwanis Fuel Tank Replacement</t>
  </si>
  <si>
    <t>4027 E Rancho Dr</t>
  </si>
  <si>
    <t>ECCO</t>
  </si>
  <si>
    <t>Hanna &amp; Tweedy</t>
  </si>
  <si>
    <t>3 sets of grates + 5 sets delivered on 4-28-21</t>
  </si>
  <si>
    <t>3 sets removed 3-11-22</t>
  </si>
  <si>
    <t>Encanterra Models</t>
  </si>
  <si>
    <t>Arise</t>
  </si>
  <si>
    <t>backflows removed 10-22-21, fence removed 10-25-21.  New fence installed 11-9-21, final fence removed 4-30-22</t>
  </si>
  <si>
    <t>Falcon Field View Park</t>
  </si>
  <si>
    <t>Apricus</t>
  </si>
  <si>
    <t>Sun City West Four Seasons</t>
  </si>
  <si>
    <t>Starbucks- 15501 Hayden</t>
  </si>
  <si>
    <t>10 Lane Boat Ramp</t>
  </si>
  <si>
    <t>California Fish Kitchen</t>
  </si>
  <si>
    <t>Universal Tech Project</t>
  </si>
  <si>
    <t xml:space="preserve">Barricades  </t>
  </si>
  <si>
    <t xml:space="preserve">Agritopia </t>
  </si>
  <si>
    <t>Grates are gone, charged them for replacement cost.</t>
  </si>
  <si>
    <t>Claim Jumper (AZ Mills)</t>
  </si>
  <si>
    <t>JW Marriott- Pool Deck Renovations</t>
  </si>
  <si>
    <t>Microsoft PHX 70</t>
  </si>
  <si>
    <t>Tanner, Leja</t>
  </si>
  <si>
    <t>7990 E Pinnacle Vista Dr</t>
  </si>
  <si>
    <t>Backflow, Donkey, hoses</t>
  </si>
  <si>
    <t>4/11/2022, 6-27-22</t>
  </si>
  <si>
    <t>Water buffalo and hose</t>
  </si>
  <si>
    <t>MCDOT Trailer Relocation</t>
  </si>
  <si>
    <t>water meter, donkey, hoses</t>
  </si>
  <si>
    <t>Foundation E Construction</t>
  </si>
  <si>
    <t>Residence- Bar Z</t>
  </si>
  <si>
    <t>Eastmark Ph.4</t>
  </si>
  <si>
    <t>Sidewalk Ramps</t>
  </si>
  <si>
    <t>US Fitness</t>
  </si>
  <si>
    <t>15" Relief Sewer</t>
  </si>
  <si>
    <t>Alta Verde</t>
  </si>
  <si>
    <t>We did not install they moved over from Graystar</t>
  </si>
  <si>
    <t>Santanilla</t>
  </si>
  <si>
    <t>Van Tassel</t>
  </si>
  <si>
    <t>O'Reilly #2138</t>
  </si>
  <si>
    <t>Temp Fence/backflow</t>
  </si>
  <si>
    <t>Removed Temp Fence 6-8-22, removed backflow 7-19-22</t>
  </si>
  <si>
    <t>Airpark Logistics</t>
  </si>
  <si>
    <t>Paid 1 month and then Prolow took over</t>
  </si>
  <si>
    <t>Econolight</t>
  </si>
  <si>
    <t>32 W Hatcher</t>
  </si>
  <si>
    <t>Purchased fence 7-5-22</t>
  </si>
  <si>
    <t>Desert Mtn Storage &amp; Laundry</t>
  </si>
  <si>
    <t>Spring at Deer Valley</t>
  </si>
  <si>
    <t>Sagewood Bldg 6000 ILU</t>
  </si>
  <si>
    <t>Water Meter, backflow and ball valve</t>
  </si>
  <si>
    <t>water meter, backflow and ball valve</t>
  </si>
  <si>
    <t>Curve Development</t>
  </si>
  <si>
    <t>Curve at South Mtn@ Alta Vista</t>
  </si>
  <si>
    <t>Desert Mountain Bldg AU3</t>
  </si>
  <si>
    <t>Desert Build Construction</t>
  </si>
  <si>
    <t>Brushfire Grill</t>
  </si>
  <si>
    <t>Hardrock Concrete</t>
  </si>
  <si>
    <t>Verizon Tempe RNC</t>
  </si>
  <si>
    <t>rumble plates</t>
  </si>
  <si>
    <t>Tolleson Logistics Park</t>
  </si>
  <si>
    <t>Black Rifle Coffee- Indian School</t>
  </si>
  <si>
    <t>9191 E San Salvador</t>
  </si>
  <si>
    <t>Turner Construction</t>
  </si>
  <si>
    <t>Optum RX</t>
  </si>
  <si>
    <t>9-9-22, requested pick up on 9-31-22</t>
  </si>
  <si>
    <t>AZ Opportunity Fund</t>
  </si>
  <si>
    <t>water ramp, donkey and hoses</t>
  </si>
  <si>
    <t>Bolte Home</t>
  </si>
  <si>
    <t>13th Street and Colter</t>
  </si>
  <si>
    <t>9/8/2022, called for removal on 8-26-22</t>
  </si>
  <si>
    <t>Sonora West</t>
  </si>
  <si>
    <t>1141 W Monterosa</t>
  </si>
  <si>
    <t>Backflow, water ramps, water donkey, barricades</t>
  </si>
  <si>
    <t>Haskell</t>
  </si>
  <si>
    <t>ALA Applied Tech- Mesa</t>
  </si>
  <si>
    <t>Genova Detwiler</t>
  </si>
  <si>
    <t>4343 E Kiem</t>
  </si>
  <si>
    <t xml:space="preserve">Prologis  </t>
  </si>
  <si>
    <t>303 Goodyear</t>
  </si>
  <si>
    <t>Pinnacle Paving</t>
  </si>
  <si>
    <t>Deaver Residence</t>
  </si>
  <si>
    <t>Palermo</t>
  </si>
  <si>
    <t>10-</t>
  </si>
  <si>
    <t>Agate</t>
  </si>
  <si>
    <t>Phoenix Paver Plant 4</t>
  </si>
  <si>
    <t>Penta Building</t>
  </si>
  <si>
    <t>CAZ Bingo Tent</t>
  </si>
  <si>
    <t>UND Aerospace</t>
  </si>
  <si>
    <t>Sigma</t>
  </si>
  <si>
    <t>Tempe Dance- Laveen</t>
  </si>
  <si>
    <t>Pegasus</t>
  </si>
  <si>
    <t>Valvoline Glendale</t>
  </si>
  <si>
    <t>water ramp. barricades</t>
  </si>
  <si>
    <t>10/24/2022, called for removal on 10-18-22</t>
  </si>
  <si>
    <t>Fleming Complete</t>
  </si>
  <si>
    <t>Rice PHX BSE Canopy</t>
  </si>
  <si>
    <t>Track out Plates</t>
  </si>
  <si>
    <t>GHA Roosevelt- Buckeye</t>
  </si>
  <si>
    <t>Falcon Field Hangers</t>
  </si>
  <si>
    <t>Sierra Verde Self Storage</t>
  </si>
  <si>
    <t>sidewalk ramp/water donkey/hoses</t>
  </si>
  <si>
    <t>5-20-22 removed sidewalk ramp, 11-3-22</t>
  </si>
  <si>
    <t xml:space="preserve">Mon Rocher </t>
  </si>
  <si>
    <t>Trinsic- Was CM Precision</t>
  </si>
  <si>
    <t>3883 N Central Ave (Aura Midtown)</t>
  </si>
  <si>
    <t>Backflow is all that’s left</t>
  </si>
  <si>
    <t>Water Ramp, Backflow</t>
  </si>
  <si>
    <t>3/6/2020, removed water ramp equipement 4-27-21</t>
  </si>
  <si>
    <t>removed water ramp equipement 4-27-21- backflow went missing, but they rented for so long we didn't charge for missing backflow.</t>
  </si>
  <si>
    <t>Cabana on Happy Valley</t>
  </si>
  <si>
    <t>10-12-22, requesed removal on 9-20-22</t>
  </si>
  <si>
    <t>Hoidal, Tom</t>
  </si>
  <si>
    <t>301 W Oregon</t>
  </si>
  <si>
    <t>11-18-22, but requested pick up 11-9-22</t>
  </si>
  <si>
    <t>Superior Casegoods</t>
  </si>
  <si>
    <t>Saguaro Hotel Renovation</t>
  </si>
  <si>
    <t>Black Rifle Coffee- Power Rd</t>
  </si>
  <si>
    <t>CDO</t>
  </si>
  <si>
    <t>Christian Brothers Automotive- Surprise</t>
  </si>
  <si>
    <t>cc</t>
  </si>
  <si>
    <t>Roosevelt ST. Duplex</t>
  </si>
  <si>
    <t>water set up removed 11-24-20, removed backflow 1-18-22, removed fence 5-17-21</t>
  </si>
  <si>
    <t>Dan  Volcko</t>
  </si>
  <si>
    <t>3531 E Onyx Ave</t>
  </si>
  <si>
    <t>Dirt Cheap</t>
  </si>
  <si>
    <t>Villas at Montana Del Sur</t>
  </si>
  <si>
    <t>Waiting on fence count</t>
  </si>
  <si>
    <t>Villas at 35th</t>
  </si>
  <si>
    <t>Fore Construction</t>
  </si>
  <si>
    <t>Zanjero</t>
  </si>
  <si>
    <t>Hose, water donkey</t>
  </si>
  <si>
    <t>PWI Residential</t>
  </si>
  <si>
    <t>Guardian Civil Contracting</t>
  </si>
  <si>
    <t>Encanto at Madison</t>
  </si>
  <si>
    <t>Water crossing stuff</t>
  </si>
  <si>
    <t>The Reserve at scottsdale</t>
  </si>
  <si>
    <t>backflow/Meter</t>
  </si>
  <si>
    <t>Oakridge</t>
  </si>
  <si>
    <t>Trammell Park Aldea</t>
  </si>
  <si>
    <t>Terra Nova</t>
  </si>
  <si>
    <t>BJ's Goodyear</t>
  </si>
  <si>
    <t>Valvoline Mesa</t>
  </si>
  <si>
    <t>4512 E Exeter</t>
  </si>
  <si>
    <t>02/15/2022 - 13 panels per Herve</t>
  </si>
  <si>
    <t>Ganem</t>
  </si>
  <si>
    <t>Carefree RV San Tan</t>
  </si>
  <si>
    <t>1-20-23- requested pick up on 1-13-23</t>
  </si>
  <si>
    <t>Cabana on Southern</t>
  </si>
  <si>
    <t>10/8/2021, 2nd set added 4-16-22</t>
  </si>
  <si>
    <t>12-15-22- 1 set removed, removed 2nd set 1-26-23</t>
  </si>
  <si>
    <t>Genova Development</t>
  </si>
  <si>
    <t>Sheedy Residence</t>
  </si>
  <si>
    <t>Alta Warehouse</t>
  </si>
  <si>
    <t>Water meter</t>
  </si>
  <si>
    <t>Back Flow</t>
  </si>
  <si>
    <t>removed 1 backflow 6-30-22, other one was stolen</t>
  </si>
  <si>
    <t>12000 N El Mirage</t>
  </si>
  <si>
    <t>sidewalk ramps</t>
  </si>
  <si>
    <t>Neve LLC</t>
  </si>
  <si>
    <t>19617 N 39th Dr</t>
  </si>
  <si>
    <t>1-28-23- removal billed on original invoice</t>
  </si>
  <si>
    <t>27 S McClintock Dr</t>
  </si>
  <si>
    <t>Dluzen, Scott</t>
  </si>
  <si>
    <t>12195 S 70th St, Temp</t>
  </si>
  <si>
    <t>Curve at Estrella Commons</t>
  </si>
  <si>
    <t>James Rice Elementary</t>
  </si>
  <si>
    <t>water ramp set up</t>
  </si>
  <si>
    <t xml:space="preserve">6120 E Naumann </t>
  </si>
  <si>
    <t>Desert Build</t>
  </si>
  <si>
    <t>Salad &amp; Go- 16885 W Bell Rd</t>
  </si>
  <si>
    <t>KDC Construction</t>
  </si>
  <si>
    <t>Chipotle 9529 E Ray Rd</t>
  </si>
  <si>
    <t>Leigh Sears</t>
  </si>
  <si>
    <t>6001 E Onyx, PV</t>
  </si>
  <si>
    <t>NLW Enterprises</t>
  </si>
  <si>
    <t>934 W Hatcher</t>
  </si>
  <si>
    <t>Neal, Colby</t>
  </si>
  <si>
    <t>8107 E Del Cadena Dr</t>
  </si>
  <si>
    <t>Venture Out Mesa</t>
  </si>
  <si>
    <t>Westmac 303</t>
  </si>
  <si>
    <t>Orangewood Ranch</t>
  </si>
  <si>
    <t>10256 E Elliot PC1916</t>
  </si>
  <si>
    <t>EMAIL INVOICE WITH PO TO AP AND DAVID</t>
  </si>
  <si>
    <t>transferred from Greystar album cooley</t>
  </si>
  <si>
    <t>City Property Management</t>
  </si>
  <si>
    <t>Monterey Ridge Condos</t>
  </si>
  <si>
    <t>Album Cooley Station</t>
  </si>
  <si>
    <t>7/8/2022 removed grates</t>
  </si>
  <si>
    <t>271 (Count off, need new count)</t>
  </si>
  <si>
    <t>NCY Scottsdale Parking Garage</t>
  </si>
  <si>
    <t>Dutch Bros. 1836 N Higley</t>
  </si>
  <si>
    <t>Bjerk</t>
  </si>
  <si>
    <t>AZ Corrugated Container Addition</t>
  </si>
  <si>
    <t>MTI-Mitchell</t>
  </si>
  <si>
    <t>9940 W Happy Valley</t>
  </si>
  <si>
    <t>Tippman Group</t>
  </si>
  <si>
    <t>Nestle ASR</t>
  </si>
  <si>
    <t>McCartney Ranch</t>
  </si>
  <si>
    <t>Deerfield</t>
  </si>
  <si>
    <t>Aldi #155</t>
  </si>
  <si>
    <t>Bela Flor (used to be billed to J.N. Pebler Construction)</t>
  </si>
  <si>
    <t>Autism Academy</t>
  </si>
  <si>
    <t>Arcadia Communities</t>
  </si>
  <si>
    <t>15th Ave Maryland</t>
  </si>
  <si>
    <t>Duncan Donuts 2033 E Southern</t>
  </si>
  <si>
    <t>Cabana on Bullard</t>
  </si>
  <si>
    <t>Sunland on Ocotillo</t>
  </si>
  <si>
    <t>Zona</t>
  </si>
  <si>
    <t>Allero 59</t>
  </si>
  <si>
    <t>La Loma</t>
  </si>
  <si>
    <t>Backflow, donkey</t>
  </si>
  <si>
    <t>water tower requested for pick up on 11-8-22</t>
  </si>
  <si>
    <t>4-4-23 water tower removed 1-4-23</t>
  </si>
  <si>
    <t>Alta Surprise</t>
  </si>
  <si>
    <t>6/9/2022 and 8-15-22</t>
  </si>
  <si>
    <t>1 set removed 1-12-23, 1 set removed 4-13-23</t>
  </si>
  <si>
    <t>Buckeye 85</t>
  </si>
  <si>
    <t>Friendship Village</t>
  </si>
  <si>
    <t>Farmer Townhouses</t>
  </si>
  <si>
    <t>Midwestern</t>
  </si>
  <si>
    <t>Cadence at Gateway</t>
  </si>
  <si>
    <t>sidewalk ramp/water donkey</t>
  </si>
  <si>
    <t>Blackrock- 35th Ave &amp; Baseline</t>
  </si>
  <si>
    <t>Mansell Carter Park</t>
  </si>
  <si>
    <t>Dan Volcko</t>
  </si>
  <si>
    <t>118 E Loma LN</t>
  </si>
  <si>
    <t>36692 S Rocky mtn trail</t>
  </si>
  <si>
    <t xml:space="preserve">Midwestern </t>
  </si>
  <si>
    <t>19555 N 59th Ave</t>
  </si>
  <si>
    <t>Mountainside Fitness</t>
  </si>
  <si>
    <t>9745 W Happy Valley Rd</t>
  </si>
  <si>
    <t>Water buffalo</t>
  </si>
  <si>
    <t>7230 N Central</t>
  </si>
  <si>
    <t>02/15/2022 - 16 panels per Herve</t>
  </si>
  <si>
    <t>Project Discovery</t>
  </si>
  <si>
    <t>Grates x2</t>
  </si>
  <si>
    <t>MCO Discovery Center</t>
  </si>
  <si>
    <t>Manor Scottsdale</t>
  </si>
  <si>
    <t>Ford Quick Lane</t>
  </si>
  <si>
    <t>Scottsdale CDJR</t>
  </si>
  <si>
    <t>550 E Willeta</t>
  </si>
  <si>
    <t>Carls Jr Litchfield</t>
  </si>
  <si>
    <t>Backflow, water donkey, sidewalk ramp and hose</t>
  </si>
  <si>
    <t>5307 N Invorgordon</t>
  </si>
  <si>
    <t>Jon Kitchell</t>
  </si>
  <si>
    <t>300 W Camelback</t>
  </si>
  <si>
    <t>Hudson Crossing, Chandler</t>
  </si>
  <si>
    <t>Caliber Collision Avondale</t>
  </si>
  <si>
    <t>Backflow/ramp/donkey/hose</t>
  </si>
  <si>
    <t>21 W Marlette</t>
  </si>
  <si>
    <t>All Saints Episcopal</t>
  </si>
  <si>
    <t xml:space="preserve">Evans Churchill </t>
  </si>
  <si>
    <t xml:space="preserve">Curve </t>
  </si>
  <si>
    <t>Estrella Commons</t>
  </si>
  <si>
    <t>Ross Distribution Center</t>
  </si>
  <si>
    <t>BJ's Chandler</t>
  </si>
  <si>
    <t>Gil Penunuri</t>
  </si>
  <si>
    <t>8261 E Windrose</t>
  </si>
  <si>
    <t xml:space="preserve">Core </t>
  </si>
  <si>
    <t>Green Valley Fire # 152</t>
  </si>
  <si>
    <t>Arco</t>
  </si>
  <si>
    <t>MDH-PV303</t>
  </si>
  <si>
    <t>Fairway Commerce</t>
  </si>
  <si>
    <t>grates x 2</t>
  </si>
  <si>
    <t>Water crossing set up was removed 12-27-22, 2 sets of grates removed 4-12-23, last 2 sets of grates removed 7-18-23</t>
  </si>
  <si>
    <t>Lantern Group Contraction</t>
  </si>
  <si>
    <t>825 N 9th Avenue</t>
  </si>
  <si>
    <t>Tavan Elementary</t>
  </si>
  <si>
    <t>Blade Runners</t>
  </si>
  <si>
    <t>Amazon RGM PHX5</t>
  </si>
  <si>
    <t>1324 S Rural Rd, Tempe</t>
  </si>
  <si>
    <t>Brydant Real Estate</t>
  </si>
  <si>
    <t>Brooklyn Bedding</t>
  </si>
  <si>
    <t xml:space="preserve">Hopewell </t>
  </si>
  <si>
    <t>Grates x 3</t>
  </si>
  <si>
    <t>The X Company</t>
  </si>
  <si>
    <t>X Roosevelt</t>
  </si>
  <si>
    <t>Clayco Cubes</t>
  </si>
  <si>
    <t>Flowing Wells</t>
  </si>
  <si>
    <t>6017 N 38th Place</t>
  </si>
  <si>
    <t>180 Degrees Design</t>
  </si>
  <si>
    <t>Desert Foothills YMCA</t>
  </si>
  <si>
    <t>Buesing</t>
  </si>
  <si>
    <t>South Pier</t>
  </si>
  <si>
    <t>Cavasson</t>
  </si>
  <si>
    <t>8/29/2023, Requested removal on 8-24</t>
  </si>
  <si>
    <t>Cubes at Mesa Bldg C</t>
  </si>
  <si>
    <t>4-19-22 and 8/16/2022</t>
  </si>
  <si>
    <t>Plenium</t>
  </si>
  <si>
    <t>Scheels</t>
  </si>
  <si>
    <t>Track out plates</t>
  </si>
  <si>
    <t>Fairmont Princess</t>
  </si>
  <si>
    <t>temp Fence/ trackout plates</t>
  </si>
  <si>
    <t>5/3/2022, 6-13-22</t>
  </si>
  <si>
    <t>9-8-23 picked up last of the fence 10-31-22- grates</t>
  </si>
  <si>
    <t>Eclectic Properties</t>
  </si>
  <si>
    <t>1622 E Catalina Dr</t>
  </si>
  <si>
    <t>1970 Glendale Ave</t>
  </si>
  <si>
    <t>Desert Mountain</t>
  </si>
  <si>
    <t>Cochise/Geronimo Clubhouse</t>
  </si>
  <si>
    <t>Weems Asphalt</t>
  </si>
  <si>
    <t>Penske Porche</t>
  </si>
  <si>
    <t>41 North (was ED Smith Paving)</t>
  </si>
  <si>
    <t>White Castle Tempe</t>
  </si>
  <si>
    <t>Chilis Mesa</t>
  </si>
  <si>
    <t>Ramp</t>
  </si>
  <si>
    <t>Torcom</t>
  </si>
  <si>
    <t>883 S Cotton Lane</t>
  </si>
  <si>
    <t>BFL Construction</t>
  </si>
  <si>
    <t>One Camelback</t>
  </si>
  <si>
    <t>Water Meter/Backflow</t>
  </si>
  <si>
    <t>7/19/2021, reinstalled 3-18-23</t>
  </si>
  <si>
    <t>Autozone #5304</t>
  </si>
  <si>
    <t>Sonoran Crest</t>
  </si>
  <si>
    <t>ASU Apache Blvd</t>
  </si>
  <si>
    <t>Hanna Design</t>
  </si>
  <si>
    <t>Autozone- 4723 E Bell</t>
  </si>
  <si>
    <t>GSS Companies</t>
  </si>
  <si>
    <t>TEI- Casa Grande</t>
  </si>
  <si>
    <t>BC Home Builders</t>
  </si>
  <si>
    <t>914 W Willetta</t>
  </si>
  <si>
    <t>Dunkin 3255 AZ Ave</t>
  </si>
  <si>
    <t>Indicap- Olive &amp; Reems</t>
  </si>
  <si>
    <t>Estrella Pkwy &amp; Buckeye Rd</t>
  </si>
  <si>
    <t>Arco Murray</t>
  </si>
  <si>
    <t>Sossaman</t>
  </si>
  <si>
    <t>Mesa, Elliot &amp; Signal Butte</t>
  </si>
  <si>
    <t>Northwind Resource Consultants</t>
  </si>
  <si>
    <t>McKellips and Longmore</t>
  </si>
  <si>
    <t>Renaissance Companies</t>
  </si>
  <si>
    <t>CFC 6 Patio Remodel</t>
  </si>
  <si>
    <t>1705 S Greenfield Rd</t>
  </si>
  <si>
    <t>QTS PHX2 DC2 36MW</t>
  </si>
  <si>
    <t>Colton Constructors</t>
  </si>
  <si>
    <t>8445 E Frank Lloyd Wright Blvd</t>
  </si>
  <si>
    <t>4/5/2022 and 7-17-22</t>
  </si>
  <si>
    <t>The Roosevelt-815 N 2nd st</t>
  </si>
  <si>
    <t>A&amp;C Arizona Renovations</t>
  </si>
  <si>
    <t>25350 N 90th St</t>
  </si>
  <si>
    <t>Derek Builders</t>
  </si>
  <si>
    <t xml:space="preserve">Unbound </t>
  </si>
  <si>
    <t>AZ corrugated container- Mesa</t>
  </si>
  <si>
    <t>Elwood Logistics- Parking</t>
  </si>
  <si>
    <t>Casa Azure</t>
  </si>
  <si>
    <t xml:space="preserve">Hose   </t>
  </si>
  <si>
    <t>CoP Fire Station #62</t>
  </si>
  <si>
    <t>Town Surprise Center</t>
  </si>
  <si>
    <t>Haydon, used to be Desert Mountain Club</t>
  </si>
  <si>
    <t>Renegade Clubhouse</t>
  </si>
  <si>
    <t>Scooters on Camelback</t>
  </si>
  <si>
    <t>Fence was gone</t>
  </si>
  <si>
    <t>TB Penick &amp; Sons</t>
  </si>
  <si>
    <t>The Phoenician Villas</t>
  </si>
  <si>
    <t>CCV North Surprise</t>
  </si>
  <si>
    <t>Water Donkey and hoses, sidewalk ramp</t>
  </si>
  <si>
    <t>2/14/2022. sidewalk ramp installed 4-4-22</t>
  </si>
  <si>
    <t>Removed water ramp 6-8-22, not sure when Donkey was removed, Bob removed and never told anyone.</t>
  </si>
  <si>
    <t>Cabana Villa Cielo Tucson</t>
  </si>
  <si>
    <t>1/4/2024, Requested removal on 12-20-23</t>
  </si>
  <si>
    <t>Bullard and Broadway</t>
  </si>
  <si>
    <t>5432 Via De Cielo</t>
  </si>
  <si>
    <t>02/15/2022 - 36 panels per Herve</t>
  </si>
  <si>
    <t>8342 E Equinox Circle</t>
  </si>
  <si>
    <t>17045 N 7th St</t>
  </si>
  <si>
    <t>180 (Removing 1/16/2024)</t>
  </si>
  <si>
    <t>Removing 1/16/2024</t>
  </si>
  <si>
    <t xml:space="preserve">Foundation E </t>
  </si>
  <si>
    <t>Paisano</t>
  </si>
  <si>
    <t>⨽ (Calling off fence 1/16/2024)</t>
  </si>
  <si>
    <t>Residences on First Ph.3</t>
  </si>
  <si>
    <t>⨽</t>
  </si>
  <si>
    <t>Desert Mountain Club, Inc</t>
  </si>
  <si>
    <t>41007 N Cave Creek Rd</t>
  </si>
  <si>
    <t>Backflow and hose</t>
  </si>
  <si>
    <t>GHA New Anthem Campus</t>
  </si>
  <si>
    <t>Skye on 6th</t>
  </si>
  <si>
    <t>Overture Raintree</t>
  </si>
  <si>
    <t>Water set up (ramps, donkey, backflow), Grates</t>
  </si>
  <si>
    <t>11/15/2021, Grates installed 4-16-22, grates removed 9-15-23</t>
  </si>
  <si>
    <t>WE Oneil</t>
  </si>
  <si>
    <t>Garfield Housing</t>
  </si>
  <si>
    <t>Backflow, ramp, hose</t>
  </si>
  <si>
    <t>Metro Papago Site improvements</t>
  </si>
  <si>
    <t>Whitmer, Thomas</t>
  </si>
  <si>
    <t>4525 E Turney</t>
  </si>
  <si>
    <t>Verizon 114th St. Scottsdale</t>
  </si>
  <si>
    <t>Bates Builders</t>
  </si>
  <si>
    <t>300 E McClellan</t>
  </si>
  <si>
    <t>Gila Valley Lookout</t>
  </si>
  <si>
    <t>Rio East- Tempe II</t>
  </si>
  <si>
    <t>Hub 202/was Queen Creek Commons</t>
  </si>
  <si>
    <t>6-23-22 delivered from Queen Creek Commons 10/28/2021, 11-21-22</t>
  </si>
  <si>
    <t>picked up 1 set 4-7-23, 2-9-24</t>
  </si>
  <si>
    <t>Eureka Burger Tempe</t>
  </si>
  <si>
    <t>Bosa Doughnuts Goodyear</t>
  </si>
  <si>
    <t>Backflow, hoses</t>
  </si>
  <si>
    <t>temp fence picked up 1-26-24, backflow picked up 2-9-24</t>
  </si>
  <si>
    <t>2126 W Shagri- La</t>
  </si>
  <si>
    <t>Focus on Family</t>
  </si>
  <si>
    <t xml:space="preserve">Track out grates </t>
  </si>
  <si>
    <t>Falcon Field G &amp; H</t>
  </si>
  <si>
    <t>Greenberg Construction</t>
  </si>
  <si>
    <t>Bell Bank Glendale</t>
  </si>
  <si>
    <t>Penta</t>
  </si>
  <si>
    <t>TSR Pool</t>
  </si>
  <si>
    <t>41007 N Cave Creek</t>
  </si>
  <si>
    <t>AutoZone # 5841 Florence</t>
  </si>
  <si>
    <t>Arco Construction</t>
  </si>
  <si>
    <t>El Mirage Warehouse</t>
  </si>
  <si>
    <t>Raintree Drive Residential</t>
  </si>
  <si>
    <t>Water meters, backflows, water donkeys and hoses</t>
  </si>
  <si>
    <t>Prologis- Was Graycor</t>
  </si>
  <si>
    <t>Ameron- 7th St. PH.II</t>
  </si>
  <si>
    <t>picked up 1 backflow 5-31-18, meter and backflow were stolen sometime in december, final fence removal 3-15-24</t>
  </si>
  <si>
    <t>Irwin Construction</t>
  </si>
  <si>
    <t>310 W Van Buren</t>
  </si>
  <si>
    <t>Banyan</t>
  </si>
  <si>
    <t>AutoZone #6784</t>
  </si>
  <si>
    <t>B Plus Design Build</t>
  </si>
  <si>
    <t>Lot 436 Verrado (21106 W Granite Ridge, Buckeye)</t>
  </si>
  <si>
    <t>Carvana</t>
  </si>
  <si>
    <t>4/14/2022, 8-14-23</t>
  </si>
  <si>
    <t>1 set grates removed 2-3-24, second set 4-24-24</t>
  </si>
  <si>
    <t>Younger Brothers</t>
  </si>
  <si>
    <t>7th &amp; Windsor</t>
  </si>
  <si>
    <t>Mike needs to go see if they have fence</t>
  </si>
  <si>
    <t>Modera Rio Salado</t>
  </si>
  <si>
    <t>picked up 1 set on 3-27-24, removed 2nd set 4-26-24</t>
  </si>
  <si>
    <t>Crown Builders</t>
  </si>
  <si>
    <t>The Aster at Mountain Vista</t>
  </si>
  <si>
    <t>Maggies Place</t>
  </si>
  <si>
    <t>Temp Fence- Charity- no charge</t>
  </si>
  <si>
    <t>7901 N 99th Ave</t>
  </si>
  <si>
    <t>Whiting Turner- Was Drive Development Partners</t>
  </si>
  <si>
    <t>Maravilla</t>
  </si>
  <si>
    <t>3-24-23, 5/4/2023</t>
  </si>
  <si>
    <t>grates removed 3-25-24, removed everything else 4-4-24</t>
  </si>
  <si>
    <t>SJ Contracting</t>
  </si>
  <si>
    <t>Lot 49</t>
  </si>
  <si>
    <t>Temp Fence w/barbed wire</t>
  </si>
  <si>
    <t>Belmont Homes</t>
  </si>
  <si>
    <t>11224 Desert Troon Lane</t>
  </si>
  <si>
    <t>TSMC Supplier Site "A"</t>
  </si>
  <si>
    <t>MWU Commissary Wellness</t>
  </si>
  <si>
    <t xml:space="preserve">Chasse </t>
  </si>
  <si>
    <t>Avondale Volleyball Courts</t>
  </si>
  <si>
    <t>Water Meter, backflow, water ramp, hose</t>
  </si>
  <si>
    <t>The Remson Group</t>
  </si>
  <si>
    <t>The suite spot</t>
  </si>
  <si>
    <t>AZ, Buckeye, Yuma RD</t>
  </si>
  <si>
    <t>Water donkey and hose.</t>
  </si>
  <si>
    <t>Chandler Apts</t>
  </si>
  <si>
    <t>Inland Kenworth</t>
  </si>
  <si>
    <t>BPR Companies</t>
  </si>
  <si>
    <t>2815 E Indian School</t>
  </si>
  <si>
    <t>180 Degree Design</t>
  </si>
  <si>
    <t>8214 W Mohave Rd</t>
  </si>
  <si>
    <t>Zona Builders</t>
  </si>
  <si>
    <t>Flatz 623</t>
  </si>
  <si>
    <t>TSMC Supplier Site "C"</t>
  </si>
  <si>
    <t>Modera Higley Commons</t>
  </si>
  <si>
    <t>12-28-23 and 1-8-24</t>
  </si>
  <si>
    <t>temp fence and 2 set of grates removed 5-16-24</t>
  </si>
  <si>
    <t>Sossaman 202 Industrial Park</t>
  </si>
  <si>
    <t>Removed 7-1-24</t>
  </si>
  <si>
    <t>Helmandollar, Shad</t>
  </si>
  <si>
    <t>2028 N 11th Ave</t>
  </si>
  <si>
    <t>Bell Bank Gilbert</t>
  </si>
  <si>
    <t>1248 / Removing Fence</t>
  </si>
  <si>
    <t xml:space="preserve">City North </t>
  </si>
  <si>
    <t>fence</t>
  </si>
  <si>
    <t>9/22/2021, grates picked up 2-15-22, backflow picked up 6-25-24, removed last of fence 7-10-24</t>
  </si>
  <si>
    <t>Salt &amp; Straw</t>
  </si>
  <si>
    <t>AP Global</t>
  </si>
  <si>
    <t>SSCW- Anthem Way</t>
  </si>
  <si>
    <t>JLB Partners</t>
  </si>
  <si>
    <t>44th &amp; 202</t>
  </si>
  <si>
    <t>Prologis Loop 303</t>
  </si>
  <si>
    <t>9/20/2022, 10-17-22</t>
  </si>
  <si>
    <t>3 sets removed 3-25-24, last 3 sets removed 5-31-24</t>
  </si>
  <si>
    <t>Removing</t>
  </si>
  <si>
    <t>PMGAA Rental Car Care</t>
  </si>
  <si>
    <t>COM PSTF</t>
  </si>
  <si>
    <t>Robinson Construction Co</t>
  </si>
  <si>
    <t xml:space="preserve">Home Depot - Maricopa, AZ </t>
  </si>
  <si>
    <t>Kapella Group</t>
  </si>
  <si>
    <t>Montecito Senior Living</t>
  </si>
  <si>
    <t>Blocks on Roosevelt</t>
  </si>
  <si>
    <t>K.Hovanian</t>
  </si>
  <si>
    <t>I-17 North</t>
  </si>
  <si>
    <t>5120 N Cas Blanca</t>
  </si>
  <si>
    <t>02/15/2022 - 38 panels per Herve</t>
  </si>
  <si>
    <t>Ameris</t>
  </si>
  <si>
    <t>Encanto Row</t>
  </si>
  <si>
    <t>V-Italiano- 9301 E Shea</t>
  </si>
  <si>
    <t>R2 Contractors</t>
  </si>
  <si>
    <t>4445 N 169th Ave</t>
  </si>
  <si>
    <t>Lot 63 9015 Los Gatos</t>
  </si>
  <si>
    <t>Summit Buisiness Park</t>
  </si>
  <si>
    <t>1 set removed 8-12-24, 8-21-24</t>
  </si>
  <si>
    <t>Influx Building Technologies</t>
  </si>
  <si>
    <t>815 N 2nd St - Phoenix</t>
  </si>
  <si>
    <t>Fleming</t>
  </si>
  <si>
    <t>Aviara Flats</t>
  </si>
  <si>
    <t>Bloomfield Builders</t>
  </si>
  <si>
    <t>4845 E Lafayette Blvd</t>
  </si>
  <si>
    <t>DeConcini Park</t>
  </si>
  <si>
    <t>Mears Group</t>
  </si>
  <si>
    <t>820 W Ravina Lane</t>
  </si>
  <si>
    <t>5549 E Indian School Rd</t>
  </si>
  <si>
    <t>Rio East- Tempe II LAYDOWN AREA</t>
  </si>
  <si>
    <t>Ruben Contracting</t>
  </si>
  <si>
    <t>6102 E Corrine Drive, Scottsdale</t>
  </si>
  <si>
    <t>8/20/2024, requested removal 8-12-24</t>
  </si>
  <si>
    <t>Parkway Construction</t>
  </si>
  <si>
    <t>Andretti Glendale</t>
  </si>
  <si>
    <t>Alta Uptown</t>
  </si>
  <si>
    <t>Grates x1</t>
  </si>
  <si>
    <t>5/20/2024, 9-16-24</t>
  </si>
  <si>
    <t>Ford Pro Elite</t>
  </si>
  <si>
    <t>8240 S River Pkwy</t>
  </si>
  <si>
    <t>Sidewalk Ramp</t>
  </si>
  <si>
    <t>Gilbert Woodsprings Suites</t>
  </si>
  <si>
    <t>Public Storage Val Vista</t>
  </si>
  <si>
    <t>water meter</t>
  </si>
  <si>
    <t>6-7-23, 6-19-23</t>
  </si>
  <si>
    <t>fence removed 6-28-24</t>
  </si>
  <si>
    <t>3516 N 35th Place</t>
  </si>
  <si>
    <t>Cascade Falls</t>
  </si>
  <si>
    <t>NWFD Training</t>
  </si>
  <si>
    <t>Plate Grates</t>
  </si>
  <si>
    <t>Sun Health La Loma</t>
  </si>
  <si>
    <t>Haydon Building</t>
  </si>
  <si>
    <t>ASU Tempe W Campus Utilities</t>
  </si>
  <si>
    <t>water donkey, hose</t>
  </si>
  <si>
    <t>Apache River</t>
  </si>
  <si>
    <t>Grate removed 6-17-24, 9-23-24</t>
  </si>
  <si>
    <t>second set of grates</t>
  </si>
  <si>
    <t>Dallas Construction</t>
  </si>
  <si>
    <t>NWV Baptist Church- billed to SRPMIC Day School job</t>
  </si>
  <si>
    <t>Winco 130 Goodyear</t>
  </si>
  <si>
    <t>Backflow and water meter removed 9-24-24, removed fence 10-10-24</t>
  </si>
  <si>
    <t>Graycor</t>
  </si>
  <si>
    <t>Buckeye 77</t>
  </si>
  <si>
    <t>Starbucks #5923  Goodyear</t>
  </si>
  <si>
    <t>Scott's Diversified Construction</t>
  </si>
  <si>
    <t>McKesson Phoenix</t>
  </si>
  <si>
    <t>Horizon Eye Partners</t>
  </si>
  <si>
    <t>Bullard and McDowell</t>
  </si>
  <si>
    <t>Lennar</t>
  </si>
  <si>
    <t>LMC Cave Creek</t>
  </si>
  <si>
    <t>12/16/2022- picked up backflow</t>
  </si>
  <si>
    <t>Home Depot Prasada South</t>
  </si>
  <si>
    <t>Grates, temp fence</t>
  </si>
  <si>
    <t>fence removed 9-5-24, removed grates 10-15-24</t>
  </si>
  <si>
    <t>Estrella Springs at Canyon Trails</t>
  </si>
  <si>
    <t>Silver Creek Avondale</t>
  </si>
  <si>
    <t>Meter, Backflow</t>
  </si>
  <si>
    <t>Buffalo Construction</t>
  </si>
  <si>
    <t>Bubba's 33</t>
  </si>
  <si>
    <t>Temp Fence/backflow/donkey</t>
  </si>
  <si>
    <t>Fence removed 9-16-24, removed backflow and donkey 11-13-24</t>
  </si>
  <si>
    <t>Power Industrial</t>
  </si>
  <si>
    <t>Palm Tower</t>
  </si>
  <si>
    <t>SCAHCC Health Clinic</t>
  </si>
  <si>
    <t>Bel Southwest</t>
  </si>
  <si>
    <t>Americas Truck and RV</t>
  </si>
  <si>
    <t>Bayley Construction</t>
  </si>
  <si>
    <t>Burlington Canyon Trails</t>
  </si>
  <si>
    <t>Daniel Enterprises</t>
  </si>
  <si>
    <t>ASU Polytechnic Campus</t>
  </si>
  <si>
    <t>99th &amp; Mcdowell</t>
  </si>
  <si>
    <t>Moli Construction</t>
  </si>
  <si>
    <t>3757 S Gilbert</t>
  </si>
  <si>
    <t>Chipotle- Dysart &amp; Camelback</t>
  </si>
  <si>
    <t>temp fence, backfow</t>
  </si>
  <si>
    <t>removed fence 11-5-24, backflow 12-12-24</t>
  </si>
  <si>
    <t>Childrens Museum Wall</t>
  </si>
  <si>
    <t>ASU West Academic Bldg</t>
  </si>
  <si>
    <t>Busy Bees Laveen</t>
  </si>
  <si>
    <t>Backflow, water ramp set up</t>
  </si>
  <si>
    <t>Level Crossing Ph.3</t>
  </si>
  <si>
    <t>Generator temp fence</t>
  </si>
  <si>
    <t xml:space="preserve">Boldt- was Tippman </t>
  </si>
  <si>
    <t>Nestle</t>
  </si>
  <si>
    <t>Alta Goodyear</t>
  </si>
  <si>
    <t>Verde Investments</t>
  </si>
  <si>
    <t>5730 E Exeter</t>
  </si>
  <si>
    <t xml:space="preserve">41 North </t>
  </si>
  <si>
    <t>Blue Sushi</t>
  </si>
  <si>
    <t>Havenly</t>
  </si>
  <si>
    <t>Western Semi Solutions</t>
  </si>
  <si>
    <t>41 North Contractors</t>
  </si>
  <si>
    <t>Jack in the Box- Glendale</t>
  </si>
  <si>
    <t>United Contractors</t>
  </si>
  <si>
    <t>Garff Kia of Phoenix</t>
  </si>
  <si>
    <t>8763 E Bell Rd</t>
  </si>
  <si>
    <t>Chapman Homes</t>
  </si>
  <si>
    <t>6446 West Fetlock Trail Phoenix, AZ</t>
  </si>
  <si>
    <t>Embrey Partners</t>
  </si>
  <si>
    <t>Canyon Trails</t>
  </si>
  <si>
    <t>Turbo Resources</t>
  </si>
  <si>
    <t xml:space="preserve">Arco Murray </t>
  </si>
  <si>
    <t>City Vet Dysart Rd</t>
  </si>
  <si>
    <t>Boldt</t>
  </si>
  <si>
    <t>Eye clinic</t>
  </si>
  <si>
    <t>PHX70- PHX70</t>
  </si>
  <si>
    <t>ANY WORK ONSITE NEEDS TO BE ON OLD PO</t>
  </si>
  <si>
    <t>AME Electrical Contracting</t>
  </si>
  <si>
    <t>1540 W Drake St. Tempe</t>
  </si>
  <si>
    <t>Shops at 75th</t>
  </si>
  <si>
    <t xml:space="preserve">meter, backflow.  </t>
  </si>
  <si>
    <t>Deer Valley Business</t>
  </si>
  <si>
    <t>Brinkmann</t>
  </si>
  <si>
    <t>Verve</t>
  </si>
  <si>
    <t>MSRP Renovations</t>
  </si>
  <si>
    <t>ASU- TDUP</t>
  </si>
  <si>
    <t>La Pradera</t>
  </si>
  <si>
    <t>Tasmanian Works</t>
  </si>
  <si>
    <t>1045 E Curry St</t>
  </si>
  <si>
    <t>Purchased fence</t>
  </si>
  <si>
    <t>PV Transit Station</t>
  </si>
  <si>
    <t>Water meter, and ramp set up</t>
  </si>
  <si>
    <t>Olive Logistics</t>
  </si>
  <si>
    <t xml:space="preserve">grates </t>
  </si>
  <si>
    <t>1-13-25 removed 1 set of grates, removed 2nd set 2-19-25</t>
  </si>
  <si>
    <t>Dwill-Mast Construction</t>
  </si>
  <si>
    <t>5739 N 10th Place</t>
  </si>
  <si>
    <t>tranferred to Porter Acme</t>
  </si>
  <si>
    <t>Arcadia 32 Phoenix</t>
  </si>
  <si>
    <t>Grates removed 6-25-24, fence removed 2-21-25</t>
  </si>
  <si>
    <t>Patio Design Group</t>
  </si>
  <si>
    <t>8531 E Indianola Ave</t>
  </si>
  <si>
    <t>1626 W Northern Ave, Coolidge</t>
  </si>
  <si>
    <t>AR Mays Construction</t>
  </si>
  <si>
    <t>Meter and Backflow</t>
  </si>
  <si>
    <t>Project Blue</t>
  </si>
  <si>
    <t>Track out grates x 2</t>
  </si>
  <si>
    <t xml:space="preserve">1 Set picked up 5-20-24, they returned 1 set to yard </t>
  </si>
  <si>
    <t>Gilbert Water Tower</t>
  </si>
  <si>
    <t>Prologis- PHX02290</t>
  </si>
  <si>
    <t>20th &amp; Alameda</t>
  </si>
  <si>
    <t>Joe Foss Shooting Range</t>
  </si>
  <si>
    <t xml:space="preserve">MTI- Mitchell </t>
  </si>
  <si>
    <t>8160 W Thunderbird</t>
  </si>
  <si>
    <t>Starbucks- 3680 W Happy Valley Rd</t>
  </si>
  <si>
    <t>Agate- was Keegan</t>
  </si>
  <si>
    <t xml:space="preserve">Maxway Trucking- 224 N 59th </t>
  </si>
  <si>
    <t>Grates removed 2-11-25, backflow removed 3-7-25</t>
  </si>
  <si>
    <t>JDA Power 42</t>
  </si>
  <si>
    <t>1 set picked up 5-15-24, picked up 2nd set 3-6-25</t>
  </si>
  <si>
    <t>3032 S 59th Ave</t>
  </si>
  <si>
    <t>Backflow, hose</t>
  </si>
  <si>
    <t>Arcadia 15</t>
  </si>
  <si>
    <t>Just backflow left</t>
  </si>
  <si>
    <t>removed everything but the backflow on 7-15-22, backflow picked up on 3-10-25</t>
  </si>
  <si>
    <t>Avondale Apartments</t>
  </si>
  <si>
    <t>Grates removed 5-6-23, fence removed 2-8-25</t>
  </si>
  <si>
    <t>4702 E Redfield Rd</t>
  </si>
  <si>
    <t>Extended Stay Chandler</t>
  </si>
  <si>
    <t>Mack Deer Valley</t>
  </si>
  <si>
    <t>9-25-24 and 3/13/2025</t>
  </si>
  <si>
    <t>Modera Kierland</t>
  </si>
  <si>
    <t xml:space="preserve"> backflows (3 on meters we pulled, 1 on a meter they pulled)</t>
  </si>
  <si>
    <t xml:space="preserve">11/8/2022, 2nd set of grates installed 1-18-23 </t>
  </si>
  <si>
    <t>Removed all grates 8-21-24, removed all backflows 3-20-25</t>
  </si>
  <si>
    <t>TPA Butterfield Tucson</t>
  </si>
  <si>
    <t>Microsoft PHX 71</t>
  </si>
  <si>
    <t>Temp Fence, backflow</t>
  </si>
  <si>
    <t>PHX71 Bridge</t>
  </si>
  <si>
    <t>Copperwing</t>
  </si>
  <si>
    <t>11824 W McDowell</t>
  </si>
  <si>
    <t>Desert Botanical Garden</t>
  </si>
  <si>
    <t>Scooters- 1512 W Bell Rd, Phoenix</t>
  </si>
  <si>
    <t>VT101</t>
  </si>
  <si>
    <t>Nest Hangers</t>
  </si>
  <si>
    <t>Water Ramp, donkey, hose</t>
  </si>
  <si>
    <t>Honeysuckle Trail</t>
  </si>
  <si>
    <t>Tempe Bike Path</t>
  </si>
  <si>
    <t>Water ramp, hoses</t>
  </si>
  <si>
    <t>D. McCarty Construction</t>
  </si>
  <si>
    <t>5345 E McClellan</t>
  </si>
  <si>
    <t>Vequity Construction</t>
  </si>
  <si>
    <t>7-Eleven #47385, was 7-Eleven #47390</t>
  </si>
  <si>
    <t xml:space="preserve">water donkey &amp; hose </t>
  </si>
  <si>
    <t>moved to other site</t>
  </si>
  <si>
    <t>Majestic 303</t>
  </si>
  <si>
    <t>Meter, backflow</t>
  </si>
  <si>
    <t>, backflow removed 5-1-25</t>
  </si>
  <si>
    <t>5016 E Berneil</t>
  </si>
  <si>
    <t>Sonoran Waters</t>
  </si>
  <si>
    <t>6621 E Hearn Rd</t>
  </si>
  <si>
    <t xml:space="preserve">Abernathey </t>
  </si>
  <si>
    <t>Self Storage Goodyear</t>
  </si>
  <si>
    <t>2222 Pasadena</t>
  </si>
  <si>
    <t>Homeless Solutions</t>
  </si>
  <si>
    <t>Innovative Building Partners</t>
  </si>
  <si>
    <t>CED Building Espansion</t>
  </si>
  <si>
    <t>trackout grates</t>
  </si>
  <si>
    <t>38530 N 101st St</t>
  </si>
  <si>
    <t>Earnhardt Cadillac- Gilbert Rd</t>
  </si>
  <si>
    <t>8230 N Mockingbird Ln</t>
  </si>
  <si>
    <t>300 N Central</t>
  </si>
  <si>
    <t>1-Water meter, 2-backflow, 1-water donkey</t>
  </si>
  <si>
    <t>Whataburger Gilbert</t>
  </si>
  <si>
    <t>Sunland Asphalt</t>
  </si>
  <si>
    <t>21940 N 75th Ave</t>
  </si>
  <si>
    <t>Residences Summerwell / Peoria Place Lot 4 Laydown yard</t>
  </si>
  <si>
    <t>Frontline Construction</t>
  </si>
  <si>
    <t>1730 W Ranch Rd</t>
  </si>
  <si>
    <t>water crossing</t>
  </si>
  <si>
    <t>MDC Equipment Laydown</t>
  </si>
  <si>
    <t>JDA Commerce</t>
  </si>
  <si>
    <t>Water Donkey still onsite</t>
  </si>
  <si>
    <t>5/3/2022, 2nd set on 5-19-22, set 3 and 4 on 6-10-22, 4 more sets 11-7-22</t>
  </si>
  <si>
    <t>Removed Grates 1/18/2024</t>
  </si>
  <si>
    <t>Norwood Furniture</t>
  </si>
  <si>
    <t>City Vet Queen Creek</t>
  </si>
  <si>
    <t>DPR</t>
  </si>
  <si>
    <t>ASU Bridge</t>
  </si>
  <si>
    <t>Agua Fria HS #6</t>
  </si>
  <si>
    <t>Osborn Pointe</t>
  </si>
  <si>
    <t>Preston Residence</t>
  </si>
  <si>
    <t>MWU SHPHV1</t>
  </si>
  <si>
    <t>Reliance Commercial Construction</t>
  </si>
  <si>
    <t xml:space="preserve">Jars Metro </t>
  </si>
  <si>
    <t>Structr Group</t>
  </si>
  <si>
    <t>11612 N 86th St</t>
  </si>
  <si>
    <t>601 N Central</t>
  </si>
  <si>
    <t xml:space="preserve">water set up, Water meter x3 , backflow x3 </t>
  </si>
  <si>
    <t>12/6/2022, backflow 3-1-23</t>
  </si>
  <si>
    <t>1 set grates removed 3-13-25, 2nd set of grates 4-3-25</t>
  </si>
  <si>
    <t>6762 E Shea Blvd</t>
  </si>
  <si>
    <t>8251 W Glendale Ave</t>
  </si>
  <si>
    <t>Great Hearts Cicero</t>
  </si>
  <si>
    <t>Roers</t>
  </si>
  <si>
    <t>Calypso</t>
  </si>
  <si>
    <t>Jomax Builders</t>
  </si>
  <si>
    <t>Oreganos Mesa</t>
  </si>
  <si>
    <t>Water ramp set up</t>
  </si>
  <si>
    <t>Album Surprise</t>
  </si>
  <si>
    <t>San Tan Valley, Gary Rd</t>
  </si>
  <si>
    <t>went missing from site, only charged a removal fee since its been onsite for 2  years per Tim's rule</t>
  </si>
  <si>
    <t>15615 S Desert Foothills</t>
  </si>
  <si>
    <t>Modera Reserve</t>
  </si>
  <si>
    <t>backflow/water donkey, hose, trackout grates x 1</t>
  </si>
  <si>
    <t>4-19-23, and 8-16-23, Installed another set of grates on 2-14-25 and 4-29-25</t>
  </si>
  <si>
    <t>10-4-24 1 set of grates, 4-10-25 1 set of grates, 5-16-25 1 set of grates, 7-10-25 last set</t>
  </si>
  <si>
    <t>Sam's</t>
  </si>
  <si>
    <t>7k Reach Fork</t>
  </si>
  <si>
    <t>6302 E Calle Del Norte</t>
  </si>
  <si>
    <t>Formation 10</t>
  </si>
  <si>
    <t>City of Chandler Recycle Area</t>
  </si>
  <si>
    <t>Maxway Trucking</t>
  </si>
  <si>
    <t>Desert Ridge Marketplace</t>
  </si>
  <si>
    <t xml:space="preserve">3843 N 50th St. </t>
  </si>
  <si>
    <t>19832 N 17th Drive Phx</t>
  </si>
  <si>
    <t>Verve Tempe</t>
  </si>
  <si>
    <t>Santa Rosa- Maricopa</t>
  </si>
  <si>
    <t>went missing, charged them for the panels</t>
  </si>
  <si>
    <t>AFCU Mesa Baseline</t>
  </si>
  <si>
    <t>not billable, was a favor Tim did.</t>
  </si>
  <si>
    <t>Porter Acme- Was 180 Degree and Dwill</t>
  </si>
  <si>
    <t>The Haver</t>
  </si>
  <si>
    <t>Gato's Demo</t>
  </si>
  <si>
    <t>Chick Fil A Tucson</t>
  </si>
  <si>
    <t>Burton Barr Library</t>
  </si>
  <si>
    <t>2222 S 91st Ave</t>
  </si>
  <si>
    <t>Went missing charged for replacement backfow</t>
  </si>
  <si>
    <t>Yard Pickup</t>
  </si>
  <si>
    <t>Aviera Flats</t>
  </si>
  <si>
    <t xml:space="preserve">Trinsic </t>
  </si>
  <si>
    <t>Aura Uptown</t>
  </si>
  <si>
    <t>1 removed on 7-23-24</t>
  </si>
  <si>
    <t>QCUSD- Eastmark HS</t>
  </si>
  <si>
    <t>Greenlight Construction</t>
  </si>
  <si>
    <t>Cabana Kyrene</t>
  </si>
  <si>
    <t>Aldi- Casa Grande</t>
  </si>
  <si>
    <t>COC JOC Outside Plant Fiber</t>
  </si>
  <si>
    <t>Final 7/25/2025</t>
  </si>
  <si>
    <t>Velox Air</t>
  </si>
  <si>
    <t>23021 E Bonanza Ct. Queen Creek</t>
  </si>
  <si>
    <t>Dickens Demo</t>
  </si>
  <si>
    <t>Discovery Bldg 105</t>
  </si>
  <si>
    <t>Brycon Corporation</t>
  </si>
  <si>
    <t>7300 E Hampton Ave</t>
  </si>
  <si>
    <t>Royster Equipment</t>
  </si>
  <si>
    <t>Chandler Heights Self Storage</t>
  </si>
  <si>
    <t>WEst MEC Carrier Academy</t>
  </si>
  <si>
    <t>Camelback Building Group</t>
  </si>
  <si>
    <t>Sunday Goods Surprise</t>
  </si>
  <si>
    <t>Temp fence/meter/backflow</t>
  </si>
  <si>
    <t>fence removed 8-12-25, 9-17-25</t>
  </si>
  <si>
    <t>AFCU Queen Creek</t>
  </si>
  <si>
    <t>Sara's Micro</t>
  </si>
  <si>
    <t>Prime Data Center- Tolleson</t>
  </si>
  <si>
    <t>Chapman Camelback BMW</t>
  </si>
  <si>
    <t>Meter/Backflow</t>
  </si>
  <si>
    <t>temp fence removed 9-8-25, backflow removal 9-22-25</t>
  </si>
  <si>
    <t>Primak formerly Agate</t>
  </si>
  <si>
    <t>Royster</t>
  </si>
  <si>
    <t>8740 E Frank Lloyd Wright</t>
  </si>
  <si>
    <t>Nitti Dac</t>
  </si>
  <si>
    <t>101st and Van Buren</t>
  </si>
  <si>
    <t>10-7-25- but requested pick up 9-29-25</t>
  </si>
  <si>
    <t>7-Eleven #47385- Val Vista</t>
  </si>
  <si>
    <t xml:space="preserve">Temp Fence/water donkey &amp; hose </t>
  </si>
  <si>
    <t>Suncrest Vista at Canyon Trails</t>
  </si>
  <si>
    <t>3 sets removed on 10-16-24, fence removed 9-8-25</t>
  </si>
  <si>
    <t xml:space="preserve">Reliance </t>
  </si>
  <si>
    <t>Jars Metro PH.3</t>
  </si>
  <si>
    <t>Nexus- Elliot &amp; HArdy</t>
  </si>
  <si>
    <t>BCC</t>
  </si>
  <si>
    <t>1202 N 57th Ave</t>
  </si>
  <si>
    <t xml:space="preserve">Water donkey </t>
  </si>
  <si>
    <t>Removed 10/13/2025</t>
  </si>
  <si>
    <t>Eastlake Pool Renovation</t>
  </si>
  <si>
    <t>water set ups</t>
  </si>
  <si>
    <t>Hat Trick- used to be Belmont Homes</t>
  </si>
  <si>
    <t>8350 E Autoplane Rd</t>
  </si>
  <si>
    <t>Haydon Building Corp</t>
  </si>
  <si>
    <t>Anthem Pickleball Expansion</t>
  </si>
  <si>
    <t>5039 N 38th Place</t>
  </si>
  <si>
    <t>Banner – BDMC ED Expansion</t>
  </si>
  <si>
    <t>West 202 Logistics</t>
  </si>
  <si>
    <t>Stanford Residence</t>
  </si>
  <si>
    <t>Hawaiian Bros #93</t>
  </si>
  <si>
    <t>Ryan Companies</t>
  </si>
  <si>
    <t>Project North</t>
  </si>
  <si>
    <t>10-3-25, 11-10-25</t>
  </si>
  <si>
    <t>Blue Polymers</t>
  </si>
  <si>
    <t>Harris Assocciates</t>
  </si>
  <si>
    <t>455 N 3rd St. Phoenix</t>
  </si>
  <si>
    <t>Project Nemo- Trader Joes</t>
  </si>
  <si>
    <t>Grates removed 10-9-23, fence removed 11-19-25</t>
  </si>
  <si>
    <t>SRP Falcon Field</t>
  </si>
  <si>
    <t>Norterra Dual Brand Hotel</t>
  </si>
  <si>
    <t>7-Eleven #47391- Gilbert</t>
  </si>
  <si>
    <t>Venture Construction</t>
  </si>
  <si>
    <t>Chili's #1689</t>
  </si>
  <si>
    <t>Temp  Fence</t>
  </si>
  <si>
    <t>SWPPP Number</t>
  </si>
  <si>
    <t>Contractor</t>
  </si>
  <si>
    <t>Job</t>
  </si>
  <si>
    <t>SW21-01</t>
  </si>
  <si>
    <t>Naveara Worldwide</t>
  </si>
  <si>
    <t>SW21-02</t>
  </si>
  <si>
    <t>SW21-03</t>
  </si>
  <si>
    <t>Mountainside Fitness- Cadence PKWY</t>
  </si>
  <si>
    <t>SW21-04</t>
  </si>
  <si>
    <t>Sonoran Quest</t>
  </si>
  <si>
    <t>Core Institute</t>
  </si>
  <si>
    <t>SW21-05</t>
  </si>
  <si>
    <t>Alston</t>
  </si>
  <si>
    <t>TF21-06</t>
  </si>
  <si>
    <t>SW21-07</t>
  </si>
  <si>
    <t>Mesa High School</t>
  </si>
  <si>
    <t>SW21-08</t>
  </si>
  <si>
    <t>Golden Leaf Facility</t>
  </si>
  <si>
    <t>SW21-09</t>
  </si>
  <si>
    <t xml:space="preserve">Renaissance </t>
  </si>
  <si>
    <t>Elwood Street Improvements</t>
  </si>
  <si>
    <t>SW21-10</t>
  </si>
  <si>
    <t>Alexander Builders</t>
  </si>
  <si>
    <t>Marley Park Ph.2</t>
  </si>
  <si>
    <t>SW21-11</t>
  </si>
  <si>
    <t>Guardian Self Storage</t>
  </si>
  <si>
    <t>SW21-12</t>
  </si>
  <si>
    <t>Jeff Clark Homes</t>
  </si>
  <si>
    <t>Lot 17 Grosse Pointe</t>
  </si>
  <si>
    <t>SW21-13</t>
  </si>
  <si>
    <t>AZA9- Project Slider</t>
  </si>
  <si>
    <t>SW21-14</t>
  </si>
  <si>
    <t>McCarthy</t>
  </si>
  <si>
    <t>Banner Gateway Medical Center</t>
  </si>
  <si>
    <t>SW21-15</t>
  </si>
  <si>
    <t>Album Cooley- Greystar Job</t>
  </si>
  <si>
    <t>SW21-16</t>
  </si>
  <si>
    <t>Century Complete WJH</t>
  </si>
  <si>
    <t>Picacho Heights</t>
  </si>
  <si>
    <t>SW21-17</t>
  </si>
  <si>
    <t xml:space="preserve">KDC </t>
  </si>
  <si>
    <t>Chipotle $3843</t>
  </si>
  <si>
    <t>SW21-18</t>
  </si>
  <si>
    <t>Chasse Building</t>
  </si>
  <si>
    <t>GH Trivium</t>
  </si>
  <si>
    <t>SW21-19</t>
  </si>
  <si>
    <t xml:space="preserve">Wickenburg </t>
  </si>
  <si>
    <t>SW21-20</t>
  </si>
  <si>
    <t>Goodyear Civic Square</t>
  </si>
  <si>
    <t>TF21-21</t>
  </si>
  <si>
    <t>Scottsdale bible church</t>
  </si>
  <si>
    <t>SW21-22</t>
  </si>
  <si>
    <t>Sparrow Partners</t>
  </si>
  <si>
    <t>Mera Mesa</t>
  </si>
  <si>
    <t>SW21-23</t>
  </si>
  <si>
    <t>PWI SLR LLC</t>
  </si>
  <si>
    <t>Ritz Carlton</t>
  </si>
  <si>
    <t>SW21-24</t>
  </si>
  <si>
    <t>5419 E Pinchot Ave</t>
  </si>
  <si>
    <t>SW21-25</t>
  </si>
  <si>
    <t>Starbucks- 2350 E Deer Valley</t>
  </si>
  <si>
    <t>SW21-26</t>
  </si>
  <si>
    <t>DPR Construction</t>
  </si>
  <si>
    <t>Mayo Hardscape Replacement</t>
  </si>
  <si>
    <t>SW21-27</t>
  </si>
  <si>
    <t>303 Commerce Glendale</t>
  </si>
  <si>
    <t>SW21-28</t>
  </si>
  <si>
    <t>MTV General</t>
  </si>
  <si>
    <t>QT #1410</t>
  </si>
  <si>
    <t>SW21-29</t>
  </si>
  <si>
    <t>PMD Development</t>
  </si>
  <si>
    <t>Valvoline- Baseline, Mesa</t>
  </si>
  <si>
    <t>SW21-30</t>
  </si>
  <si>
    <t>Costa Verde Homes</t>
  </si>
  <si>
    <t>Mountain View Ranch</t>
  </si>
  <si>
    <t>TF21-31</t>
  </si>
  <si>
    <t>Album Cooley</t>
  </si>
  <si>
    <t>SW21-32</t>
  </si>
  <si>
    <t>Banner- Tower Vertical Expansion</t>
  </si>
  <si>
    <t>SW21-33</t>
  </si>
  <si>
    <t>SW21-34</t>
  </si>
  <si>
    <t>City of Eloy- Public Safety Facility</t>
  </si>
  <si>
    <t>SW21-35</t>
  </si>
  <si>
    <t>L Keeley</t>
  </si>
  <si>
    <t>Goodyear Airport 85</t>
  </si>
  <si>
    <t>SW21-36</t>
  </si>
  <si>
    <t>Okland Construction</t>
  </si>
  <si>
    <t>Lillibridge</t>
  </si>
  <si>
    <t>SW21-37</t>
  </si>
  <si>
    <t>Evolution Construction</t>
  </si>
  <si>
    <t>29714 N 63rd St</t>
  </si>
  <si>
    <t>SW21-38</t>
  </si>
  <si>
    <t>Airgate 1</t>
  </si>
  <si>
    <t>SW21-39</t>
  </si>
  <si>
    <t>Ganem Construction</t>
  </si>
  <si>
    <t>ITC Warehouse</t>
  </si>
  <si>
    <t>SW21-40</t>
  </si>
  <si>
    <t>Nunns</t>
  </si>
  <si>
    <t>Zen on Baseline</t>
  </si>
  <si>
    <t>SW21-41</t>
  </si>
  <si>
    <t>Legacy Sports &amp; Entertainment</t>
  </si>
  <si>
    <t>SW21-42</t>
  </si>
  <si>
    <t>Farmer Townhomes</t>
  </si>
  <si>
    <t>SW21-43</t>
  </si>
  <si>
    <t>SW21-44</t>
  </si>
  <si>
    <t>SW21-45</t>
  </si>
  <si>
    <t>APS Hubwest</t>
  </si>
  <si>
    <t>SW21-46</t>
  </si>
  <si>
    <t>WE O'neil</t>
  </si>
  <si>
    <t>Eddy Hotel</t>
  </si>
  <si>
    <t>SW21-47</t>
  </si>
  <si>
    <t>Vistas at Palm Valley</t>
  </si>
  <si>
    <t>SW21-48</t>
  </si>
  <si>
    <t>Carmax #6170</t>
  </si>
  <si>
    <t>TF21-49</t>
  </si>
  <si>
    <t>SW21-50</t>
  </si>
  <si>
    <t>Popeye's Mesa #626</t>
  </si>
  <si>
    <t>SW21-51</t>
  </si>
  <si>
    <t>SW21-52</t>
  </si>
  <si>
    <t>Nextgen Construction</t>
  </si>
  <si>
    <t>Retreat at Tuscano</t>
  </si>
  <si>
    <t>SW21-53</t>
  </si>
  <si>
    <t>Evans Churchill Substation</t>
  </si>
  <si>
    <t>SW21-54</t>
  </si>
  <si>
    <t>SW21-55</t>
  </si>
  <si>
    <t>Diamond Heights</t>
  </si>
  <si>
    <t>SW21-56</t>
  </si>
  <si>
    <t>Weitz Construction</t>
  </si>
  <si>
    <t>Friends of Horse Lovers Park</t>
  </si>
  <si>
    <t>SW21-57</t>
  </si>
  <si>
    <t>City of Avondale Fire Station #175</t>
  </si>
  <si>
    <t>SW21-58</t>
  </si>
  <si>
    <t>SRP Project- 998 W Washington</t>
  </si>
  <si>
    <t>SW21-59</t>
  </si>
  <si>
    <t>Habit Burger- 8905 S Harl Ave</t>
  </si>
  <si>
    <t>SW21-60</t>
  </si>
  <si>
    <t>Sharp Construction</t>
  </si>
  <si>
    <t>Starbucks- Goodyear</t>
  </si>
  <si>
    <t>SW21-61</t>
  </si>
  <si>
    <t>X-Wall</t>
  </si>
  <si>
    <t>5322 N 27th Ave</t>
  </si>
  <si>
    <t>SW21-62</t>
  </si>
  <si>
    <t>Dollar General- 15470 S Sunland Gin</t>
  </si>
  <si>
    <t>SW21-63</t>
  </si>
  <si>
    <t>Arizona City</t>
  </si>
  <si>
    <t>SW21-64</t>
  </si>
  <si>
    <t>MST Construction</t>
  </si>
  <si>
    <t>Harmony at North 25th</t>
  </si>
  <si>
    <t>TF21-65</t>
  </si>
  <si>
    <t>Ritz Carlton- Commercial</t>
  </si>
  <si>
    <t>SW21-66</t>
  </si>
  <si>
    <t>Isola at Greer Ranch</t>
  </si>
  <si>
    <t>SW21-67</t>
  </si>
  <si>
    <t>SW21-68</t>
  </si>
  <si>
    <t>Catamount Constructors</t>
  </si>
  <si>
    <t>HomeGoods Parking Expansion</t>
  </si>
  <si>
    <t>SW21-69</t>
  </si>
  <si>
    <t>Hangar at Thunderbird</t>
  </si>
  <si>
    <t>SW21-70</t>
  </si>
  <si>
    <t>Sandstorm</t>
  </si>
  <si>
    <t>ALA West Foothills Campus</t>
  </si>
  <si>
    <t>TF21-71</t>
  </si>
  <si>
    <t>SW21-72</t>
  </si>
  <si>
    <t>Synergy Ph.2 Expansion</t>
  </si>
  <si>
    <t>SW21-73</t>
  </si>
  <si>
    <t>EOS</t>
  </si>
  <si>
    <t>Glen 91</t>
  </si>
  <si>
    <t>SW21-74</t>
  </si>
  <si>
    <t>Omada</t>
  </si>
  <si>
    <t>SSB Loading Dock</t>
  </si>
  <si>
    <t>SW21-75</t>
  </si>
  <si>
    <t>Industrial Metal Supply Demo</t>
  </si>
  <si>
    <t>SW21-76</t>
  </si>
  <si>
    <t>Haydon Farms</t>
  </si>
  <si>
    <t>SW21-77</t>
  </si>
  <si>
    <t>SW21-78</t>
  </si>
  <si>
    <t>Primus</t>
  </si>
  <si>
    <t>Cold Summit</t>
  </si>
  <si>
    <t>TF21-79</t>
  </si>
  <si>
    <t>SW21-80</t>
  </si>
  <si>
    <t>Dakis</t>
  </si>
  <si>
    <t>South Higley Self Storage</t>
  </si>
  <si>
    <t>SW21-81</t>
  </si>
  <si>
    <t>Cabana Bullard</t>
  </si>
  <si>
    <t>SW21-82</t>
  </si>
  <si>
    <t>VLMK</t>
  </si>
  <si>
    <t>Tucson Airport</t>
  </si>
  <si>
    <t>SW21-83</t>
  </si>
  <si>
    <t>West Coast Construction</t>
  </si>
  <si>
    <t>McDonalds- S 35th Ave.</t>
  </si>
  <si>
    <t>SW21-84</t>
  </si>
  <si>
    <t>Avondale Fire Station #175</t>
  </si>
  <si>
    <t>SW21-85</t>
  </si>
  <si>
    <t>Arizona City- SSL</t>
  </si>
  <si>
    <t>SW21-86</t>
  </si>
  <si>
    <t>Riggs Companies</t>
  </si>
  <si>
    <t>950 E Lone Cactus</t>
  </si>
  <si>
    <t>SW21-87</t>
  </si>
  <si>
    <t>Roosevelt St.Duplex</t>
  </si>
  <si>
    <t>SW21-88</t>
  </si>
  <si>
    <t>Vasa Fitness</t>
  </si>
  <si>
    <t>SW21-89</t>
  </si>
  <si>
    <t>Marino Lombardi</t>
  </si>
  <si>
    <t>827 N Mary St.</t>
  </si>
  <si>
    <t>SW21-90</t>
  </si>
  <si>
    <t>Cubes at Glendale</t>
  </si>
  <si>
    <t>SW21-91</t>
  </si>
  <si>
    <t xml:space="preserve">10256 E Elliot </t>
  </si>
  <si>
    <t>SW21-92</t>
  </si>
  <si>
    <t>Embrey</t>
  </si>
  <si>
    <t>Kierland SDL</t>
  </si>
  <si>
    <t>SW21-93</t>
  </si>
  <si>
    <t>CoT Fire Station #9</t>
  </si>
  <si>
    <t>SW21-94</t>
  </si>
  <si>
    <t>Thunder Road Motorcycles</t>
  </si>
  <si>
    <t>5101 N Scottsdale</t>
  </si>
  <si>
    <t>SW21-95</t>
  </si>
  <si>
    <t>MDH - PV303</t>
  </si>
  <si>
    <t>TF21-96</t>
  </si>
  <si>
    <t>Inspira at Mesa Gateway</t>
  </si>
  <si>
    <t>SW21-97</t>
  </si>
  <si>
    <t>Silver King- Ross Aviation</t>
  </si>
  <si>
    <t>SW21-98</t>
  </si>
  <si>
    <t>MIT Riverside</t>
  </si>
  <si>
    <t>SW21-99</t>
  </si>
  <si>
    <t>4027 E Rancho Dr.</t>
  </si>
  <si>
    <t>SW21-100</t>
  </si>
  <si>
    <t>The Meadows Acute Center</t>
  </si>
  <si>
    <t>SW21-101</t>
  </si>
  <si>
    <t>JB Henderson</t>
  </si>
  <si>
    <t>SW21-102</t>
  </si>
  <si>
    <t xml:space="preserve">DK Painting </t>
  </si>
  <si>
    <t>SW21-103</t>
  </si>
  <si>
    <t>SW21-104</t>
  </si>
  <si>
    <t>Hillcrest</t>
  </si>
  <si>
    <t>SW21-105</t>
  </si>
  <si>
    <t>SW21-106</t>
  </si>
  <si>
    <t>Great Hearts Scottsdale</t>
  </si>
  <si>
    <t>SW21-107</t>
  </si>
  <si>
    <t>Vista Ridge Apartments</t>
  </si>
  <si>
    <t>SW21-108</t>
  </si>
  <si>
    <t>Honeywell AZOY</t>
  </si>
  <si>
    <t>SW21-109</t>
  </si>
  <si>
    <t>SW21-110</t>
  </si>
  <si>
    <t>SWB Paving</t>
  </si>
  <si>
    <t>Camelback Road Reconstruction</t>
  </si>
  <si>
    <t>SW21-111</t>
  </si>
  <si>
    <t>Concord General Contracting, Inc.</t>
  </si>
  <si>
    <t>Coatimundi</t>
  </si>
  <si>
    <t>SW21-112</t>
  </si>
  <si>
    <t>Maricopa HS #2</t>
  </si>
  <si>
    <t>SW21-113</t>
  </si>
  <si>
    <t>Mountain View HS Addition</t>
  </si>
  <si>
    <t>SW21-114</t>
  </si>
  <si>
    <t>J.Walters</t>
  </si>
  <si>
    <t>Quick Quack #9-041</t>
  </si>
  <si>
    <t>SW21-115</t>
  </si>
  <si>
    <t>S&amp;S</t>
  </si>
  <si>
    <t>Bungalow at Glendale</t>
  </si>
  <si>
    <t>SW21-116</t>
  </si>
  <si>
    <t>Integrity Builders</t>
  </si>
  <si>
    <t>2 Rivers Church Project</t>
  </si>
  <si>
    <t>SW21-117</t>
  </si>
  <si>
    <t>Bellmont Homes</t>
  </si>
  <si>
    <t>6024 N 42nd St</t>
  </si>
  <si>
    <t>SW21-118</t>
  </si>
  <si>
    <t>Pass Mountian</t>
  </si>
  <si>
    <t>SW21-119</t>
  </si>
  <si>
    <t xml:space="preserve">RH Dupper </t>
  </si>
  <si>
    <t>SW21-120</t>
  </si>
  <si>
    <t>McGrath Construction</t>
  </si>
  <si>
    <t>Odyssey Prep Academy</t>
  </si>
  <si>
    <t>SW21-121</t>
  </si>
  <si>
    <t>Legacy at Homestead</t>
  </si>
  <si>
    <t>SW21-122</t>
  </si>
  <si>
    <t>BIP Infrastructure</t>
  </si>
  <si>
    <t>SW21-123</t>
  </si>
  <si>
    <t>James Square Development</t>
  </si>
  <si>
    <t>Falcon Storage Condos</t>
  </si>
  <si>
    <t>SW21-124</t>
  </si>
  <si>
    <t>ASU Nelson Fine Arts PH 4A</t>
  </si>
  <si>
    <t>SW21-125</t>
  </si>
  <si>
    <t>Mayo East Regional Channel</t>
  </si>
  <si>
    <t>SW21-126</t>
  </si>
  <si>
    <t xml:space="preserve">Ryan </t>
  </si>
  <si>
    <t>Acoya Shea Senior Living</t>
  </si>
  <si>
    <t>SW21-127</t>
  </si>
  <si>
    <t>Wespac Construction</t>
  </si>
  <si>
    <t>Tolleson 107 Logistics</t>
  </si>
  <si>
    <t>SW21-128</t>
  </si>
  <si>
    <t>TLW Construction</t>
  </si>
  <si>
    <t>Deer Valley park Self Storage</t>
  </si>
  <si>
    <t>SW21-129</t>
  </si>
  <si>
    <t>SW21-130</t>
  </si>
  <si>
    <t>BDMC New Tower Expansion</t>
  </si>
  <si>
    <t>SW21-131</t>
  </si>
  <si>
    <t>ASU- Nelson Fine Arts Ph 4B</t>
  </si>
  <si>
    <t>SW21-132</t>
  </si>
  <si>
    <t>Raintree Storage</t>
  </si>
  <si>
    <t>SW21-133</t>
  </si>
  <si>
    <t>SW21-134</t>
  </si>
  <si>
    <t>4625 S 33rd Place</t>
  </si>
  <si>
    <t>SW21-135</t>
  </si>
  <si>
    <t>Preach, Inc.</t>
  </si>
  <si>
    <t>29 Palms Storage</t>
  </si>
  <si>
    <t>SW21-136</t>
  </si>
  <si>
    <t>Cotton Lane Distribution Center</t>
  </si>
  <si>
    <t>SW21-137</t>
  </si>
  <si>
    <t>AMG Associates</t>
  </si>
  <si>
    <t>FT Huachuca</t>
  </si>
  <si>
    <t>SW21-138</t>
  </si>
  <si>
    <t>The Haskell Company</t>
  </si>
  <si>
    <t>ALA Applied Technology</t>
  </si>
  <si>
    <t>SW21-139</t>
  </si>
  <si>
    <t xml:space="preserve">IDM </t>
  </si>
  <si>
    <t>Acero Queen Creek</t>
  </si>
  <si>
    <t>SW21-140</t>
  </si>
  <si>
    <t>Aldi # 163 Mesa</t>
  </si>
  <si>
    <t>SW21-141</t>
  </si>
  <si>
    <t>Deerfield Construction</t>
  </si>
  <si>
    <t>Aldi # 153</t>
  </si>
  <si>
    <t>SW21-142</t>
  </si>
  <si>
    <t>Aldi # 152</t>
  </si>
  <si>
    <t>SW21-143</t>
  </si>
  <si>
    <t>Casa Vista, Casa Grande</t>
  </si>
  <si>
    <t>TF21-144</t>
  </si>
  <si>
    <t>Katerra</t>
  </si>
  <si>
    <t>Sky on 6th</t>
  </si>
  <si>
    <t>SW21-145</t>
  </si>
  <si>
    <t>Joplin Lane</t>
  </si>
  <si>
    <t>SW21-146</t>
  </si>
  <si>
    <t>PHX11 Data Center</t>
  </si>
  <si>
    <t>SW21-147</t>
  </si>
  <si>
    <t>Mueller Project</t>
  </si>
  <si>
    <t>SW21-148</t>
  </si>
  <si>
    <t>SW21-149</t>
  </si>
  <si>
    <t>SW21-150</t>
  </si>
  <si>
    <t>Morristown</t>
  </si>
  <si>
    <t>SW21-151</t>
  </si>
  <si>
    <t>SW21-152</t>
  </si>
  <si>
    <t>Iron Mountain Data Center</t>
  </si>
  <si>
    <t>TF21-153</t>
  </si>
  <si>
    <t>Aldi #152</t>
  </si>
  <si>
    <t>SW21-154</t>
  </si>
  <si>
    <t>PHX71</t>
  </si>
  <si>
    <t>SW21-155</t>
  </si>
  <si>
    <t>Smith &amp; Rio Apartments</t>
  </si>
  <si>
    <t>SW21-156</t>
  </si>
  <si>
    <t>ASU HFC</t>
  </si>
  <si>
    <t>SW21-157</t>
  </si>
  <si>
    <t>Mesa Industrial</t>
  </si>
  <si>
    <t>SW21-158</t>
  </si>
  <si>
    <t>AZ Wild Horse &amp; Burro Collaborative</t>
  </si>
  <si>
    <t>SW21-159</t>
  </si>
  <si>
    <t>TWG Construction</t>
  </si>
  <si>
    <t>Sunland Flats</t>
  </si>
  <si>
    <t>SW21-160</t>
  </si>
  <si>
    <t>SW21-161</t>
  </si>
  <si>
    <t>LGE Design Build</t>
  </si>
  <si>
    <t>Mercy Gilbert Offsites</t>
  </si>
  <si>
    <t>SW21-162</t>
  </si>
  <si>
    <t>Bungalows at Sarival</t>
  </si>
  <si>
    <t>SW21-163</t>
  </si>
  <si>
    <t>Bjerk Builders</t>
  </si>
  <si>
    <t>ATP Parking Lot Expansion</t>
  </si>
  <si>
    <t>TF21-164</t>
  </si>
  <si>
    <t>SW21-165</t>
  </si>
  <si>
    <t>Vault Storage &amp; RV</t>
  </si>
  <si>
    <t>SW21-166</t>
  </si>
  <si>
    <t>SW21-167</t>
  </si>
  <si>
    <t>SW21-168</t>
  </si>
  <si>
    <t>Mesa Arts District Lofts</t>
  </si>
  <si>
    <t>SW21-169</t>
  </si>
  <si>
    <t>Verizon Wireless</t>
  </si>
  <si>
    <t>SW21-170</t>
  </si>
  <si>
    <t>Southeast Justice Court</t>
  </si>
  <si>
    <t>SW21-171</t>
  </si>
  <si>
    <t>Extra Space Storage- Gold Canyon</t>
  </si>
  <si>
    <t>SW21-172</t>
  </si>
  <si>
    <t>Eastmark Phase 4</t>
  </si>
  <si>
    <t>SW21-173</t>
  </si>
  <si>
    <t>Coolidge Aquatics &amp; Roadway</t>
  </si>
  <si>
    <t>SW21-174</t>
  </si>
  <si>
    <t>Comarch</t>
  </si>
  <si>
    <t>SW21-175</t>
  </si>
  <si>
    <t>4725 E Dynamite Rd</t>
  </si>
  <si>
    <t>SW21-176</t>
  </si>
  <si>
    <t>Elevation at The village san tan</t>
  </si>
  <si>
    <t>SW21-177</t>
  </si>
  <si>
    <t>Prologis</t>
  </si>
  <si>
    <t>SW21-178</t>
  </si>
  <si>
    <t>SW21-179</t>
  </si>
  <si>
    <t>Alta Bluewater</t>
  </si>
  <si>
    <t>SW21-180</t>
  </si>
  <si>
    <t>City Center PH.2</t>
  </si>
  <si>
    <t>SW21-181</t>
  </si>
  <si>
    <t>Hamblin, David</t>
  </si>
  <si>
    <t>SW21-182</t>
  </si>
  <si>
    <t>TF21-183</t>
  </si>
  <si>
    <t>Shea Homes</t>
  </si>
  <si>
    <t>SW21-184</t>
  </si>
  <si>
    <t>3115 S Val Vista, Gilbert</t>
  </si>
  <si>
    <t>SW21-185</t>
  </si>
  <si>
    <t>QCUSD High School #3</t>
  </si>
  <si>
    <t>SW21-186</t>
  </si>
  <si>
    <t>Papago Self Storage</t>
  </si>
  <si>
    <t>SW21-187</t>
  </si>
  <si>
    <t>Toy Barn North II</t>
  </si>
  <si>
    <t>SW21-188</t>
  </si>
  <si>
    <t>Chauncey Pad</t>
  </si>
  <si>
    <t>SW21-189</t>
  </si>
  <si>
    <t>NTT PH1</t>
  </si>
  <si>
    <t>SW21-190</t>
  </si>
  <si>
    <t>All Saints Episcopal Day School</t>
  </si>
  <si>
    <t>SW21-191</t>
  </si>
  <si>
    <t>Four Leaf Construction</t>
  </si>
  <si>
    <t>Westpark Parcel 18</t>
  </si>
  <si>
    <t>SW21-192</t>
  </si>
  <si>
    <t>SW21-193</t>
  </si>
  <si>
    <t>Nuestro Park</t>
  </si>
  <si>
    <t>SW21-194</t>
  </si>
  <si>
    <t>Oak St. Bike Improvements</t>
  </si>
  <si>
    <t>SW21-195</t>
  </si>
  <si>
    <t>SW21-196</t>
  </si>
  <si>
    <t>VIP Products</t>
  </si>
  <si>
    <t>SW21-197</t>
  </si>
  <si>
    <t>Pro Steel</t>
  </si>
  <si>
    <t>Just Foam- 1842 W Latham St.</t>
  </si>
  <si>
    <t>SW21-198</t>
  </si>
  <si>
    <t>Gilbert Spectrum Bldg 9-10-11</t>
  </si>
  <si>
    <t>SW21-199</t>
  </si>
  <si>
    <t>ASU Bateman</t>
  </si>
  <si>
    <t>SW21-200</t>
  </si>
  <si>
    <t>SW21-201</t>
  </si>
  <si>
    <t>ALA Florence High School</t>
  </si>
  <si>
    <t>SW21-202</t>
  </si>
  <si>
    <t>SW21-203</t>
  </si>
  <si>
    <t>Album Marana</t>
  </si>
  <si>
    <t>SW21-204</t>
  </si>
  <si>
    <t>SW21-205</t>
  </si>
  <si>
    <t>F Roberts</t>
  </si>
  <si>
    <t xml:space="preserve">Ritz </t>
  </si>
  <si>
    <t>TF21-206</t>
  </si>
  <si>
    <t>SW21-207</t>
  </si>
  <si>
    <t>SW21-208</t>
  </si>
  <si>
    <t>9212 N 66th Place</t>
  </si>
  <si>
    <t>SW21-209</t>
  </si>
  <si>
    <t>Cubes at Glendale Bldg D</t>
  </si>
  <si>
    <t>SW21-210</t>
  </si>
  <si>
    <t>Popeyes #639</t>
  </si>
  <si>
    <t>SW21-211</t>
  </si>
  <si>
    <t>Venn</t>
  </si>
  <si>
    <t>Redhawk Garage</t>
  </si>
  <si>
    <t>SW21-212</t>
  </si>
  <si>
    <t>Tolleson Union High School</t>
  </si>
  <si>
    <t>SW21-213</t>
  </si>
  <si>
    <t>Queen Creek Commerce</t>
  </si>
  <si>
    <t>SW21-214</t>
  </si>
  <si>
    <t>Friendship Village of Tempe</t>
  </si>
  <si>
    <t>SW21-215</t>
  </si>
  <si>
    <t>3rd St Promenade Garfield</t>
  </si>
  <si>
    <t>SW21-216</t>
  </si>
  <si>
    <t>Desert Vista Concrete</t>
  </si>
  <si>
    <t>Hill Residence</t>
  </si>
  <si>
    <t>SW21-217</t>
  </si>
  <si>
    <t>Pecos 10</t>
  </si>
  <si>
    <t>SW21-218</t>
  </si>
  <si>
    <t>City of Tucson Fire Station #8</t>
  </si>
  <si>
    <t>SW21-219</t>
  </si>
  <si>
    <t>Clarion Parking Expansion</t>
  </si>
  <si>
    <t>SW21-220</t>
  </si>
  <si>
    <t>Cornerstone Church Bldg D</t>
  </si>
  <si>
    <t>SW21-221</t>
  </si>
  <si>
    <t>Becknell</t>
  </si>
  <si>
    <t>KEHE</t>
  </si>
  <si>
    <t>TF21-222</t>
  </si>
  <si>
    <t>ALA Applied Technology- Mesa</t>
  </si>
  <si>
    <t>SW21-223</t>
  </si>
  <si>
    <t>TF21-224</t>
  </si>
  <si>
    <t>SW21-225</t>
  </si>
  <si>
    <t>Forte Homes</t>
  </si>
  <si>
    <t>Butler Drive Residence</t>
  </si>
  <si>
    <t>SW21-226</t>
  </si>
  <si>
    <t>BLM Regional Facility</t>
  </si>
  <si>
    <t>TF21-227</t>
  </si>
  <si>
    <t>SW21-228</t>
  </si>
  <si>
    <t>Apodaca Wall Systems</t>
  </si>
  <si>
    <t>SW21-229</t>
  </si>
  <si>
    <t>55 Resort Scottsdale</t>
  </si>
  <si>
    <t>SW21-230</t>
  </si>
  <si>
    <t>Rio Glass</t>
  </si>
  <si>
    <t>SW21-231</t>
  </si>
  <si>
    <t>Builder One</t>
  </si>
  <si>
    <t>The 5th Apartments</t>
  </si>
  <si>
    <t>SW21-232</t>
  </si>
  <si>
    <t>SW21-233</t>
  </si>
  <si>
    <t>City North Residential Lot 5</t>
  </si>
  <si>
    <t>SW21-234</t>
  </si>
  <si>
    <t>Frontera</t>
  </si>
  <si>
    <t>Sumeburros at Hudson Commons</t>
  </si>
  <si>
    <t>SW21-235</t>
  </si>
  <si>
    <t>Dluzan, Scott</t>
  </si>
  <si>
    <t>12195 S 70th St</t>
  </si>
  <si>
    <t>TF21-236</t>
  </si>
  <si>
    <t>SW21-237</t>
  </si>
  <si>
    <t>Silver Bell Distribution Center</t>
  </si>
  <si>
    <t>SW21-238</t>
  </si>
  <si>
    <t>Starbucks Alma School Chandler</t>
  </si>
  <si>
    <t>SW21-239</t>
  </si>
  <si>
    <t>SW21-240</t>
  </si>
  <si>
    <t>SW21-241</t>
  </si>
  <si>
    <t>SW21-242</t>
  </si>
  <si>
    <t>Dunkin Donuts- 6375 S Kyrene Rd</t>
  </si>
  <si>
    <t>SW21-243</t>
  </si>
  <si>
    <t>Bungalows at Combs</t>
  </si>
  <si>
    <t>SW21-244</t>
  </si>
  <si>
    <t>District at Civic Square</t>
  </si>
  <si>
    <t>SW21-245</t>
  </si>
  <si>
    <t>Marley Park PH.3</t>
  </si>
  <si>
    <t>SW21-246</t>
  </si>
  <si>
    <t>SW21-247</t>
  </si>
  <si>
    <t>Carefree RV storage</t>
  </si>
  <si>
    <t>SW21-248</t>
  </si>
  <si>
    <t>SW21-249</t>
  </si>
  <si>
    <t>SMCC Life Science</t>
  </si>
  <si>
    <t>TF21-250</t>
  </si>
  <si>
    <t>SW21-251</t>
  </si>
  <si>
    <t>Dickens Quality</t>
  </si>
  <si>
    <t>1500 N Central Ave</t>
  </si>
  <si>
    <t>SW21-252</t>
  </si>
  <si>
    <t>Heritage Academy Gateway</t>
  </si>
  <si>
    <t>SW21-253</t>
  </si>
  <si>
    <t xml:space="preserve">EMJ </t>
  </si>
  <si>
    <t>TF21-254</t>
  </si>
  <si>
    <t>SW21-255</t>
  </si>
  <si>
    <t>ABC Asphalt</t>
  </si>
  <si>
    <t>We fix auto site</t>
  </si>
  <si>
    <t>SW21-256</t>
  </si>
  <si>
    <t>Deer Valley Elementary 32</t>
  </si>
  <si>
    <t>SW21-257</t>
  </si>
  <si>
    <t>1110 N 52nd St</t>
  </si>
  <si>
    <t>SW21-258</t>
  </si>
  <si>
    <t>59th and Baseline Ph.A</t>
  </si>
  <si>
    <t>SW21-259</t>
  </si>
  <si>
    <t>6120 E Naumann Dr</t>
  </si>
  <si>
    <t>SW21-260</t>
  </si>
  <si>
    <t>Orangewood Ranch II</t>
  </si>
  <si>
    <t>SW21-261</t>
  </si>
  <si>
    <t>SunTec Concrete</t>
  </si>
  <si>
    <t>SunTec Concrete Glendale</t>
  </si>
  <si>
    <t>SW21-262</t>
  </si>
  <si>
    <t>SW21-263</t>
  </si>
  <si>
    <t>7th &amp; Oak</t>
  </si>
  <si>
    <t>SW21-264</t>
  </si>
  <si>
    <t>Harrison St. Park</t>
  </si>
  <si>
    <t>SW21-265</t>
  </si>
  <si>
    <t>Streetlights</t>
  </si>
  <si>
    <t>SW21-266</t>
  </si>
  <si>
    <t>Turner</t>
  </si>
  <si>
    <t>SW21-267</t>
  </si>
  <si>
    <t>SW21-268</t>
  </si>
  <si>
    <t>SW21-269</t>
  </si>
  <si>
    <t>JN Pebler</t>
  </si>
  <si>
    <t>155th Street Lots #1 &amp; 2</t>
  </si>
  <si>
    <t>SW21-270</t>
  </si>
  <si>
    <t>Valley Christian Bldg B</t>
  </si>
  <si>
    <t>SW21-271</t>
  </si>
  <si>
    <t>Mera Chandler</t>
  </si>
  <si>
    <t>SW21-272</t>
  </si>
  <si>
    <t>TF21-273</t>
  </si>
  <si>
    <t>EMJ/LJL</t>
  </si>
  <si>
    <t>SW21-274</t>
  </si>
  <si>
    <t>Parc Tolleson</t>
  </si>
  <si>
    <t>SW21-275</t>
  </si>
  <si>
    <t>Rytan</t>
  </si>
  <si>
    <t>Charles W Harris Gym</t>
  </si>
  <si>
    <t>SW21-276</t>
  </si>
  <si>
    <t>Desert Mountain Club</t>
  </si>
  <si>
    <t>SW21-277</t>
  </si>
  <si>
    <t>Phelan Gateway</t>
  </si>
  <si>
    <t>SW21-278</t>
  </si>
  <si>
    <t>Gilbert Highlands Seminary</t>
  </si>
  <si>
    <t>SW21-279</t>
  </si>
  <si>
    <t>SE Justice Courts</t>
  </si>
  <si>
    <t>SW21-280</t>
  </si>
  <si>
    <t>Sunnyside Townhomes</t>
  </si>
  <si>
    <t>SW21-281</t>
  </si>
  <si>
    <t>Villas at Vesta View</t>
  </si>
  <si>
    <t>SW21-282</t>
  </si>
  <si>
    <t>SW21-283</t>
  </si>
  <si>
    <t>Gilbane</t>
  </si>
  <si>
    <t>Honeywell at Warner &amp; Priest</t>
  </si>
  <si>
    <t>SW21-284</t>
  </si>
  <si>
    <t>Glenn Downs</t>
  </si>
  <si>
    <t>SW21-285</t>
  </si>
  <si>
    <t>Waterview Residential</t>
  </si>
  <si>
    <t>SW21-286</t>
  </si>
  <si>
    <t xml:space="preserve">Industrial Metal Supply   </t>
  </si>
  <si>
    <t>SW21-287</t>
  </si>
  <si>
    <t>Dynasty Project Glendale</t>
  </si>
  <si>
    <t>SW21-288</t>
  </si>
  <si>
    <t>Crismon Rd Water Loop</t>
  </si>
  <si>
    <t>SW21-289</t>
  </si>
  <si>
    <t>Scottsdale Civic Center</t>
  </si>
  <si>
    <t>SW21-290</t>
  </si>
  <si>
    <t>SW21-291</t>
  </si>
  <si>
    <t>FedEX MobiDock</t>
  </si>
  <si>
    <t>SW21-292</t>
  </si>
  <si>
    <t>SW21-293</t>
  </si>
  <si>
    <t>Sage Memorial</t>
  </si>
  <si>
    <t>SW21-294</t>
  </si>
  <si>
    <t>SW21-295</t>
  </si>
  <si>
    <t>Drexel Rd</t>
  </si>
  <si>
    <t>SW21-296</t>
  </si>
  <si>
    <t>Kasai- 9824 W Northern Ave</t>
  </si>
  <si>
    <t>SW21-297</t>
  </si>
  <si>
    <t>SW21-298</t>
  </si>
  <si>
    <t>Surprise Xeriscape</t>
  </si>
  <si>
    <t>SW21-299</t>
  </si>
  <si>
    <t>Schnepf Elementary</t>
  </si>
  <si>
    <t>SW21-300</t>
  </si>
  <si>
    <t>ProLow</t>
  </si>
  <si>
    <t>SW21-301</t>
  </si>
  <si>
    <t>Capstone Bldg 22</t>
  </si>
  <si>
    <t>SW21-302</t>
  </si>
  <si>
    <t>Warner Commons</t>
  </si>
  <si>
    <t>SW21-303</t>
  </si>
  <si>
    <t>Douglas High School</t>
  </si>
  <si>
    <t>SW21-304</t>
  </si>
  <si>
    <t xml:space="preserve">Van Tassel </t>
  </si>
  <si>
    <t>O'Reilly Phoenix # 2138</t>
  </si>
  <si>
    <t>SW21-305</t>
  </si>
  <si>
    <t>Harmony Apartments at Cactus</t>
  </si>
  <si>
    <t>SW21-306</t>
  </si>
  <si>
    <t>Beck Consulting</t>
  </si>
  <si>
    <t>Life Storage- Lot 5 Cortaro</t>
  </si>
  <si>
    <t>SW21-307</t>
  </si>
  <si>
    <t>TSR Poker Tent</t>
  </si>
  <si>
    <t>SW21-308</t>
  </si>
  <si>
    <t>SW21-309</t>
  </si>
  <si>
    <t>Duncan Donuts- Baseline &amp; Power</t>
  </si>
  <si>
    <t>SW21-310</t>
  </si>
  <si>
    <t>Inpatient Rehab Facility Peoria</t>
  </si>
  <si>
    <t>SW21-311</t>
  </si>
  <si>
    <t>Rummel</t>
  </si>
  <si>
    <t>SW21-312</t>
  </si>
  <si>
    <t>366 N 2nd Ave</t>
  </si>
  <si>
    <t>SW21-313</t>
  </si>
  <si>
    <t xml:space="preserve">Quest </t>
  </si>
  <si>
    <t>Marriott Duel Brand Buckeye</t>
  </si>
  <si>
    <t>SW21-314</t>
  </si>
  <si>
    <t>Red Rock Contracting</t>
  </si>
  <si>
    <t>Skyway Commons</t>
  </si>
  <si>
    <t>SW21-315</t>
  </si>
  <si>
    <t>SW- Phx Hangar Expansion</t>
  </si>
  <si>
    <t>SW21-316</t>
  </si>
  <si>
    <t xml:space="preserve">Gcon </t>
  </si>
  <si>
    <t>Falcon Field Hangers Ph.2</t>
  </si>
  <si>
    <t>SW21-317</t>
  </si>
  <si>
    <t>Rice PHx BSE Canopy Site</t>
  </si>
  <si>
    <t>SW21-318</t>
  </si>
  <si>
    <t>SW21-319</t>
  </si>
  <si>
    <t>Stout Building</t>
  </si>
  <si>
    <t>Fatcats- Surprise</t>
  </si>
  <si>
    <t>TF21-320</t>
  </si>
  <si>
    <t>SW21-321</t>
  </si>
  <si>
    <t>TF21-322</t>
  </si>
  <si>
    <t>SW21-323</t>
  </si>
  <si>
    <t>Immedia/Icon</t>
  </si>
  <si>
    <t>TF21-324</t>
  </si>
  <si>
    <t>TF21-325</t>
  </si>
  <si>
    <t>SW21-326</t>
  </si>
  <si>
    <t>Desert Harbor Medical</t>
  </si>
  <si>
    <t>SW21-327</t>
  </si>
  <si>
    <t>Temp Gilliland</t>
  </si>
  <si>
    <t>SW21-328</t>
  </si>
  <si>
    <t>ATP Fueling</t>
  </si>
  <si>
    <t>SW21-329</t>
  </si>
  <si>
    <t>Hudson Crossing</t>
  </si>
  <si>
    <t>SW21-330</t>
  </si>
  <si>
    <t>Tanner Leja</t>
  </si>
  <si>
    <t>7990 E Pinnacle Vista Dr.</t>
  </si>
  <si>
    <t>SW21-331</t>
  </si>
  <si>
    <t>Novus</t>
  </si>
  <si>
    <t>SW21-332</t>
  </si>
  <si>
    <t>Alexander Apartments</t>
  </si>
  <si>
    <t>SW21-333</t>
  </si>
  <si>
    <t>SW21-334</t>
  </si>
  <si>
    <t>Costco PHX</t>
  </si>
  <si>
    <t>SW21-335</t>
  </si>
  <si>
    <t>Rio Verde Station</t>
  </si>
  <si>
    <t>SW21-336</t>
  </si>
  <si>
    <t>Ragsdale Apartments</t>
  </si>
  <si>
    <t>SW21-337</t>
  </si>
  <si>
    <t>CCS Systems Corp</t>
  </si>
  <si>
    <t>SF21-338</t>
  </si>
  <si>
    <t>Capstone Construction</t>
  </si>
  <si>
    <t>SW21-339</t>
  </si>
  <si>
    <t>13th Street &amp; Colter</t>
  </si>
  <si>
    <t>SW21-340</t>
  </si>
  <si>
    <t>AZ Painting and Consulting</t>
  </si>
  <si>
    <t>15825 N 71st St.</t>
  </si>
  <si>
    <t>SW21-341</t>
  </si>
  <si>
    <t>SW21-342</t>
  </si>
  <si>
    <t>CDO Group</t>
  </si>
  <si>
    <t>Christian Brothers Auto- Surprise</t>
  </si>
  <si>
    <t>SW21-343</t>
  </si>
  <si>
    <t>Harsch</t>
  </si>
  <si>
    <t>Drexel Rd Commerce</t>
  </si>
  <si>
    <t>SW21-344</t>
  </si>
  <si>
    <t>Arizona Humane Society</t>
  </si>
  <si>
    <t>SW21-345</t>
  </si>
  <si>
    <t>Banner Desert Medical</t>
  </si>
  <si>
    <t>SW21-346</t>
  </si>
  <si>
    <t>NCC Parcel 2.1</t>
  </si>
  <si>
    <t>SW21-347</t>
  </si>
  <si>
    <t>15th Ave &amp; Maryland</t>
  </si>
  <si>
    <t>SW21-348</t>
  </si>
  <si>
    <t xml:space="preserve">Carvana </t>
  </si>
  <si>
    <t>SW21-349</t>
  </si>
  <si>
    <t>44th &amp; 202 Project</t>
  </si>
  <si>
    <t>TF21-350</t>
  </si>
  <si>
    <t>26645 N 152nd St. Scottsdale</t>
  </si>
  <si>
    <t>SW21-351</t>
  </si>
  <si>
    <t>SW21-352</t>
  </si>
  <si>
    <t>Burke</t>
  </si>
  <si>
    <t>Legacy School- San Tan</t>
  </si>
  <si>
    <t>SW21-353</t>
  </si>
  <si>
    <t>Gallo</t>
  </si>
  <si>
    <t>Iron City Polaris</t>
  </si>
  <si>
    <t>TF21-354</t>
  </si>
  <si>
    <t>TF21-355</t>
  </si>
  <si>
    <t>TF21-356</t>
  </si>
  <si>
    <t>TF21-357</t>
  </si>
  <si>
    <t>TF21-358</t>
  </si>
  <si>
    <t>TF21-359</t>
  </si>
  <si>
    <t>TF21-360</t>
  </si>
  <si>
    <t>SW21-361</t>
  </si>
  <si>
    <t>CMC Cave Creek</t>
  </si>
  <si>
    <t>SW21-362</t>
  </si>
  <si>
    <t>SW21-363</t>
  </si>
  <si>
    <t>Shaw &amp; Company</t>
  </si>
  <si>
    <t>Quintana at Cooley Station</t>
  </si>
  <si>
    <t>SW21-364</t>
  </si>
  <si>
    <t>Ameris Construction</t>
  </si>
  <si>
    <t>8849 S 7th St. Apartments</t>
  </si>
  <si>
    <t>SW21-365</t>
  </si>
  <si>
    <t xml:space="preserve">Arco </t>
  </si>
  <si>
    <t>PFG Phoenix Additions</t>
  </si>
  <si>
    <t>SW21-366</t>
  </si>
  <si>
    <t>Capital R Construction</t>
  </si>
  <si>
    <t>La Quinta- 91st &amp; McDowell</t>
  </si>
  <si>
    <t>SW21-367</t>
  </si>
  <si>
    <t>SW21-368</t>
  </si>
  <si>
    <t>6625 N 14th Place</t>
  </si>
  <si>
    <t>SW21-369</t>
  </si>
  <si>
    <t>GSA Scottsdale</t>
  </si>
  <si>
    <t>SW21-370</t>
  </si>
  <si>
    <t>Village at Prasada</t>
  </si>
  <si>
    <t>SW21-371</t>
  </si>
  <si>
    <t>SW21-372</t>
  </si>
  <si>
    <t>EVACC</t>
  </si>
  <si>
    <t>SW21-373</t>
  </si>
  <si>
    <t>Alexan Tempe</t>
  </si>
  <si>
    <t>SW21-374</t>
  </si>
  <si>
    <t>Lomus Verde Estates</t>
  </si>
  <si>
    <t>SW21-375</t>
  </si>
  <si>
    <t>TAC2 Bldg B</t>
  </si>
  <si>
    <t>SW21-376</t>
  </si>
  <si>
    <t>Park 303 Ph.2</t>
  </si>
  <si>
    <t>SW21-377</t>
  </si>
  <si>
    <t>Pinnacle Peak Rd- Hopewell</t>
  </si>
  <si>
    <t>SW21-378</t>
  </si>
  <si>
    <t>M.Anderson</t>
  </si>
  <si>
    <t>Coolidge Landfill</t>
  </si>
  <si>
    <t>TF21-379</t>
  </si>
  <si>
    <t>SW21-380</t>
  </si>
  <si>
    <t>Pinnacle Construction</t>
  </si>
  <si>
    <t>Panda Express Phoenix</t>
  </si>
  <si>
    <t>SW21-381</t>
  </si>
  <si>
    <t>Bungalows on Florence</t>
  </si>
  <si>
    <t>SW21-382</t>
  </si>
  <si>
    <t>SW21-383</t>
  </si>
  <si>
    <t>SW21-384</t>
  </si>
  <si>
    <t>SW21-385</t>
  </si>
  <si>
    <t>Valencia Newcomer Gymnasium</t>
  </si>
  <si>
    <t>SW21-386</t>
  </si>
  <si>
    <t>NCC Parcel 2.4, 3.0, and 4.1</t>
  </si>
  <si>
    <t>SW22-01</t>
  </si>
  <si>
    <t>Villages at Schnepf Farms</t>
  </si>
  <si>
    <t>SW22-02</t>
  </si>
  <si>
    <t>3529 S Kings Ranch</t>
  </si>
  <si>
    <t>SW22-03</t>
  </si>
  <si>
    <t>SW22-04</t>
  </si>
  <si>
    <t>2020 E University Dr.</t>
  </si>
  <si>
    <t>SW22-05</t>
  </si>
  <si>
    <t>TAC2- Bldg A</t>
  </si>
  <si>
    <t>SW22-06</t>
  </si>
  <si>
    <t>SW22-07</t>
  </si>
  <si>
    <t>Mike Miguire</t>
  </si>
  <si>
    <t>SW22-08</t>
  </si>
  <si>
    <t>TF22-09</t>
  </si>
  <si>
    <t>SW22-10</t>
  </si>
  <si>
    <t>SW22-11</t>
  </si>
  <si>
    <t>TF22-12</t>
  </si>
  <si>
    <t>SW22-13</t>
  </si>
  <si>
    <t>NextGen Builders</t>
  </si>
  <si>
    <t>Covey Commercial Complex</t>
  </si>
  <si>
    <t>SW22-14</t>
  </si>
  <si>
    <t>Costco Queen Creek</t>
  </si>
  <si>
    <t>SW22-15</t>
  </si>
  <si>
    <t>PV Mall Apartments</t>
  </si>
  <si>
    <t>SW22-16</t>
  </si>
  <si>
    <t>Redpoint</t>
  </si>
  <si>
    <t>Prasada PH.1B Lot 5</t>
  </si>
  <si>
    <t>SW22-17</t>
  </si>
  <si>
    <t>Western Ave Demo- Goodyear</t>
  </si>
  <si>
    <t>SW22-18</t>
  </si>
  <si>
    <t>Aspen Interiors</t>
  </si>
  <si>
    <t>14641 N 74th St</t>
  </si>
  <si>
    <t>SW22-19</t>
  </si>
  <si>
    <t>Circle City</t>
  </si>
  <si>
    <t>SW22-20</t>
  </si>
  <si>
    <t>Baldwin Development</t>
  </si>
  <si>
    <t>3580 W Happy Valley Rd</t>
  </si>
  <si>
    <t>SW22-21</t>
  </si>
  <si>
    <t>10779 E Whitethorn Dr</t>
  </si>
  <si>
    <t>TF22-22</t>
  </si>
  <si>
    <t>SW22-23</t>
  </si>
  <si>
    <t>SW22-24</t>
  </si>
  <si>
    <t>SW22-25</t>
  </si>
  <si>
    <t>QTS PHX2 DC1</t>
  </si>
  <si>
    <t>SW22-26</t>
  </si>
  <si>
    <t>KBE</t>
  </si>
  <si>
    <t>Sierra Bloom</t>
  </si>
  <si>
    <t>SW22-27</t>
  </si>
  <si>
    <t>Popstroke</t>
  </si>
  <si>
    <t>SW22-28</t>
  </si>
  <si>
    <t>AFUHSD</t>
  </si>
  <si>
    <t>SW22-29</t>
  </si>
  <si>
    <t>SW22-30</t>
  </si>
  <si>
    <t>Cutter Aviation</t>
  </si>
  <si>
    <t>SW22-31</t>
  </si>
  <si>
    <t>Park place- Mesa</t>
  </si>
  <si>
    <t>SW22-32</t>
  </si>
  <si>
    <t>SW22-33</t>
  </si>
  <si>
    <t>Alta 99th</t>
  </si>
  <si>
    <t>SW22-34</t>
  </si>
  <si>
    <t>Cambridge Companies</t>
  </si>
  <si>
    <t>Central AZ Transfer Station</t>
  </si>
  <si>
    <t>SW22-35</t>
  </si>
  <si>
    <t>TF22-36</t>
  </si>
  <si>
    <t>Kiwanis- Fuel Tank Replacement</t>
  </si>
  <si>
    <t>SW22-37</t>
  </si>
  <si>
    <t>SW22-38</t>
  </si>
  <si>
    <t>Tofel Dent</t>
  </si>
  <si>
    <t>Cardinal 95 Apartments</t>
  </si>
  <si>
    <t>TF22-39</t>
  </si>
  <si>
    <t>SW22-40</t>
  </si>
  <si>
    <t>Barker Contracting</t>
  </si>
  <si>
    <t>Saddlebrooke Pickelball Court</t>
  </si>
  <si>
    <t>SW22-41</t>
  </si>
  <si>
    <t>E. Corona Rd Spec Bldg</t>
  </si>
  <si>
    <t>SW22-42</t>
  </si>
  <si>
    <t>Starbucks- 15 E Guadalupe</t>
  </si>
  <si>
    <t>SW22-43</t>
  </si>
  <si>
    <t>Toy Barn Scottsdale</t>
  </si>
  <si>
    <t>SW22-44</t>
  </si>
  <si>
    <t>SW22-45</t>
  </si>
  <si>
    <t>Legacy School Addition Casa Grande</t>
  </si>
  <si>
    <t>SW22-46</t>
  </si>
  <si>
    <t>EOS Builders</t>
  </si>
  <si>
    <t>The Moreland</t>
  </si>
  <si>
    <t>SW22-47</t>
  </si>
  <si>
    <t>Lots at 12th St and E Cloud</t>
  </si>
  <si>
    <t>SW22-48</t>
  </si>
  <si>
    <t>Hopewell- PG 202</t>
  </si>
  <si>
    <t>SW22-49</t>
  </si>
  <si>
    <t>Esperanza- Eloy</t>
  </si>
  <si>
    <t>SW22-50</t>
  </si>
  <si>
    <t>Mayo- CPO</t>
  </si>
  <si>
    <t>SW22-51</t>
  </si>
  <si>
    <t>Sundt</t>
  </si>
  <si>
    <t>Park Central Home 2/TRU Hotel</t>
  </si>
  <si>
    <t>SW22-52</t>
  </si>
  <si>
    <t>Mission Constructors</t>
  </si>
  <si>
    <t>Ridgehouse at Surprise Center</t>
  </si>
  <si>
    <t>SW22-53</t>
  </si>
  <si>
    <t>Amberlin Arrowhead</t>
  </si>
  <si>
    <t>SW22-54</t>
  </si>
  <si>
    <t>ASU Tempe New Academic Bldg</t>
  </si>
  <si>
    <t>SW22-55</t>
  </si>
  <si>
    <t>Oasis Behavioral Center</t>
  </si>
  <si>
    <t>SW22-56</t>
  </si>
  <si>
    <t>Sierra Verde RV Expansion</t>
  </si>
  <si>
    <t>SW22-57</t>
  </si>
  <si>
    <t>Starbucks- 155501 N Hayden</t>
  </si>
  <si>
    <t>SW22-58</t>
  </si>
  <si>
    <t>FritoLay</t>
  </si>
  <si>
    <t>SW22-59</t>
  </si>
  <si>
    <t>Kentwood 10</t>
  </si>
  <si>
    <t>SW22-60</t>
  </si>
  <si>
    <t>Plenium Builders</t>
  </si>
  <si>
    <t>SW22-61</t>
  </si>
  <si>
    <t>Ashler Hills Lots 1 &amp; 2</t>
  </si>
  <si>
    <t>SW22-62</t>
  </si>
  <si>
    <t>Arbor PH.2</t>
  </si>
  <si>
    <t>SW22-63</t>
  </si>
  <si>
    <t>Mtn View HS- PAC Addition</t>
  </si>
  <si>
    <t>SW22-64</t>
  </si>
  <si>
    <t>17 North</t>
  </si>
  <si>
    <t>SW22-65</t>
  </si>
  <si>
    <t>SW22-66</t>
  </si>
  <si>
    <t>GSR Equine</t>
  </si>
  <si>
    <t>SW22-67</t>
  </si>
  <si>
    <t>MC Construction</t>
  </si>
  <si>
    <t>Petsuites- Chandler</t>
  </si>
  <si>
    <t>SW22-68</t>
  </si>
  <si>
    <t>Gilbert Commons</t>
  </si>
  <si>
    <t>SW22-69</t>
  </si>
  <si>
    <t>5902 E Calle Del Sud</t>
  </si>
  <si>
    <t>SW22-70</t>
  </si>
  <si>
    <t>5120 N Casa Blanca</t>
  </si>
  <si>
    <t>SW22-71</t>
  </si>
  <si>
    <t>Mayo IERB</t>
  </si>
  <si>
    <t>SW22-72</t>
  </si>
  <si>
    <t>Collaborative Construction</t>
  </si>
  <si>
    <t>Queen Creek Retail Site</t>
  </si>
  <si>
    <t>SW22-73</t>
  </si>
  <si>
    <t>Gary Square- San Tan</t>
  </si>
  <si>
    <t>SW22-74</t>
  </si>
  <si>
    <t xml:space="preserve">ZDI </t>
  </si>
  <si>
    <t>Chewy Parking Expansion</t>
  </si>
  <si>
    <t>SW22-75</t>
  </si>
  <si>
    <t>West Point</t>
  </si>
  <si>
    <t>SW22-76</t>
  </si>
  <si>
    <t>SW22-77</t>
  </si>
  <si>
    <t>Creighton Elementary</t>
  </si>
  <si>
    <t>SW22-78</t>
  </si>
  <si>
    <t>10-Lane Boat Ramp- Lake Pleasant</t>
  </si>
  <si>
    <t>SW22-79</t>
  </si>
  <si>
    <t>SW22-80</t>
  </si>
  <si>
    <t>Take 5 Oil Change</t>
  </si>
  <si>
    <t>SW22-81</t>
  </si>
  <si>
    <t>Germann Rd Transfer</t>
  </si>
  <si>
    <t>SW22-82</t>
  </si>
  <si>
    <t>SW22-83</t>
  </si>
  <si>
    <t>Markham</t>
  </si>
  <si>
    <t>Ross</t>
  </si>
  <si>
    <t>SW22-84</t>
  </si>
  <si>
    <t xml:space="preserve">Sundt </t>
  </si>
  <si>
    <t>Habitat for Humanity</t>
  </si>
  <si>
    <t>SW22-85</t>
  </si>
  <si>
    <t>Stilwater/Superstition</t>
  </si>
  <si>
    <t>SW22-86</t>
  </si>
  <si>
    <t>Old World Communities</t>
  </si>
  <si>
    <t>Encanto at Bell Park</t>
  </si>
  <si>
    <t>SW22-87</t>
  </si>
  <si>
    <t>2828 W Camelback Rd</t>
  </si>
  <si>
    <t>SW22-88</t>
  </si>
  <si>
    <t>Villages at Paseo De Lucas</t>
  </si>
  <si>
    <t>SW22-89</t>
  </si>
  <si>
    <t>The Construction Professional</t>
  </si>
  <si>
    <t>6114 N Scottsdale Rd</t>
  </si>
  <si>
    <t>SW22-90</t>
  </si>
  <si>
    <t>SW22-91</t>
  </si>
  <si>
    <t>California Fish Grill</t>
  </si>
  <si>
    <t>TF22-92</t>
  </si>
  <si>
    <t>SW22-93</t>
  </si>
  <si>
    <t>Apricus Imaging</t>
  </si>
  <si>
    <t>SW22-94</t>
  </si>
  <si>
    <t>Keegan Builders</t>
  </si>
  <si>
    <t>224 N 59th Ave</t>
  </si>
  <si>
    <t>SW22-95</t>
  </si>
  <si>
    <t>Heckler Headquarters</t>
  </si>
  <si>
    <t>SW22-96</t>
  </si>
  <si>
    <t>Wolff Company</t>
  </si>
  <si>
    <t>Bell Road &amp; 34th Way Apartments</t>
  </si>
  <si>
    <t>SW22-97</t>
  </si>
  <si>
    <t>SW22-98</t>
  </si>
  <si>
    <t>Starbucks 3502 W Glendale</t>
  </si>
  <si>
    <t>SW22-99</t>
  </si>
  <si>
    <t>ZT 56th Street</t>
  </si>
  <si>
    <t>Messo at Desert Ridge</t>
  </si>
  <si>
    <t>SW22-100</t>
  </si>
  <si>
    <t>Pebble Creek Potato Barn</t>
  </si>
  <si>
    <t>SW22-101</t>
  </si>
  <si>
    <t>Alexan Peoria</t>
  </si>
  <si>
    <t>SW22-102</t>
  </si>
  <si>
    <t xml:space="preserve">Schnitzer </t>
  </si>
  <si>
    <t>Corona Commerce</t>
  </si>
  <si>
    <t>SW22-103</t>
  </si>
  <si>
    <t>Azola at Desert Ridge</t>
  </si>
  <si>
    <t>SW22-104</t>
  </si>
  <si>
    <t>McKenzies Midtown tavern</t>
  </si>
  <si>
    <t>4531 N 7th St</t>
  </si>
  <si>
    <t>SW22-105</t>
  </si>
  <si>
    <t>SW22-106</t>
  </si>
  <si>
    <t>Gray, Inc</t>
  </si>
  <si>
    <t>Gulfstream Mesa</t>
  </si>
  <si>
    <t>SW22-107</t>
  </si>
  <si>
    <t>Panda Express Flagstaff</t>
  </si>
  <si>
    <t>SW22-108</t>
  </si>
  <si>
    <t>Modern Constructors</t>
  </si>
  <si>
    <t>Happy Valley Apartments</t>
  </si>
  <si>
    <t>SW22-109</t>
  </si>
  <si>
    <t>Perry, Kelvin</t>
  </si>
  <si>
    <t>Thunder Road Fence</t>
  </si>
  <si>
    <t>SW22-110</t>
  </si>
  <si>
    <t>Raising Canes 709 Tucson</t>
  </si>
  <si>
    <t>SW22-111</t>
  </si>
  <si>
    <t>Arcbuilt</t>
  </si>
  <si>
    <t>Harriem</t>
  </si>
  <si>
    <t>SW22-112</t>
  </si>
  <si>
    <t>914 W Wiletta</t>
  </si>
  <si>
    <t>SW22-113</t>
  </si>
  <si>
    <t>Moderne Roosevelt</t>
  </si>
  <si>
    <t>SW22-114</t>
  </si>
  <si>
    <t>5321 E Washington St.</t>
  </si>
  <si>
    <t>SW22-115</t>
  </si>
  <si>
    <t>Cubes at Mesa Gateway</t>
  </si>
  <si>
    <t>SW22-116</t>
  </si>
  <si>
    <t>Popeyes #684 Tucson</t>
  </si>
  <si>
    <t>SW22-117</t>
  </si>
  <si>
    <t>Panda Express Tucson</t>
  </si>
  <si>
    <t>SW22-118</t>
  </si>
  <si>
    <t>1626 W Northern Ave</t>
  </si>
  <si>
    <t>SW22-119</t>
  </si>
  <si>
    <t>SW Innovative Craft Center</t>
  </si>
  <si>
    <t>SW22-120</t>
  </si>
  <si>
    <t>Acero Canyon Trails</t>
  </si>
  <si>
    <t>SW22-121</t>
  </si>
  <si>
    <t>SW22-122</t>
  </si>
  <si>
    <t>Woolf Logistics</t>
  </si>
  <si>
    <t>SW22-123</t>
  </si>
  <si>
    <t>Coyote Landing</t>
  </si>
  <si>
    <t>SW22-124</t>
  </si>
  <si>
    <t>Acero Hawes Crossing</t>
  </si>
  <si>
    <t>SW22-125</t>
  </si>
  <si>
    <t>Reninhausen</t>
  </si>
  <si>
    <t>SRP Sidewinder Substation</t>
  </si>
  <si>
    <t>SW22-126</t>
  </si>
  <si>
    <t>Wittman</t>
  </si>
  <si>
    <t>SW22-127</t>
  </si>
  <si>
    <t>SW22-128</t>
  </si>
  <si>
    <t>5432 E Via De Cielo</t>
  </si>
  <si>
    <t>SW22-129</t>
  </si>
  <si>
    <t>5525 N 2nd Place</t>
  </si>
  <si>
    <t>SW22-130</t>
  </si>
  <si>
    <t>Quality Lube &amp; Tune Marana</t>
  </si>
  <si>
    <t>SW22-131</t>
  </si>
  <si>
    <t>Glendale Shooting Range</t>
  </si>
  <si>
    <t>SW22-132</t>
  </si>
  <si>
    <t>SW22-133</t>
  </si>
  <si>
    <t>Lantern Group</t>
  </si>
  <si>
    <t>925 N 9th Ave</t>
  </si>
  <si>
    <t>SW22-134</t>
  </si>
  <si>
    <t>Madison Park Rebuild</t>
  </si>
  <si>
    <t>SW22-135</t>
  </si>
  <si>
    <t>SW22-136</t>
  </si>
  <si>
    <t>SW22-137</t>
  </si>
  <si>
    <t>Kroger Flaming Bird</t>
  </si>
  <si>
    <t>SW22-138</t>
  </si>
  <si>
    <t>SW22-139</t>
  </si>
  <si>
    <t>Jet Aviation Scottsdale</t>
  </si>
  <si>
    <t>SW22-140</t>
  </si>
  <si>
    <t>4126 E Indian School</t>
  </si>
  <si>
    <t>SW22-141</t>
  </si>
  <si>
    <t>CoG Police dept Ph.2</t>
  </si>
  <si>
    <t>SW22-142</t>
  </si>
  <si>
    <t>Casteel HS Tennis Courts Consession</t>
  </si>
  <si>
    <t>SW22-143</t>
  </si>
  <si>
    <t>SW22-144</t>
  </si>
  <si>
    <t>SW22-145</t>
  </si>
  <si>
    <t>Unbound Phase 1</t>
  </si>
  <si>
    <t>SW22-146</t>
  </si>
  <si>
    <t>Greeway HS</t>
  </si>
  <si>
    <t>SW22-147</t>
  </si>
  <si>
    <t>Palo Verde Golf Course</t>
  </si>
  <si>
    <t>SW22-148</t>
  </si>
  <si>
    <t>Chandler Commons</t>
  </si>
  <si>
    <t>TF22-149</t>
  </si>
  <si>
    <t>SW22-150</t>
  </si>
  <si>
    <t>SW22-151</t>
  </si>
  <si>
    <t>35th Ave Villas</t>
  </si>
  <si>
    <t>SW22-152</t>
  </si>
  <si>
    <t>SW22-153</t>
  </si>
  <si>
    <t>TYR III</t>
  </si>
  <si>
    <t>SW22-154</t>
  </si>
  <si>
    <t>Raising Canes #738- Chandler</t>
  </si>
  <si>
    <t>SW22-155</t>
  </si>
  <si>
    <t>Countryside Park</t>
  </si>
  <si>
    <t>SW22-156</t>
  </si>
  <si>
    <t>Christian Brothers Auto- Buckeye</t>
  </si>
  <si>
    <t>SW22-157</t>
  </si>
  <si>
    <t>Claim Jumper- AZ Mills</t>
  </si>
  <si>
    <t>SW22-158</t>
  </si>
  <si>
    <t>Apollo HS</t>
  </si>
  <si>
    <t>SW22-159</t>
  </si>
  <si>
    <t>Anytime Storage Tucson</t>
  </si>
  <si>
    <t>SW22-160</t>
  </si>
  <si>
    <t>West MEC Parking Lot Addition</t>
  </si>
  <si>
    <t>SW22-161</t>
  </si>
  <si>
    <t>Glendale Gateway Parking Lot</t>
  </si>
  <si>
    <t>SW22-162</t>
  </si>
  <si>
    <t>Raising Canes #695- Goodyear</t>
  </si>
  <si>
    <t>SW22-163</t>
  </si>
  <si>
    <t>St. Benedicts Church</t>
  </si>
  <si>
    <t>SW22-164</t>
  </si>
  <si>
    <t>RWB Construction</t>
  </si>
  <si>
    <t>McDonalds Avondale</t>
  </si>
  <si>
    <t>SW22-165</t>
  </si>
  <si>
    <t>Venn Companies</t>
  </si>
  <si>
    <t>Advaced Plastic Surgery Gilbert</t>
  </si>
  <si>
    <t>SW22-166</t>
  </si>
  <si>
    <t>ASU- Mill Ave Garage</t>
  </si>
  <si>
    <t>SW22-167</t>
  </si>
  <si>
    <t>Andrew Weil Center</t>
  </si>
  <si>
    <t>SW22-168</t>
  </si>
  <si>
    <t>HUB @ 202</t>
  </si>
  <si>
    <t>SW22-169</t>
  </si>
  <si>
    <t>MB Mercy Mob III</t>
  </si>
  <si>
    <t>SW22-170</t>
  </si>
  <si>
    <t>Mesa Industrial/Gateway ph.2</t>
  </si>
  <si>
    <t>SW22-171</t>
  </si>
  <si>
    <t>US Fitness- 10146 W Lake Pleasant</t>
  </si>
  <si>
    <t>SW22-172</t>
  </si>
  <si>
    <t>1509 E Elwood</t>
  </si>
  <si>
    <t>SW22-173</t>
  </si>
  <si>
    <t>X Phoenix Ph.2</t>
  </si>
  <si>
    <t>SW22-174</t>
  </si>
  <si>
    <t>AE PHX04</t>
  </si>
  <si>
    <t>SW22-175</t>
  </si>
  <si>
    <t>KAPBCS Training Center</t>
  </si>
  <si>
    <t>SW22-176</t>
  </si>
  <si>
    <t>Tempe Dance (35th &amp; Baseline)</t>
  </si>
  <si>
    <t>SW22-177</t>
  </si>
  <si>
    <t>Mesquite Trail</t>
  </si>
  <si>
    <t>TF22-178</t>
  </si>
  <si>
    <t>SW22-179</t>
  </si>
  <si>
    <t>Lonely Cactus</t>
  </si>
  <si>
    <t>SW22-180</t>
  </si>
  <si>
    <t>Glendale Ave Reconstruction</t>
  </si>
  <si>
    <t>SW22-181</t>
  </si>
  <si>
    <t>SW22-182</t>
  </si>
  <si>
    <t>Republic Services Recycling Center</t>
  </si>
  <si>
    <t>SW22-183</t>
  </si>
  <si>
    <t>DG Fenn</t>
  </si>
  <si>
    <t>Circle K- Northern, Glendale</t>
  </si>
  <si>
    <t>SW22-184</t>
  </si>
  <si>
    <t>Pals Development</t>
  </si>
  <si>
    <t>SW22-185</t>
  </si>
  <si>
    <t>Cavasson Bldg B</t>
  </si>
  <si>
    <t>SW22-186</t>
  </si>
  <si>
    <t>MTV</t>
  </si>
  <si>
    <t>Quiktrip #1431</t>
  </si>
  <si>
    <t>SW22-187</t>
  </si>
  <si>
    <t>SW22-188</t>
  </si>
  <si>
    <t xml:space="preserve">Black Rifle Coffee- 5105 S </t>
  </si>
  <si>
    <t>SW22-189</t>
  </si>
  <si>
    <t>Scottsdale Jeep</t>
  </si>
  <si>
    <t>SW22-190</t>
  </si>
  <si>
    <t>Tempe II- Laydown Area</t>
  </si>
  <si>
    <t>SW22-191</t>
  </si>
  <si>
    <t>Chandler Airpark 202</t>
  </si>
  <si>
    <t>SW22-192</t>
  </si>
  <si>
    <t>One Scottsdale Apartments</t>
  </si>
  <si>
    <t>SW22-193</t>
  </si>
  <si>
    <t>Avondale Aquatic Center</t>
  </si>
  <si>
    <t>SW22-194</t>
  </si>
  <si>
    <t>Ottawa University</t>
  </si>
  <si>
    <t>SW22-195</t>
  </si>
  <si>
    <t>Joe Knight</t>
  </si>
  <si>
    <t>4832 W Laurel Ln</t>
  </si>
  <si>
    <t>SW22-196</t>
  </si>
  <si>
    <t>Skyway Commons Bldg D</t>
  </si>
  <si>
    <t>SW22-197</t>
  </si>
  <si>
    <t>Aspire Builders</t>
  </si>
  <si>
    <t>Envy Self- Storage</t>
  </si>
  <si>
    <t>SW22-198</t>
  </si>
  <si>
    <t>The Reserve at Thunderbird</t>
  </si>
  <si>
    <t>SW22-199</t>
  </si>
  <si>
    <t>Bickman Industrial</t>
  </si>
  <si>
    <t>TF22-200</t>
  </si>
  <si>
    <t>TSMC Supplier site "C"</t>
  </si>
  <si>
    <t>SW22-201</t>
  </si>
  <si>
    <t>SW22-202</t>
  </si>
  <si>
    <t>Edison Pointe</t>
  </si>
  <si>
    <t>SW22-203</t>
  </si>
  <si>
    <t>Western States</t>
  </si>
  <si>
    <t>Dubowy Residence</t>
  </si>
  <si>
    <t>SW22-204</t>
  </si>
  <si>
    <t>Elliot &amp; Washington</t>
  </si>
  <si>
    <t>TF22-205</t>
  </si>
  <si>
    <t>TF22-206</t>
  </si>
  <si>
    <t>SW22-207</t>
  </si>
  <si>
    <t>Breaks Plus 13557 N Prasada</t>
  </si>
  <si>
    <t>SW22-208</t>
  </si>
  <si>
    <t>SW22-209</t>
  </si>
  <si>
    <t>Alvernon Way</t>
  </si>
  <si>
    <t>SW22-210</t>
  </si>
  <si>
    <t>Site K Development</t>
  </si>
  <si>
    <t>SW22-211</t>
  </si>
  <si>
    <t>SW22-212</t>
  </si>
  <si>
    <t>Trinsic</t>
  </si>
  <si>
    <t>SW22-213</t>
  </si>
  <si>
    <t>SW22-214</t>
  </si>
  <si>
    <t>Governor by Moderne</t>
  </si>
  <si>
    <t>SW22-215</t>
  </si>
  <si>
    <t>Sycamore Farms</t>
  </si>
  <si>
    <t>SW22-216</t>
  </si>
  <si>
    <t>RSD C.O. Greenfield</t>
  </si>
  <si>
    <t>SW22-217</t>
  </si>
  <si>
    <t>Marten Transport</t>
  </si>
  <si>
    <t>SW22-218</t>
  </si>
  <si>
    <t>Guefen</t>
  </si>
  <si>
    <t>Haven at Washington</t>
  </si>
  <si>
    <t>SW22-219</t>
  </si>
  <si>
    <t>NIRVC</t>
  </si>
  <si>
    <t>SW22-220</t>
  </si>
  <si>
    <t>VCC LLC</t>
  </si>
  <si>
    <t>Vinyard Towne Center</t>
  </si>
  <si>
    <t>SW22-221</t>
  </si>
  <si>
    <t>Key Construction</t>
  </si>
  <si>
    <t>Chicken n Pickle</t>
  </si>
  <si>
    <t>SW22-222</t>
  </si>
  <si>
    <t>Shambaugh</t>
  </si>
  <si>
    <t>Commonwealth Dairy</t>
  </si>
  <si>
    <t>SW22-223</t>
  </si>
  <si>
    <t xml:space="preserve">Alston </t>
  </si>
  <si>
    <t>Go Industrial</t>
  </si>
  <si>
    <t>SW22-224</t>
  </si>
  <si>
    <t>Santorini Homes</t>
  </si>
  <si>
    <t>Jones Residence</t>
  </si>
  <si>
    <t>SW22-225</t>
  </si>
  <si>
    <t>Zen on Recker</t>
  </si>
  <si>
    <t>SW22-226</t>
  </si>
  <si>
    <t>Avondle Apartments</t>
  </si>
  <si>
    <t>SW22-227</t>
  </si>
  <si>
    <t>McKinley Green</t>
  </si>
  <si>
    <t>SW22-228</t>
  </si>
  <si>
    <t>Nirvana at Harbor Shores</t>
  </si>
  <si>
    <t>SW22-229</t>
  </si>
  <si>
    <t>Country Club Center II</t>
  </si>
  <si>
    <t>SW22-230</t>
  </si>
  <si>
    <t>TEI- Casa Grande Campus</t>
  </si>
  <si>
    <t>SW22-231</t>
  </si>
  <si>
    <t>SW22-232</t>
  </si>
  <si>
    <t>Hoilal, Tom</t>
  </si>
  <si>
    <t>SW22-233</t>
  </si>
  <si>
    <t>Country Club Center I</t>
  </si>
  <si>
    <t>SW22-234</t>
  </si>
  <si>
    <t>PHX 70- DRB</t>
  </si>
  <si>
    <t>SW22-235</t>
  </si>
  <si>
    <t>Neve, LLC</t>
  </si>
  <si>
    <t>SW22-236</t>
  </si>
  <si>
    <t>Tucson Airport Center</t>
  </si>
  <si>
    <t>SW22-237</t>
  </si>
  <si>
    <t>Degan Construction</t>
  </si>
  <si>
    <t>SW22-238</t>
  </si>
  <si>
    <t>SW22-239</t>
  </si>
  <si>
    <t>SW22-240</t>
  </si>
  <si>
    <t>PLC- B7 PHX02017</t>
  </si>
  <si>
    <t>SW22-241</t>
  </si>
  <si>
    <t>SW22-242</t>
  </si>
  <si>
    <t>Alta Avondale</t>
  </si>
  <si>
    <t>SW22-243</t>
  </si>
  <si>
    <t>Brookfield Properties</t>
  </si>
  <si>
    <t>Alamar Ph.4</t>
  </si>
  <si>
    <t>SW22-244</t>
  </si>
  <si>
    <t>Circle K- Kino Pkwy</t>
  </si>
  <si>
    <t>SW22-245</t>
  </si>
  <si>
    <t>Moores Ranch</t>
  </si>
  <si>
    <t>SW22-246</t>
  </si>
  <si>
    <t>Portillas Tucson</t>
  </si>
  <si>
    <t>SW22-247</t>
  </si>
  <si>
    <t>27 South McClintock Dr</t>
  </si>
  <si>
    <t>SW22-248</t>
  </si>
  <si>
    <t>Finer Touch</t>
  </si>
  <si>
    <t>Blue wash rd &amp; Cave Creek Rd</t>
  </si>
  <si>
    <t>SW22-249</t>
  </si>
  <si>
    <t>Talking Stick Glof Club 1</t>
  </si>
  <si>
    <t>SW22-250</t>
  </si>
  <si>
    <t>Verde Builders</t>
  </si>
  <si>
    <t xml:space="preserve"> Roosevelt Cottages</t>
  </si>
  <si>
    <t>SW22-251</t>
  </si>
  <si>
    <t>Joshua Fretwell</t>
  </si>
  <si>
    <t>for Dust Sign only</t>
  </si>
  <si>
    <t>SW22-252</t>
  </si>
  <si>
    <t>Woodsprings Chandler</t>
  </si>
  <si>
    <t>SW22-253</t>
  </si>
  <si>
    <t>Pecos Pacific Mesa</t>
  </si>
  <si>
    <t>SW22-254</t>
  </si>
  <si>
    <t>City of Chandler Fire Station #282</t>
  </si>
  <si>
    <t>SW22-255</t>
  </si>
  <si>
    <t>SW22-256</t>
  </si>
  <si>
    <t>Global Ambassador Hotel</t>
  </si>
  <si>
    <t>SW22-257</t>
  </si>
  <si>
    <t>Woodsprings Tolleson</t>
  </si>
  <si>
    <t>SW22-258</t>
  </si>
  <si>
    <t>Indicap Mesa</t>
  </si>
  <si>
    <t>SW22-259</t>
  </si>
  <si>
    <t>Brimley Development</t>
  </si>
  <si>
    <t>Carder Residence</t>
  </si>
  <si>
    <t>SW22-260</t>
  </si>
  <si>
    <t>Beztak Companies</t>
  </si>
  <si>
    <t>Sage Luxury Apartments</t>
  </si>
  <si>
    <t>SW22-261</t>
  </si>
  <si>
    <t>Lakin Park Bldg 1B</t>
  </si>
  <si>
    <t>SW22-262</t>
  </si>
  <si>
    <t>Vantage Data Center Ph.2</t>
  </si>
  <si>
    <t>SW22-263</t>
  </si>
  <si>
    <t>American Retail Contractors</t>
  </si>
  <si>
    <t>Mesa- McKellips Site &amp; Shell</t>
  </si>
  <si>
    <t>SW22-264</t>
  </si>
  <si>
    <t>Brushfire Grill Phoenix</t>
  </si>
  <si>
    <t>SW22-265</t>
  </si>
  <si>
    <t>SW22-266</t>
  </si>
  <si>
    <t>Maya Dayclub</t>
  </si>
  <si>
    <t>SW22-267</t>
  </si>
  <si>
    <t>Vinyltech Rail Spur</t>
  </si>
  <si>
    <t>SW22-268</t>
  </si>
  <si>
    <t>Cortaro Ranch Master Basin</t>
  </si>
  <si>
    <t>SW22-269</t>
  </si>
  <si>
    <t>Tempe Diablo Stadium</t>
  </si>
  <si>
    <t>SW22-270</t>
  </si>
  <si>
    <t>Carls Jr- Litchfield Park</t>
  </si>
  <si>
    <t>SW22-271</t>
  </si>
  <si>
    <t>Kore Medical</t>
  </si>
  <si>
    <t>175 S 29th St.</t>
  </si>
  <si>
    <t>SW22-272</t>
  </si>
  <si>
    <t>SW22-273</t>
  </si>
  <si>
    <t>Dutch Bros- Surprise</t>
  </si>
  <si>
    <t>SW22-274</t>
  </si>
  <si>
    <t>Newport Power Industrial</t>
  </si>
  <si>
    <t>SW22-275</t>
  </si>
  <si>
    <t>SW22-276</t>
  </si>
  <si>
    <t>Residences on First Phase III</t>
  </si>
  <si>
    <t>SW22-277</t>
  </si>
  <si>
    <t>SW22-278</t>
  </si>
  <si>
    <t>Alhambra</t>
  </si>
  <si>
    <t>SW22-279</t>
  </si>
  <si>
    <t>Paisano Project</t>
  </si>
  <si>
    <t>SW22-280</t>
  </si>
  <si>
    <t>NCY - Scottsdale Parking Garage and Solar</t>
  </si>
  <si>
    <t>SW22-281</t>
  </si>
  <si>
    <t>TESD AZ Desert Elementary</t>
  </si>
  <si>
    <t>SW22-282</t>
  </si>
  <si>
    <t>Mission Park</t>
  </si>
  <si>
    <t>SW22-283</t>
  </si>
  <si>
    <t>SW22-284</t>
  </si>
  <si>
    <t>Popeyes #685 Tucson</t>
  </si>
  <si>
    <t>SW22-285</t>
  </si>
  <si>
    <t>Scottsdale Parking Garage and Solar</t>
  </si>
  <si>
    <t>SW22-286</t>
  </si>
  <si>
    <t>Kroger Tolleson Expansion</t>
  </si>
  <si>
    <t>SW22-287</t>
  </si>
  <si>
    <t>SW22-288</t>
  </si>
  <si>
    <t>Dobbins &amp; 59th Ave</t>
  </si>
  <si>
    <t>SW22-289</t>
  </si>
  <si>
    <t>Duncan Donuts- 2033 E Southern, Mesa</t>
  </si>
  <si>
    <t>SW22-290</t>
  </si>
  <si>
    <t>Met202</t>
  </si>
  <si>
    <t>SW22-291</t>
  </si>
  <si>
    <t>First Step Demolition</t>
  </si>
  <si>
    <t>3233 W Peoria</t>
  </si>
  <si>
    <t>SW22-292</t>
  </si>
  <si>
    <t>QTS DC2 &amp; DC3</t>
  </si>
  <si>
    <t>SW22-293</t>
  </si>
  <si>
    <t>SW22-294</t>
  </si>
  <si>
    <t>Tucson Landing Apartments</t>
  </si>
  <si>
    <t>SW22-295</t>
  </si>
  <si>
    <t>Streamliner 67th</t>
  </si>
  <si>
    <t>SW22-296</t>
  </si>
  <si>
    <t>SW22-297</t>
  </si>
  <si>
    <t>Arcadia 24</t>
  </si>
  <si>
    <t>SW22-298</t>
  </si>
  <si>
    <t>SW22-299</t>
  </si>
  <si>
    <t>SW22-300</t>
  </si>
  <si>
    <t>TSG Constructors</t>
  </si>
  <si>
    <t>Wickenburg Truck Barn</t>
  </si>
  <si>
    <t>SW22-301</t>
  </si>
  <si>
    <t>CR Commercial</t>
  </si>
  <si>
    <t>Hardy World Surprise</t>
  </si>
  <si>
    <t>SW22-302</t>
  </si>
  <si>
    <t>Zanjero III</t>
  </si>
  <si>
    <t>SW22-303</t>
  </si>
  <si>
    <t>Cubes at Glendale Bldg B</t>
  </si>
  <si>
    <t>SW22-304</t>
  </si>
  <si>
    <t>Magnum Paving</t>
  </si>
  <si>
    <t>SW22-305</t>
  </si>
  <si>
    <t>Jet Aviation Hanger 2</t>
  </si>
  <si>
    <t>SW22-306</t>
  </si>
  <si>
    <t>LIV Union Peak</t>
  </si>
  <si>
    <t>TF22-307</t>
  </si>
  <si>
    <t>SW22-308</t>
  </si>
  <si>
    <t>Chipotle- 9529 E Ray Rd</t>
  </si>
  <si>
    <t>SW22-309</t>
  </si>
  <si>
    <t>1626 E Palm Lane</t>
  </si>
  <si>
    <t>SW22-310</t>
  </si>
  <si>
    <t>Arco/Murray</t>
  </si>
  <si>
    <t>SW22-311</t>
  </si>
  <si>
    <t>Kentwood 10 Offsites</t>
  </si>
  <si>
    <t>SW22-312</t>
  </si>
  <si>
    <t>Madewell Construction</t>
  </si>
  <si>
    <t>SW22-313</t>
  </si>
  <si>
    <t>6K Companies</t>
  </si>
  <si>
    <t>Elisio Brinker Warehouse</t>
  </si>
  <si>
    <t>SW22-314</t>
  </si>
  <si>
    <t>Alston Construction</t>
  </si>
  <si>
    <t>AZ Ave Logistics- Go Industrial</t>
  </si>
  <si>
    <t>SW22-315</t>
  </si>
  <si>
    <t>APS</t>
  </si>
  <si>
    <t>Lewis Prison</t>
  </si>
  <si>
    <t>SW22-316</t>
  </si>
  <si>
    <t>Brydant</t>
  </si>
  <si>
    <t>SW22-317</t>
  </si>
  <si>
    <t xml:space="preserve">D&amp;O </t>
  </si>
  <si>
    <t>SW22-318</t>
  </si>
  <si>
    <t>Prasada- Waddell</t>
  </si>
  <si>
    <t>SW22-319</t>
  </si>
  <si>
    <t>Sterling Groves- Peoria</t>
  </si>
  <si>
    <t>SW22-320</t>
  </si>
  <si>
    <t>Ridgehouse at Glendale</t>
  </si>
  <si>
    <t>SW22-321</t>
  </si>
  <si>
    <t>TSR West Pool</t>
  </si>
  <si>
    <t>SW22-322</t>
  </si>
  <si>
    <t>Scooters Coffee- 10707 W Camelback</t>
  </si>
  <si>
    <t>SW22-323</t>
  </si>
  <si>
    <t>Chandler Water</t>
  </si>
  <si>
    <t>SW22-324</t>
  </si>
  <si>
    <t>Blue @ East Line Village</t>
  </si>
  <si>
    <t>SW22-325</t>
  </si>
  <si>
    <t>TSR Ph.1</t>
  </si>
  <si>
    <t>SW22-326</t>
  </si>
  <si>
    <t>Salad &amp; Go- Surprise</t>
  </si>
  <si>
    <t>SW22-327</t>
  </si>
  <si>
    <t>Sigma Contracting</t>
  </si>
  <si>
    <t>Lifted Trucks Ph.2 Tucson</t>
  </si>
  <si>
    <t>SW22-328</t>
  </si>
  <si>
    <t>7725 W Lower Buckey Rd</t>
  </si>
  <si>
    <t>SW22-329</t>
  </si>
  <si>
    <t>Schofield Civil</t>
  </si>
  <si>
    <t>Dick McComb Pump Station</t>
  </si>
  <si>
    <t>SW22-330</t>
  </si>
  <si>
    <t>Merkin Vinyards</t>
  </si>
  <si>
    <t>SW22-331</t>
  </si>
  <si>
    <t>6001 E Inyx, PV</t>
  </si>
  <si>
    <t>SW22-332</t>
  </si>
  <si>
    <t>SW22-333</t>
  </si>
  <si>
    <t>Town Deer Valley</t>
  </si>
  <si>
    <t>SW22-334</t>
  </si>
  <si>
    <t>Alta Elliot- Gilbert</t>
  </si>
  <si>
    <t>SW22-335</t>
  </si>
  <si>
    <t>Buckeye Industrial Boring Project</t>
  </si>
  <si>
    <t>SW22-336</t>
  </si>
  <si>
    <t>SW22-337</t>
  </si>
  <si>
    <t>GRIC &amp; PDCOT</t>
  </si>
  <si>
    <t>SW22-338</t>
  </si>
  <si>
    <t>Patterson Enterprises</t>
  </si>
  <si>
    <t>Ellsworth Sentry Storage</t>
  </si>
  <si>
    <t>SW22-339</t>
  </si>
  <si>
    <t>Overland Construction</t>
  </si>
  <si>
    <t>SW22-340</t>
  </si>
  <si>
    <t>AMEX TRCN Parking Garage</t>
  </si>
  <si>
    <t>SW22-341</t>
  </si>
  <si>
    <t>Willis Commons</t>
  </si>
  <si>
    <t>SW22-342</t>
  </si>
  <si>
    <t>CofG- Fire Station #188</t>
  </si>
  <si>
    <t>TF22-343</t>
  </si>
  <si>
    <t>SW22-344</t>
  </si>
  <si>
    <t>ASU Alumni Lawn</t>
  </si>
  <si>
    <t>SW22-345</t>
  </si>
  <si>
    <t>Site F Development</t>
  </si>
  <si>
    <t>SW22-346</t>
  </si>
  <si>
    <t>Haven at Apache</t>
  </si>
  <si>
    <t>SW22-347</t>
  </si>
  <si>
    <t>The S.J. Anderson</t>
  </si>
  <si>
    <t>AZ Dept. of Corrections</t>
  </si>
  <si>
    <t>SW22-348</t>
  </si>
  <si>
    <t>AZ, Buckeye, Yuma Rd</t>
  </si>
  <si>
    <t>SW22-349</t>
  </si>
  <si>
    <t>Trails at Tortosa</t>
  </si>
  <si>
    <t>SW22-350</t>
  </si>
  <si>
    <t>Costco Buckeye</t>
  </si>
  <si>
    <t>SW22-351</t>
  </si>
  <si>
    <t>SW22-352</t>
  </si>
  <si>
    <t>First &amp; Farmer</t>
  </si>
  <si>
    <t>SW22-353</t>
  </si>
  <si>
    <t>TSMC Supplier site "A"</t>
  </si>
  <si>
    <t>SW22-354</t>
  </si>
  <si>
    <t>Higley High School Addition</t>
  </si>
  <si>
    <t>TF22-355</t>
  </si>
  <si>
    <t>SW22-356</t>
  </si>
  <si>
    <t>41 North Contractors, LLC</t>
  </si>
  <si>
    <t>White Castle- Tempe</t>
  </si>
  <si>
    <t>SW22-357</t>
  </si>
  <si>
    <t>Quiktrip #1480- Tucson</t>
  </si>
  <si>
    <t>SW22-358</t>
  </si>
  <si>
    <t xml:space="preserve">MT2 </t>
  </si>
  <si>
    <t>SALETC Range- Tucson</t>
  </si>
  <si>
    <t>SW22-359</t>
  </si>
  <si>
    <t>Diamond West Construction</t>
  </si>
  <si>
    <t>Adventist North- Chandler</t>
  </si>
  <si>
    <t>SW22-360</t>
  </si>
  <si>
    <t>SW22-361</t>
  </si>
  <si>
    <t>Paloma Vista Logistics</t>
  </si>
  <si>
    <t>SW22-362</t>
  </si>
  <si>
    <t>Hillside Residence</t>
  </si>
  <si>
    <t>SW22-363</t>
  </si>
  <si>
    <t>Regal Homes</t>
  </si>
  <si>
    <t>89th St &amp; Palm Lane</t>
  </si>
  <si>
    <t>SW22-364</t>
  </si>
  <si>
    <t>SW22-365</t>
  </si>
  <si>
    <t>Sage LLC</t>
  </si>
  <si>
    <t>USFS Lands Along the Gila River</t>
  </si>
  <si>
    <t>SW22-366</t>
  </si>
  <si>
    <t>Gateway Commerce Park</t>
  </si>
  <si>
    <t>SW22-367</t>
  </si>
  <si>
    <t>Boyd Development</t>
  </si>
  <si>
    <t>Goodyear Storage</t>
  </si>
  <si>
    <t>SW22-368</t>
  </si>
  <si>
    <t>Ocotillo Rd Improvements</t>
  </si>
  <si>
    <t>SW22-369</t>
  </si>
  <si>
    <t>Bell Bank</t>
  </si>
  <si>
    <t>SW22-370</t>
  </si>
  <si>
    <t>Novus Parcel 3G</t>
  </si>
  <si>
    <t>SW22-371</t>
  </si>
  <si>
    <t>Vellagio Homes</t>
  </si>
  <si>
    <t>4201 N 57th</t>
  </si>
  <si>
    <t>SW22-372</t>
  </si>
  <si>
    <t>Summit Business Park</t>
  </si>
  <si>
    <t>SW22-373</t>
  </si>
  <si>
    <t>SRPMIC- ECEC</t>
  </si>
  <si>
    <t>SW22-374</t>
  </si>
  <si>
    <t>Acadia Healthcare Mesa</t>
  </si>
  <si>
    <t>SW22-375</t>
  </si>
  <si>
    <t>SW22-376</t>
  </si>
  <si>
    <t>Roadrunner Paving</t>
  </si>
  <si>
    <t>FY 2022 Pavement Maintenance</t>
  </si>
  <si>
    <t>SW22-377</t>
  </si>
  <si>
    <t>One at Mountain Vista</t>
  </si>
  <si>
    <t>SW22-378</t>
  </si>
  <si>
    <t>Waltz</t>
  </si>
  <si>
    <t>Rancho Salano</t>
  </si>
  <si>
    <t>SW22-379</t>
  </si>
  <si>
    <t>7180 E Kierland</t>
  </si>
  <si>
    <t>SW22-380</t>
  </si>
  <si>
    <t>SW22-381</t>
  </si>
  <si>
    <t>SW22-382</t>
  </si>
  <si>
    <t>NTT Ph2 and PH3</t>
  </si>
  <si>
    <t>SW22-383</t>
  </si>
  <si>
    <t>Klassen</t>
  </si>
  <si>
    <t>Springhill Suites- Surprise</t>
  </si>
  <si>
    <t>TF22-384</t>
  </si>
  <si>
    <t>SW22-385</t>
  </si>
  <si>
    <t>SW22-386</t>
  </si>
  <si>
    <t>West Park Parcel 14</t>
  </si>
  <si>
    <t>SW22-387</t>
  </si>
  <si>
    <t>Lot 63- 9015 E Los Gatos</t>
  </si>
  <si>
    <t>SW22-388</t>
  </si>
  <si>
    <t>Green Valley Fire Station #152</t>
  </si>
  <si>
    <t>SW22-389</t>
  </si>
  <si>
    <t>1045 E Curry Street</t>
  </si>
  <si>
    <t>SW22-390</t>
  </si>
  <si>
    <t>32nd &amp; Southern</t>
  </si>
  <si>
    <t>SW22-391</t>
  </si>
  <si>
    <t>Peoria Site Clean-up</t>
  </si>
  <si>
    <t>SW22-392</t>
  </si>
  <si>
    <t>SW22-393</t>
  </si>
  <si>
    <t>Dooleymack</t>
  </si>
  <si>
    <t>FritoLay- Casa Grande</t>
  </si>
  <si>
    <t>SW22-394</t>
  </si>
  <si>
    <t>Rinchem Surprise</t>
  </si>
  <si>
    <t>SW22-395</t>
  </si>
  <si>
    <t>Camelback Residential</t>
  </si>
  <si>
    <t>SW22-396</t>
  </si>
  <si>
    <t>SW22-397</t>
  </si>
  <si>
    <t>2683 E Vaughn Ave</t>
  </si>
  <si>
    <t>SW22-398</t>
  </si>
  <si>
    <t>Harkins on Bell</t>
  </si>
  <si>
    <t>SW22-399</t>
  </si>
  <si>
    <t>Void</t>
  </si>
  <si>
    <t>SW22-400</t>
  </si>
  <si>
    <t>Mission Realty</t>
  </si>
  <si>
    <t>4117 E Keim Dr</t>
  </si>
  <si>
    <t>SW22-401</t>
  </si>
  <si>
    <t>SW22-402</t>
  </si>
  <si>
    <t xml:space="preserve">SD Crane </t>
  </si>
  <si>
    <t>DOC GMP 1 Florence</t>
  </si>
  <si>
    <t>SW23-01</t>
  </si>
  <si>
    <t>Converge Industrial</t>
  </si>
  <si>
    <t>SW23-02</t>
  </si>
  <si>
    <t>Sub 4 Development</t>
  </si>
  <si>
    <t>Solace at Casa Grande</t>
  </si>
  <si>
    <t>SW23-03</t>
  </si>
  <si>
    <t>118 E Loma Ln</t>
  </si>
  <si>
    <t>SW23-04</t>
  </si>
  <si>
    <t>Dove Ranch Offsite</t>
  </si>
  <si>
    <t>SW23-05</t>
  </si>
  <si>
    <t>Ashton Woods</t>
  </si>
  <si>
    <t>Bella Vista</t>
  </si>
  <si>
    <t>SW23-06</t>
  </si>
  <si>
    <t>Maricopa Lakes</t>
  </si>
  <si>
    <t>SW23-07</t>
  </si>
  <si>
    <t>SW23-08</t>
  </si>
  <si>
    <t>Blattner Energy</t>
  </si>
  <si>
    <t>Eleven Mile Solar</t>
  </si>
  <si>
    <t>SW23-09</t>
  </si>
  <si>
    <t>KP3 Hospital</t>
  </si>
  <si>
    <t>SW23-10</t>
  </si>
  <si>
    <t>PUHSD- District Support</t>
  </si>
  <si>
    <t>SW23-11</t>
  </si>
  <si>
    <t>Papago Arroyo Complex</t>
  </si>
  <si>
    <t>SW23-12</t>
  </si>
  <si>
    <t>Gaslight Sewer &amp; Water</t>
  </si>
  <si>
    <t>SW23-13</t>
  </si>
  <si>
    <t>12000 N El Mirage Rd</t>
  </si>
  <si>
    <t>SW23-14</t>
  </si>
  <si>
    <t>SW23-15</t>
  </si>
  <si>
    <t>Sunland On Ocotillo</t>
  </si>
  <si>
    <t>TF23-16</t>
  </si>
  <si>
    <t>SW23-17</t>
  </si>
  <si>
    <t>Freddy's at Canyon Trails</t>
  </si>
  <si>
    <t>SW23-18</t>
  </si>
  <si>
    <t>19555 N 95th Ave</t>
  </si>
  <si>
    <t>SW23-19</t>
  </si>
  <si>
    <t>Glen Branham</t>
  </si>
  <si>
    <t>Wedding Venue</t>
  </si>
  <si>
    <t>SW23-20</t>
  </si>
  <si>
    <t>SW23-21</t>
  </si>
  <si>
    <t>SW23-22</t>
  </si>
  <si>
    <t>Nestle ASRS</t>
  </si>
  <si>
    <t>SW23-23</t>
  </si>
  <si>
    <t>Sundance Park Ph.2</t>
  </si>
  <si>
    <t>SW23-24</t>
  </si>
  <si>
    <t>South Pier Lot 6</t>
  </si>
  <si>
    <t>SW23-25</t>
  </si>
  <si>
    <t>SW23-26</t>
  </si>
  <si>
    <t>Bungalows on Ash Gilbert</t>
  </si>
  <si>
    <t>SW23-27</t>
  </si>
  <si>
    <t>Dunkin- 5245 S Arizona Ave</t>
  </si>
  <si>
    <t>SW23-28</t>
  </si>
  <si>
    <t>Project Pipe Dream</t>
  </si>
  <si>
    <t>SW23-29</t>
  </si>
  <si>
    <t>Village at Liberty Farms</t>
  </si>
  <si>
    <t>TF23-30</t>
  </si>
  <si>
    <t>SW23-31</t>
  </si>
  <si>
    <t>Bautista Apartments</t>
  </si>
  <si>
    <t>SW23-32</t>
  </si>
  <si>
    <t>Zupas- 3233 W Peoria Ave</t>
  </si>
  <si>
    <t>SW23-33</t>
  </si>
  <si>
    <t>Copper Ridge</t>
  </si>
  <si>
    <t>SW23-34</t>
  </si>
  <si>
    <t>SW23-35</t>
  </si>
  <si>
    <t>Cabana Vila Cielo Cortaro</t>
  </si>
  <si>
    <t>SW23-36</t>
  </si>
  <si>
    <t>5314 N 7th Street</t>
  </si>
  <si>
    <t>SW23-37</t>
  </si>
  <si>
    <t>1341 W Pepper Place</t>
  </si>
  <si>
    <t>SW23-38</t>
  </si>
  <si>
    <t>SW23-39</t>
  </si>
  <si>
    <t>Elliot Mesa Commerce Center</t>
  </si>
  <si>
    <t>SW23-40</t>
  </si>
  <si>
    <t>Streamliner 16th</t>
  </si>
  <si>
    <t>SW23-41</t>
  </si>
  <si>
    <t>Wilson-Rodriguez</t>
  </si>
  <si>
    <t>SW23-42</t>
  </si>
  <si>
    <t>SW23-43</t>
  </si>
  <si>
    <t>Westpark Parcel 13</t>
  </si>
  <si>
    <t>SW23-44</t>
  </si>
  <si>
    <t>Phoenix Navigation Center</t>
  </si>
  <si>
    <t>SW23-45</t>
  </si>
  <si>
    <t>Pascua Yaqui Health Center</t>
  </si>
  <si>
    <t>SW23-46</t>
  </si>
  <si>
    <t>Commonwealth Construction</t>
  </si>
  <si>
    <t>The Cove Apartments</t>
  </si>
  <si>
    <t>SW23-47</t>
  </si>
  <si>
    <t>CTI Construction</t>
  </si>
  <si>
    <t>Fort Huachuca</t>
  </si>
  <si>
    <t>SW23-48</t>
  </si>
  <si>
    <t>Westpark Parcel 20S</t>
  </si>
  <si>
    <t>SW23-49</t>
  </si>
  <si>
    <t>Earnhardt San Tan Hyundai</t>
  </si>
  <si>
    <t>SW23-50</t>
  </si>
  <si>
    <t>Abbot Nutrition Casa Grande</t>
  </si>
  <si>
    <t>SW23-51</t>
  </si>
  <si>
    <t xml:space="preserve">VKW </t>
  </si>
  <si>
    <t>SW23-52</t>
  </si>
  <si>
    <t>Utility Trailer Sales- Tolleson</t>
  </si>
  <si>
    <t>SW23-53</t>
  </si>
  <si>
    <t>SW23-54</t>
  </si>
  <si>
    <t>Southern Arizona Paving</t>
  </si>
  <si>
    <t>Houghton Rd</t>
  </si>
  <si>
    <t>SW23-55</t>
  </si>
  <si>
    <t>Arco National Construction</t>
  </si>
  <si>
    <t>Sossaman Business Campus</t>
  </si>
  <si>
    <t>SW23-56</t>
  </si>
  <si>
    <t>SW23-57</t>
  </si>
  <si>
    <t>Desertbuild Companies</t>
  </si>
  <si>
    <t>Dutch Bros. 16760 E Palisades</t>
  </si>
  <si>
    <t>SW23-58</t>
  </si>
  <si>
    <t>Venture Construction Co</t>
  </si>
  <si>
    <t>Chilli's, Mesa #7435</t>
  </si>
  <si>
    <t>SW23-59</t>
  </si>
  <si>
    <t>SW23-60</t>
  </si>
  <si>
    <t>Tanger Outlets at Westgate</t>
  </si>
  <si>
    <t>SW23-61</t>
  </si>
  <si>
    <t>Arizona Corrugated Containers</t>
  </si>
  <si>
    <t>SW23-62</t>
  </si>
  <si>
    <t>Elwood Logistics Center</t>
  </si>
  <si>
    <t>SW23-63</t>
  </si>
  <si>
    <t>PHX02290- 20th Alameda</t>
  </si>
  <si>
    <t>SW23-64</t>
  </si>
  <si>
    <t>9940 W Happy Valley Rd</t>
  </si>
  <si>
    <t>SW23-65</t>
  </si>
  <si>
    <t>AKDHC- Biltmore</t>
  </si>
  <si>
    <t>SW23-66</t>
  </si>
  <si>
    <t>Desert Foothilss YMCA</t>
  </si>
  <si>
    <t>SW23-67</t>
  </si>
  <si>
    <t>Chili's- 5016 S Power Rd</t>
  </si>
  <si>
    <t>SW23-68</t>
  </si>
  <si>
    <t>SW23-69</t>
  </si>
  <si>
    <t>Colorcor Painting</t>
  </si>
  <si>
    <t>1495 N Ethington Rd</t>
  </si>
  <si>
    <t>SW23-70</t>
  </si>
  <si>
    <t>17171 W Yuma Rd</t>
  </si>
  <si>
    <t>SW23-71</t>
  </si>
  <si>
    <t>2120 E Ray Rd</t>
  </si>
  <si>
    <t>SW23-72</t>
  </si>
  <si>
    <t>SW23-73</t>
  </si>
  <si>
    <t>Banyan North Tempe</t>
  </si>
  <si>
    <t>SW23-74</t>
  </si>
  <si>
    <t>SW23-75</t>
  </si>
  <si>
    <t>SW23-76</t>
  </si>
  <si>
    <t>Queen Creek Veterinary</t>
  </si>
  <si>
    <t>SW23-77</t>
  </si>
  <si>
    <t>CFC 6 Patio Remodel (2625 W Geronimo)</t>
  </si>
  <si>
    <t>SW23-78</t>
  </si>
  <si>
    <t>Cobblestone- 16625 W Waddell Rd</t>
  </si>
  <si>
    <t>SW23-79</t>
  </si>
  <si>
    <t>Richard Group</t>
  </si>
  <si>
    <t>47th Fighter Squadron Bldg 5247</t>
  </si>
  <si>
    <t>SW23-80</t>
  </si>
  <si>
    <t>Avilla Vista Norte</t>
  </si>
  <si>
    <t>SW23-81</t>
  </si>
  <si>
    <t>Drive Development Partners</t>
  </si>
  <si>
    <t>SW23-82</t>
  </si>
  <si>
    <t>SW23-83</t>
  </si>
  <si>
    <t>2820 W Coulter St</t>
  </si>
  <si>
    <t>SW23-84</t>
  </si>
  <si>
    <t>Kentwood Casa Grande</t>
  </si>
  <si>
    <t>SW23-85</t>
  </si>
  <si>
    <t>Goodyear Batch Plant</t>
  </si>
  <si>
    <t>SW23-86</t>
  </si>
  <si>
    <t>Electric Pickle- Tempe</t>
  </si>
  <si>
    <t>SW23-87</t>
  </si>
  <si>
    <t xml:space="preserve">ASU Apache Blvd </t>
  </si>
  <si>
    <t>SW23-88</t>
  </si>
  <si>
    <t>Dutch Bros- SWC of N 83rd Ave &amp; N Lynwood</t>
  </si>
  <si>
    <t>SW23-89</t>
  </si>
  <si>
    <t>2815 E Indian School Rd</t>
  </si>
  <si>
    <t>SW23-90</t>
  </si>
  <si>
    <t>Reigel</t>
  </si>
  <si>
    <t>just picked up sock from yard</t>
  </si>
  <si>
    <t>SW23-91</t>
  </si>
  <si>
    <t>David</t>
  </si>
  <si>
    <t>picked up sock from yard</t>
  </si>
  <si>
    <t>SW23-92</t>
  </si>
  <si>
    <t>CoS Fire Dept. TF 1501 E Curry Rd</t>
  </si>
  <si>
    <t>SW23-93</t>
  </si>
  <si>
    <t>Aura Apache</t>
  </si>
  <si>
    <t>SW23-94</t>
  </si>
  <si>
    <t>MCO Parks JOC LP Discovery Center</t>
  </si>
  <si>
    <t>SW23-95</t>
  </si>
  <si>
    <t>Compton</t>
  </si>
  <si>
    <t>SW23-96</t>
  </si>
  <si>
    <t>EVR Porter</t>
  </si>
  <si>
    <t>SW23-97</t>
  </si>
  <si>
    <t>Mercy Center Ph.1</t>
  </si>
  <si>
    <t>SW23-98</t>
  </si>
  <si>
    <t>Academy of Math and Science Peoria</t>
  </si>
  <si>
    <t>SW23-99</t>
  </si>
  <si>
    <t>Kyrene Del Cielo</t>
  </si>
  <si>
    <t>SW23-100</t>
  </si>
  <si>
    <t>Cotton Lane Commerce Park</t>
  </si>
  <si>
    <t>SW23-101</t>
  </si>
  <si>
    <t>SW23-102</t>
  </si>
  <si>
    <t>Far West Casino</t>
  </si>
  <si>
    <t>SW23-103</t>
  </si>
  <si>
    <t>Cap Rock</t>
  </si>
  <si>
    <t>SW23-104</t>
  </si>
  <si>
    <t>109 Roosevelt</t>
  </si>
  <si>
    <t>SW23-105</t>
  </si>
  <si>
    <t>Mcshane</t>
  </si>
  <si>
    <t>Town Chandler Apartments</t>
  </si>
  <si>
    <t>SW23-106</t>
  </si>
  <si>
    <t>U-Haul Adobe</t>
  </si>
  <si>
    <t>SW23-107</t>
  </si>
  <si>
    <t>Marana Veterans</t>
  </si>
  <si>
    <t>SW23-108</t>
  </si>
  <si>
    <t>ASU MSB Lot 47</t>
  </si>
  <si>
    <t>SW23-109</t>
  </si>
  <si>
    <t>Adobe Self Storage- Pinnacle Peak</t>
  </si>
  <si>
    <t>SW23-110</t>
  </si>
  <si>
    <t>SW23-111</t>
  </si>
  <si>
    <t>PMGAA Rental Car Care Facility</t>
  </si>
  <si>
    <t>SW23-112</t>
  </si>
  <si>
    <t>Eastmark High</t>
  </si>
  <si>
    <t>SW23-113</t>
  </si>
  <si>
    <t>1st &amp; Farmer</t>
  </si>
  <si>
    <t>302 W 1st St.</t>
  </si>
  <si>
    <t>SW23-114</t>
  </si>
  <si>
    <t>MDC Equipment Laydown yard</t>
  </si>
  <si>
    <t>SW23-115</t>
  </si>
  <si>
    <t>SW23-116</t>
  </si>
  <si>
    <t>COP Homeless Solutions</t>
  </si>
  <si>
    <t>SW23-117</t>
  </si>
  <si>
    <t>PHX86 Data Center</t>
  </si>
  <si>
    <t>SW23-118</t>
  </si>
  <si>
    <t>Spinoff Construction</t>
  </si>
  <si>
    <t>Take 5 #655</t>
  </si>
  <si>
    <t>SW23-119</t>
  </si>
  <si>
    <t>#22 RO2- Acent at Amenity</t>
  </si>
  <si>
    <t>SW23-120</t>
  </si>
  <si>
    <t>#21 R02- Hillside Residence</t>
  </si>
  <si>
    <t>SW23-121</t>
  </si>
  <si>
    <t>881- Mesa Gateway 202-Offsite</t>
  </si>
  <si>
    <t>SW23-122</t>
  </si>
  <si>
    <t xml:space="preserve">Pro Steel </t>
  </si>
  <si>
    <t>Tabarka</t>
  </si>
  <si>
    <t>SW23-123</t>
  </si>
  <si>
    <t>SW23-124</t>
  </si>
  <si>
    <t>Silver Valley Elementary</t>
  </si>
  <si>
    <t>SW23-125</t>
  </si>
  <si>
    <t>ST. Vincent De Paul- Oz Manor II</t>
  </si>
  <si>
    <t>SW23-126</t>
  </si>
  <si>
    <t>SW23-127</t>
  </si>
  <si>
    <t>SW23-128</t>
  </si>
  <si>
    <t>Bates, Ken</t>
  </si>
  <si>
    <t>300 E McLellan Blvd</t>
  </si>
  <si>
    <t>SW23-129</t>
  </si>
  <si>
    <t>LB West Construction</t>
  </si>
  <si>
    <t>Eagle Ridge Apartments</t>
  </si>
  <si>
    <t>SW23-130</t>
  </si>
  <si>
    <t>SW23-131</t>
  </si>
  <si>
    <t>SW23-132</t>
  </si>
  <si>
    <t>AKDHC- Buckeye</t>
  </si>
  <si>
    <t>SW23-133</t>
  </si>
  <si>
    <t>Surprise Pointe 34 Shell Build</t>
  </si>
  <si>
    <t>SW23-134</t>
  </si>
  <si>
    <t>CoM NE Public Safety Facility</t>
  </si>
  <si>
    <t>SW23-135</t>
  </si>
  <si>
    <t>SW23-136</t>
  </si>
  <si>
    <t>SW23-137</t>
  </si>
  <si>
    <t>LEFC Corp</t>
  </si>
  <si>
    <t>Angies Lobster Chandler</t>
  </si>
  <si>
    <t>SW23-138</t>
  </si>
  <si>
    <t>Metro Papago Site</t>
  </si>
  <si>
    <t>TF23-139</t>
  </si>
  <si>
    <t>SW23-140</t>
  </si>
  <si>
    <t>Starbucks- 550 E Willetta</t>
  </si>
  <si>
    <t>SW23-141</t>
  </si>
  <si>
    <t>8261 E Windrose Drive Scottsdale</t>
  </si>
  <si>
    <t>SW23-142</t>
  </si>
  <si>
    <t>CCV- Queen Creek Campus</t>
  </si>
  <si>
    <t>SW23-143</t>
  </si>
  <si>
    <t>Woodsprings Willis Rd</t>
  </si>
  <si>
    <t>SW23-144</t>
  </si>
  <si>
    <t>SW23-145</t>
  </si>
  <si>
    <t>SW23-146</t>
  </si>
  <si>
    <t>Verizon-114th St. Scottsdale</t>
  </si>
  <si>
    <t>SW23-147</t>
  </si>
  <si>
    <t>Hanna Design Group</t>
  </si>
  <si>
    <t>Autozone- 4723 E Bell Rd</t>
  </si>
  <si>
    <t>SW23-148</t>
  </si>
  <si>
    <t>Vinyltech Expansion</t>
  </si>
  <si>
    <t>SW23-149</t>
  </si>
  <si>
    <t>36692 S Rocky Mtn Trail</t>
  </si>
  <si>
    <t>TF23-150</t>
  </si>
  <si>
    <t>SW23-151</t>
  </si>
  <si>
    <t>13980 W Avalon Dr. Goodyear</t>
  </si>
  <si>
    <t>SW23-152</t>
  </si>
  <si>
    <t>SW23-153</t>
  </si>
  <si>
    <t>Southpoint</t>
  </si>
  <si>
    <t>SW23-154</t>
  </si>
  <si>
    <t>13300 N 30th St</t>
  </si>
  <si>
    <t>SW23-155</t>
  </si>
  <si>
    <t>303 Logistics Ph.2</t>
  </si>
  <si>
    <t>SW23-156</t>
  </si>
  <si>
    <t>SW23-157</t>
  </si>
  <si>
    <t>Bosa Doughnuts</t>
  </si>
  <si>
    <t>SW23-158</t>
  </si>
  <si>
    <t>SW23-159</t>
  </si>
  <si>
    <t>TVAC</t>
  </si>
  <si>
    <t>SW23-160</t>
  </si>
  <si>
    <t>Mountainside HS- Nadaburg USD #81</t>
  </si>
  <si>
    <t>SW23-161</t>
  </si>
  <si>
    <t>SW23-162</t>
  </si>
  <si>
    <t>HonorHealth Shea Tower F</t>
  </si>
  <si>
    <t>SW23-163</t>
  </si>
  <si>
    <t>Washington Elementary 4602 W Sweetwater</t>
  </si>
  <si>
    <t>SW23-164</t>
  </si>
  <si>
    <t>SW23-165</t>
  </si>
  <si>
    <t>One Scottsdale MOB</t>
  </si>
  <si>
    <t>SW23-166</t>
  </si>
  <si>
    <t>McDonald Bros</t>
  </si>
  <si>
    <t>High View at Boulder Creek</t>
  </si>
  <si>
    <t>SW23-167</t>
  </si>
  <si>
    <t>Copper Sunrise</t>
  </si>
  <si>
    <t>SW23-168</t>
  </si>
  <si>
    <t>SW23-169</t>
  </si>
  <si>
    <t>Sharp Elementary</t>
  </si>
  <si>
    <t>SW23-170</t>
  </si>
  <si>
    <t>EVIT Foster Building</t>
  </si>
  <si>
    <t>SW23-171</t>
  </si>
  <si>
    <t>Sterling Vista</t>
  </si>
  <si>
    <t>SW23-172</t>
  </si>
  <si>
    <t>Gallo Construction</t>
  </si>
  <si>
    <t>X-Factor Soccer Park</t>
  </si>
  <si>
    <t>SW23-173</t>
  </si>
  <si>
    <t>SW23-174</t>
  </si>
  <si>
    <t>Holy Cross Cemetary- Avondale</t>
  </si>
  <si>
    <t>SW23-175</t>
  </si>
  <si>
    <t>SW23-176</t>
  </si>
  <si>
    <t>Meritum Sonoran Desert</t>
  </si>
  <si>
    <t>SW23-177</t>
  </si>
  <si>
    <t>Cubes at Mesa Infrastructure</t>
  </si>
  <si>
    <t>SW23-178</t>
  </si>
  <si>
    <t>TF23-179</t>
  </si>
  <si>
    <t>SW23-180</t>
  </si>
  <si>
    <t xml:space="preserve">San Tan Valley   </t>
  </si>
  <si>
    <t>SW23-181</t>
  </si>
  <si>
    <t>Sunset Vista Estates</t>
  </si>
  <si>
    <t>SW23-182</t>
  </si>
  <si>
    <t>SW23-183</t>
  </si>
  <si>
    <t>Valleywise Mesa</t>
  </si>
  <si>
    <t>SW23-184</t>
  </si>
  <si>
    <t>SW23-185</t>
  </si>
  <si>
    <t>QCUSD- Crismon HS</t>
  </si>
  <si>
    <t>SW23-186</t>
  </si>
  <si>
    <t>SW23-187</t>
  </si>
  <si>
    <t>Gen2 Parking Garage</t>
  </si>
  <si>
    <t>SW23-188</t>
  </si>
  <si>
    <t>Kiser Elementary</t>
  </si>
  <si>
    <t>SW23-189</t>
  </si>
  <si>
    <t>1970 W Glendale Ave</t>
  </si>
  <si>
    <t>SW23-190</t>
  </si>
  <si>
    <t>8445 E Frank Lloyd Wright</t>
  </si>
  <si>
    <t>SW23-191</t>
  </si>
  <si>
    <t>SW23-192</t>
  </si>
  <si>
    <t>Tavan Elementary- Phoenix</t>
  </si>
  <si>
    <t>SW23-193</t>
  </si>
  <si>
    <t>SW23-194</t>
  </si>
  <si>
    <t>ProSteel</t>
  </si>
  <si>
    <t>Oxygo</t>
  </si>
  <si>
    <t>SW23-195</t>
  </si>
  <si>
    <t>SW23-196</t>
  </si>
  <si>
    <t>ADOT Regional Basin</t>
  </si>
  <si>
    <t>SW23-197</t>
  </si>
  <si>
    <t xml:space="preserve">Holder </t>
  </si>
  <si>
    <t>SW23-198</t>
  </si>
  <si>
    <t xml:space="preserve">Bjerk </t>
  </si>
  <si>
    <t>Chandler South Bldg</t>
  </si>
  <si>
    <t>SW23-199</t>
  </si>
  <si>
    <t>SW23-200</t>
  </si>
  <si>
    <t>WW Clyde</t>
  </si>
  <si>
    <t>Stream Data Center PHX2</t>
  </si>
  <si>
    <t>SW23-201</t>
  </si>
  <si>
    <t>SW23-202</t>
  </si>
  <si>
    <t>SW23-203</t>
  </si>
  <si>
    <t>SW23-204</t>
  </si>
  <si>
    <t>Arrowhead Meadows</t>
  </si>
  <si>
    <t>TF23-205</t>
  </si>
  <si>
    <t>SW23-206</t>
  </si>
  <si>
    <t>Brinkman</t>
  </si>
  <si>
    <t>LHM Genesis- Peoria</t>
  </si>
  <si>
    <t>SW23-207</t>
  </si>
  <si>
    <t>Quick Quack #63-069</t>
  </si>
  <si>
    <t>SW23-208</t>
  </si>
  <si>
    <t>PNG Builders</t>
  </si>
  <si>
    <t>AES Westwing</t>
  </si>
  <si>
    <t>SW23-209</t>
  </si>
  <si>
    <t>Casa Blanca Builders</t>
  </si>
  <si>
    <t>Mummy Mtn Park 11</t>
  </si>
  <si>
    <t>TF23-210</t>
  </si>
  <si>
    <t>SW23-211</t>
  </si>
  <si>
    <t>America's Truck &amp; RV Wash</t>
  </si>
  <si>
    <t>TF23-212</t>
  </si>
  <si>
    <t>Elwood Logistics- Parking Expansion</t>
  </si>
  <si>
    <t>SW23-213</t>
  </si>
  <si>
    <t>Estrella Springs @ Canyon Trails</t>
  </si>
  <si>
    <t>SW23-214</t>
  </si>
  <si>
    <t>SW23-215</t>
  </si>
  <si>
    <t>SW23-216</t>
  </si>
  <si>
    <t>Bronco Butte</t>
  </si>
  <si>
    <t>SW23-217</t>
  </si>
  <si>
    <t>Everhome Suites Glendale</t>
  </si>
  <si>
    <t>SW23-218</t>
  </si>
  <si>
    <t>Fountainhead Bldgs 1 &amp; 2</t>
  </si>
  <si>
    <t>SW23-219</t>
  </si>
  <si>
    <t>Lincoln South Bank Apartments</t>
  </si>
  <si>
    <t>SW23-220</t>
  </si>
  <si>
    <t>Bicentennial South Elementary</t>
  </si>
  <si>
    <t>SW23-221</t>
  </si>
  <si>
    <t>SW23-222</t>
  </si>
  <si>
    <t>Copperwing Batch Plant</t>
  </si>
  <si>
    <t>SW23-223</t>
  </si>
  <si>
    <t>Pecos Industrial Park</t>
  </si>
  <si>
    <t>SW23-224</t>
  </si>
  <si>
    <t>Cabana North Valley</t>
  </si>
  <si>
    <t>TF23-225</t>
  </si>
  <si>
    <t>SW23-226</t>
  </si>
  <si>
    <t>Germann Industrial Park</t>
  </si>
  <si>
    <t>SW23-227</t>
  </si>
  <si>
    <t>161 N Mesa Rd</t>
  </si>
  <si>
    <t>SW23-228</t>
  </si>
  <si>
    <t>Northwind Resource Consulting</t>
  </si>
  <si>
    <t>SW23-229</t>
  </si>
  <si>
    <t>22-250-AZ, Phoenix, Dove Valley Rd</t>
  </si>
  <si>
    <t>SW23-230</t>
  </si>
  <si>
    <t>Autozone Tolleson</t>
  </si>
  <si>
    <t>SW23-231</t>
  </si>
  <si>
    <t>AE PHX06 Ph1</t>
  </si>
  <si>
    <t>SW23-232</t>
  </si>
  <si>
    <t>Camelback Owners, LLC</t>
  </si>
  <si>
    <t>One East Camelback</t>
  </si>
  <si>
    <t>SW23-233</t>
  </si>
  <si>
    <t>Project Dynasty- Nestle Rail Spur</t>
  </si>
  <si>
    <t>WS23-234</t>
  </si>
  <si>
    <t>Garden at Desert Ridge- Water</t>
  </si>
  <si>
    <t>SW23-235</t>
  </si>
  <si>
    <t>Falcon Hanger G&amp;H</t>
  </si>
  <si>
    <t>SW23-236</t>
  </si>
  <si>
    <t>48th &amp; Washington</t>
  </si>
  <si>
    <t>SW23-237</t>
  </si>
  <si>
    <t>Sunset Point</t>
  </si>
  <si>
    <t>SW23-238</t>
  </si>
  <si>
    <t>SW23-239</t>
  </si>
  <si>
    <t>A&amp;C Renovations</t>
  </si>
  <si>
    <t>25350 N 90th</t>
  </si>
  <si>
    <t>SW23-240</t>
  </si>
  <si>
    <t>Modera Gilbert</t>
  </si>
  <si>
    <t>SW23-241</t>
  </si>
  <si>
    <t>R.E. Spurr</t>
  </si>
  <si>
    <t>4815 W Hunt Hwy</t>
  </si>
  <si>
    <t>SW23-242</t>
  </si>
  <si>
    <t>Cornerstone Church Bldg E</t>
  </si>
  <si>
    <t>SW23-243</t>
  </si>
  <si>
    <t>194th St &amp; Riggs</t>
  </si>
  <si>
    <t>SW23-244</t>
  </si>
  <si>
    <t>Makers Line</t>
  </si>
  <si>
    <t>SW23-245</t>
  </si>
  <si>
    <t>Alameda Industrial</t>
  </si>
  <si>
    <t>SW23-246</t>
  </si>
  <si>
    <t>QCUSD Eastmark HS</t>
  </si>
  <si>
    <t>SW23-247</t>
  </si>
  <si>
    <t>Aviata</t>
  </si>
  <si>
    <t>SW23-248</t>
  </si>
  <si>
    <t>South Pier Tempe</t>
  </si>
  <si>
    <t>SW23-249</t>
  </si>
  <si>
    <t>Elroy Ranch</t>
  </si>
  <si>
    <t>SW23-250</t>
  </si>
  <si>
    <t>883 S cotton Lane</t>
  </si>
  <si>
    <t>SW23-251</t>
  </si>
  <si>
    <t>SW23-252</t>
  </si>
  <si>
    <t xml:space="preserve">JLB </t>
  </si>
  <si>
    <t>SW23-253</t>
  </si>
  <si>
    <t>Surprise Point Industrial</t>
  </si>
  <si>
    <t>SW23-254</t>
  </si>
  <si>
    <t>Desert Botanical Gardens</t>
  </si>
  <si>
    <t>SW23-255</t>
  </si>
  <si>
    <t>MCO Parks Wild Burro Bed Rehab</t>
  </si>
  <si>
    <t>SW23-256</t>
  </si>
  <si>
    <t>SW23-257</t>
  </si>
  <si>
    <t>Costco Depot Expansion- Tolleson</t>
  </si>
  <si>
    <t>SW23-258</t>
  </si>
  <si>
    <t>Edge Construction</t>
  </si>
  <si>
    <t>ASU Child Bldg Demo</t>
  </si>
  <si>
    <t>SW23-259</t>
  </si>
  <si>
    <t>Garfield Housing II</t>
  </si>
  <si>
    <t>SW23-260</t>
  </si>
  <si>
    <t>Banner- Home away from home</t>
  </si>
  <si>
    <t>SW23-261</t>
  </si>
  <si>
    <t>Local Undergound Construction</t>
  </si>
  <si>
    <t>Water &amp; Sewer line improvements</t>
  </si>
  <si>
    <t>SW23-262</t>
  </si>
  <si>
    <t>Cobblestone- 6711 W McDowell</t>
  </si>
  <si>
    <t>SW23-263</t>
  </si>
  <si>
    <t>6726 E Shea Blvd</t>
  </si>
  <si>
    <t>SW23-264</t>
  </si>
  <si>
    <t>Surprise Community Pool</t>
  </si>
  <si>
    <t>SW23-265</t>
  </si>
  <si>
    <t>13404 N 30th Ave</t>
  </si>
  <si>
    <t>SW23-266</t>
  </si>
  <si>
    <t>SW23-267</t>
  </si>
  <si>
    <t>Estrella Pkwy &amp; Lower Buckeye Rd</t>
  </si>
  <si>
    <t>SW23-268</t>
  </si>
  <si>
    <t>SW23-269</t>
  </si>
  <si>
    <t>Yard pickup</t>
  </si>
  <si>
    <t>SW23-270</t>
  </si>
  <si>
    <t>SW23-271</t>
  </si>
  <si>
    <t>QT 1499 Tucson</t>
  </si>
  <si>
    <t>SW23-272</t>
  </si>
  <si>
    <t>Foothills Food Bank</t>
  </si>
  <si>
    <t>SW23-273</t>
  </si>
  <si>
    <t>Eastmark 50 Mesa</t>
  </si>
  <si>
    <t>SW23-274</t>
  </si>
  <si>
    <t>Aligned Data Center Chandler</t>
  </si>
  <si>
    <t>SW23-275</t>
  </si>
  <si>
    <t>McCarthy Temp Office</t>
  </si>
  <si>
    <t>SW23-276</t>
  </si>
  <si>
    <t>301 W Jefferson</t>
  </si>
  <si>
    <t>SW23-277</t>
  </si>
  <si>
    <t>Beckshar</t>
  </si>
  <si>
    <t>Legacy at Laveen</t>
  </si>
  <si>
    <t>SW23-278</t>
  </si>
  <si>
    <t>SW23-279</t>
  </si>
  <si>
    <t>Abernathey</t>
  </si>
  <si>
    <t>Self Storage- Goodyear</t>
  </si>
  <si>
    <t>SW23-280</t>
  </si>
  <si>
    <t>Gilbert Woodspring Suites</t>
  </si>
  <si>
    <t>SW23-281</t>
  </si>
  <si>
    <t>Peoria Place Lot 3</t>
  </si>
  <si>
    <t>SW23-282</t>
  </si>
  <si>
    <t>COT Fire Station #2</t>
  </si>
  <si>
    <t>SW23-283</t>
  </si>
  <si>
    <t>AutoZone #5841 Florence</t>
  </si>
  <si>
    <t>SW23-284</t>
  </si>
  <si>
    <t>Paradise Valley Mall</t>
  </si>
  <si>
    <t>SW23-285</t>
  </si>
  <si>
    <t>SW23-286</t>
  </si>
  <si>
    <t>SRPMIC Day School &amp; Repository</t>
  </si>
  <si>
    <t>SW23-287</t>
  </si>
  <si>
    <t>QCUSD- GPA</t>
  </si>
  <si>
    <t>SW23-288</t>
  </si>
  <si>
    <t>11 Residential</t>
  </si>
  <si>
    <t>SWC of E Coronado Rd &amp; 11th St</t>
  </si>
  <si>
    <t>TF23-289</t>
  </si>
  <si>
    <t>44th &amp;202</t>
  </si>
  <si>
    <t>SW23-290</t>
  </si>
  <si>
    <t>Novus Parcel 3D</t>
  </si>
  <si>
    <t>SW23-291</t>
  </si>
  <si>
    <t>SW23-292</t>
  </si>
  <si>
    <t>Atlas Mesa</t>
  </si>
  <si>
    <t>SW23-293</t>
  </si>
  <si>
    <t>Marana Aquatics</t>
  </si>
  <si>
    <t>SW23-294</t>
  </si>
  <si>
    <t>99th &amp; McDowell</t>
  </si>
  <si>
    <t>SW23-295</t>
  </si>
  <si>
    <t>SW23-296</t>
  </si>
  <si>
    <t>ID Electric</t>
  </si>
  <si>
    <t>1485 N Dysart Rd</t>
  </si>
  <si>
    <t>SW23-297</t>
  </si>
  <si>
    <t>US Bank- Higley Rd</t>
  </si>
  <si>
    <t>SW23-298</t>
  </si>
  <si>
    <t>7-Eleven Dysart &amp; Bell</t>
  </si>
  <si>
    <t>SW23-299</t>
  </si>
  <si>
    <t>PUHSD- Trevor G. Browne</t>
  </si>
  <si>
    <t>SW23-300</t>
  </si>
  <si>
    <t>Desert Cove Self Storage</t>
  </si>
  <si>
    <t>SW23-301</t>
  </si>
  <si>
    <t>Residences at Falcon Park</t>
  </si>
  <si>
    <t>SW23-302</t>
  </si>
  <si>
    <t>Gateway E RDWY Improvements</t>
  </si>
  <si>
    <t>SW23-303</t>
  </si>
  <si>
    <t>SW23-304</t>
  </si>
  <si>
    <t>Honor Health Stadium Park</t>
  </si>
  <si>
    <t>SW23-305</t>
  </si>
  <si>
    <t>The Phoenian Villas</t>
  </si>
  <si>
    <t>SW23-306</t>
  </si>
  <si>
    <t>Zora 8200 W Encanto Blvd</t>
  </si>
  <si>
    <t>SW23-307</t>
  </si>
  <si>
    <t>Edgecore Mesa 2&amp;3</t>
  </si>
  <si>
    <t>SW23-308</t>
  </si>
  <si>
    <t>38530 N 101st ST</t>
  </si>
  <si>
    <t>SW23-309</t>
  </si>
  <si>
    <t>Bullard &amp; Broadway</t>
  </si>
  <si>
    <t>SW23-310</t>
  </si>
  <si>
    <t>SW23-311</t>
  </si>
  <si>
    <t>US Bank- Phoenix</t>
  </si>
  <si>
    <t>SW23-312</t>
  </si>
  <si>
    <t>QCUSD- Polytechnic</t>
  </si>
  <si>
    <t>SW23-313</t>
  </si>
  <si>
    <t>Deer Valley Business Center</t>
  </si>
  <si>
    <t>SW23-314</t>
  </si>
  <si>
    <t>City of Hope Surgery Center</t>
  </si>
  <si>
    <t>SW23-315</t>
  </si>
  <si>
    <t>Sunrise Preschool- Glendale</t>
  </si>
  <si>
    <t>SW23-316</t>
  </si>
  <si>
    <t>SW23-317</t>
  </si>
  <si>
    <t>V Italiano- 9301 E Shea</t>
  </si>
  <si>
    <t>SW23-318</t>
  </si>
  <si>
    <t>WDS Architecture</t>
  </si>
  <si>
    <t>Molly's House of Little Feet</t>
  </si>
  <si>
    <t>TF23-319</t>
  </si>
  <si>
    <t>SW23-320</t>
  </si>
  <si>
    <t>SW23-321</t>
  </si>
  <si>
    <t>Penske Ground Up</t>
  </si>
  <si>
    <t>SW23-322</t>
  </si>
  <si>
    <t>Zupas- Metro</t>
  </si>
  <si>
    <t>SW23-323</t>
  </si>
  <si>
    <t>A&amp;E Builders</t>
  </si>
  <si>
    <t>Roll'Em Up Tacos</t>
  </si>
  <si>
    <t>SW23-324</t>
  </si>
  <si>
    <t>Advanced Materials Technology</t>
  </si>
  <si>
    <t>SW23-325</t>
  </si>
  <si>
    <t>Focus on the Family Cave Creek</t>
  </si>
  <si>
    <t>SW23-326</t>
  </si>
  <si>
    <t>Kendrick Residences Lot 2</t>
  </si>
  <si>
    <t>SW23-327</t>
  </si>
  <si>
    <t>The Base Industrial</t>
  </si>
  <si>
    <t>SW23-328</t>
  </si>
  <si>
    <t>Residences of Peoria</t>
  </si>
  <si>
    <t>SW23-329</t>
  </si>
  <si>
    <t>Cowtown Shooting Range</t>
  </si>
  <si>
    <t>SW23-330</t>
  </si>
  <si>
    <t>Amplify Phase 2 Civil</t>
  </si>
  <si>
    <t>SW23-331</t>
  </si>
  <si>
    <t>Sub4</t>
  </si>
  <si>
    <t>Revolve at Ballpark Village</t>
  </si>
  <si>
    <t>SW23-332</t>
  </si>
  <si>
    <t>Ideal Co, Inc.</t>
  </si>
  <si>
    <t>TSC- Tucson</t>
  </si>
  <si>
    <t>SW23-333</t>
  </si>
  <si>
    <t>Rock Point Kids Bldg</t>
  </si>
  <si>
    <t>SW23-334</t>
  </si>
  <si>
    <t>Cactus 303</t>
  </si>
  <si>
    <t>SW23-335</t>
  </si>
  <si>
    <t>Bungalows at Lakin Park</t>
  </si>
  <si>
    <t>SW23-336</t>
  </si>
  <si>
    <t>Trails at Maricopa</t>
  </si>
  <si>
    <t>TF23-337</t>
  </si>
  <si>
    <t>Marlowe Peoria Lot 1 &amp; 3</t>
  </si>
  <si>
    <t>SW23-338</t>
  </si>
  <si>
    <t>Novus 3A Shell</t>
  </si>
  <si>
    <t>SW23-339</t>
  </si>
  <si>
    <t>CVRMC Kearney Clinic</t>
  </si>
  <si>
    <t>SW23-340</t>
  </si>
  <si>
    <t>Flower Child PV</t>
  </si>
  <si>
    <t>SW23-341</t>
  </si>
  <si>
    <t>SW23-342</t>
  </si>
  <si>
    <t>Blanco PV</t>
  </si>
  <si>
    <t>SW23-343</t>
  </si>
  <si>
    <t>SW23-344</t>
  </si>
  <si>
    <t>SW23-345</t>
  </si>
  <si>
    <t>Moderne Arrowhead</t>
  </si>
  <si>
    <t>SW23-346</t>
  </si>
  <si>
    <t>Dobbins Industrial Tech</t>
  </si>
  <si>
    <t>SW23-347</t>
  </si>
  <si>
    <t>The Roosevelt- 815 N 2nd St</t>
  </si>
  <si>
    <t>SW23-348</t>
  </si>
  <si>
    <t>SW23-349</t>
  </si>
  <si>
    <t>PHX81</t>
  </si>
  <si>
    <t>SW23-350</t>
  </si>
  <si>
    <t>Val Vista Self Storage</t>
  </si>
  <si>
    <t>SW23-351</t>
  </si>
  <si>
    <t>Brickyards on Ellsworth</t>
  </si>
  <si>
    <t>SW23-352</t>
  </si>
  <si>
    <t>SW23-353</t>
  </si>
  <si>
    <t>TF23-354</t>
  </si>
  <si>
    <t>SW23-355</t>
  </si>
  <si>
    <t>SW23-356</t>
  </si>
  <si>
    <t>8350 E Autoplane Dr</t>
  </si>
  <si>
    <t>SW23-357</t>
  </si>
  <si>
    <t>Shops at 75th- Glendale</t>
  </si>
  <si>
    <t>SW23-358</t>
  </si>
  <si>
    <t>Casa Grande Fire Station 503</t>
  </si>
  <si>
    <t>SW23-359</t>
  </si>
  <si>
    <t>7-Eleven # 47390- Goodyear</t>
  </si>
  <si>
    <t>SW23-360</t>
  </si>
  <si>
    <t>SW23-361</t>
  </si>
  <si>
    <t>El Mirage RV Storage</t>
  </si>
  <si>
    <t>SW23-362</t>
  </si>
  <si>
    <t>SW23-363</t>
  </si>
  <si>
    <t>ASU- Tempe District Utility Plant</t>
  </si>
  <si>
    <t>SW23-364</t>
  </si>
  <si>
    <t>Reinsman Commons</t>
  </si>
  <si>
    <t>SW23-365</t>
  </si>
  <si>
    <t>CoB Blue Horizon Fire Station #707</t>
  </si>
  <si>
    <t>SW23-366</t>
  </si>
  <si>
    <t>Larry Kennedy Rebuild</t>
  </si>
  <si>
    <t>SW23-367</t>
  </si>
  <si>
    <t>Luxelocker</t>
  </si>
  <si>
    <t>Luxelocker- Goodyear</t>
  </si>
  <si>
    <t>SW23-368</t>
  </si>
  <si>
    <t>Optima McDowell Mtn Bldg 2</t>
  </si>
  <si>
    <t>SW23-369</t>
  </si>
  <si>
    <t>Simoncre at Surprise Center</t>
  </si>
  <si>
    <t>SW23-370</t>
  </si>
  <si>
    <t>7-Eleven- Glendale</t>
  </si>
  <si>
    <t>SW23-371</t>
  </si>
  <si>
    <t>TJX Phoenix Bldg</t>
  </si>
  <si>
    <t>SW23-372</t>
  </si>
  <si>
    <t>Porter Kyle Builders</t>
  </si>
  <si>
    <t>The Cleveland</t>
  </si>
  <si>
    <t>SW23-373</t>
  </si>
  <si>
    <t>TF23-374</t>
  </si>
  <si>
    <t>SW23-375</t>
  </si>
  <si>
    <t>Capex Construction</t>
  </si>
  <si>
    <t>VA Tucson Construction Parking Lot</t>
  </si>
  <si>
    <t>SW23-376</t>
  </si>
  <si>
    <t>Arcadia Healthcare</t>
  </si>
  <si>
    <t>SW23-377</t>
  </si>
  <si>
    <t>Tumbleweed Rec Center</t>
  </si>
  <si>
    <t>SW23-378</t>
  </si>
  <si>
    <t>Avondale Police Detention Center</t>
  </si>
  <si>
    <t>SW23-379</t>
  </si>
  <si>
    <t>Bullard &amp; McDowell</t>
  </si>
  <si>
    <t>SW23-380</t>
  </si>
  <si>
    <t>COM PSTF- Track Operations</t>
  </si>
  <si>
    <t>SW23-381</t>
  </si>
  <si>
    <t>Home Depot Maricopa</t>
  </si>
  <si>
    <t>SW23-382</t>
  </si>
  <si>
    <t>Postino's Shell &amp; Site</t>
  </si>
  <si>
    <t>SW23-383</t>
  </si>
  <si>
    <t>SW23-384</t>
  </si>
  <si>
    <t>Aces Expansion</t>
  </si>
  <si>
    <t>SW23-385</t>
  </si>
  <si>
    <t>Crimson Commons</t>
  </si>
  <si>
    <t>SW23-386</t>
  </si>
  <si>
    <t>SW23-387</t>
  </si>
  <si>
    <t>SIHI Camelback Center</t>
  </si>
  <si>
    <t>SW23-388</t>
  </si>
  <si>
    <t>R&amp;R Construction</t>
  </si>
  <si>
    <t>Tempo Duplex Apartments</t>
  </si>
  <si>
    <t>SW23-389</t>
  </si>
  <si>
    <t>SW23-390</t>
  </si>
  <si>
    <t>Project Maya</t>
  </si>
  <si>
    <t>SW23-391</t>
  </si>
  <si>
    <t>C2 @ The Phoenician</t>
  </si>
  <si>
    <t>SW23-392</t>
  </si>
  <si>
    <t>2126 W Shangri-La Rd.</t>
  </si>
  <si>
    <t>SW23-393</t>
  </si>
  <si>
    <t>Aileron</t>
  </si>
  <si>
    <t>SW23-394</t>
  </si>
  <si>
    <t>SW23-395</t>
  </si>
  <si>
    <t>17045 N 7th St PHX</t>
  </si>
  <si>
    <t>SW23-396</t>
  </si>
  <si>
    <t>Dwell 5th &amp; Farmer</t>
  </si>
  <si>
    <t>SW23-397</t>
  </si>
  <si>
    <t>Pecos SWTP Admin Bldg</t>
  </si>
  <si>
    <t>SW23-398</t>
  </si>
  <si>
    <t>Lotus Point</t>
  </si>
  <si>
    <t>SW23-399</t>
  </si>
  <si>
    <t>Mountainside Fitness Avondale</t>
  </si>
  <si>
    <t>SW23-400</t>
  </si>
  <si>
    <t>Peoria Industrial</t>
  </si>
  <si>
    <t>SW23-401</t>
  </si>
  <si>
    <t>United Contractors Inc</t>
  </si>
  <si>
    <t>SW23-402</t>
  </si>
  <si>
    <t>WinCo 130 Goodyear</t>
  </si>
  <si>
    <t>SW23-403</t>
  </si>
  <si>
    <t>SW23-404</t>
  </si>
  <si>
    <t>Eastmark</t>
  </si>
  <si>
    <t>SW23-405</t>
  </si>
  <si>
    <t>US Bank- Scottsdale</t>
  </si>
  <si>
    <t>SW23-406</t>
  </si>
  <si>
    <t>Sun Valley Academy- Glendale</t>
  </si>
  <si>
    <t>SW23-407</t>
  </si>
  <si>
    <t>Tempe Bike and Pedestrian Path</t>
  </si>
  <si>
    <t>SW23-408</t>
  </si>
  <si>
    <t>Ascent Companies</t>
  </si>
  <si>
    <t>Ascent at Canyon Hills</t>
  </si>
  <si>
    <t>SW23-409</t>
  </si>
  <si>
    <t>Hilbers</t>
  </si>
  <si>
    <t>Raising Canes #0926</t>
  </si>
  <si>
    <t>TF23-410</t>
  </si>
  <si>
    <t>SW23-411</t>
  </si>
  <si>
    <t>3-G Construction</t>
  </si>
  <si>
    <t>The Village at Birch</t>
  </si>
  <si>
    <t>SW23-412</t>
  </si>
  <si>
    <t>Cove Logistics</t>
  </si>
  <si>
    <t>SW23-413</t>
  </si>
  <si>
    <t>Tucson Mtn Park Rifle Range</t>
  </si>
  <si>
    <t>SW23-414</t>
  </si>
  <si>
    <t>Clune</t>
  </si>
  <si>
    <t>Stream Data PHX01-PH5</t>
  </si>
  <si>
    <t>SW23-415</t>
  </si>
  <si>
    <t>Mack Deer Valley Site B</t>
  </si>
  <si>
    <t>SW23-416</t>
  </si>
  <si>
    <t>IMDC AZP3</t>
  </si>
  <si>
    <t>SW23-417</t>
  </si>
  <si>
    <t>TF24-01</t>
  </si>
  <si>
    <t>SW24-02</t>
  </si>
  <si>
    <t>The Dwelling Companies</t>
  </si>
  <si>
    <t>Liberty at Estrella Falls</t>
  </si>
  <si>
    <t>SW24-03</t>
  </si>
  <si>
    <t>Hurley Ranch</t>
  </si>
  <si>
    <t>SW24-04</t>
  </si>
  <si>
    <t>Laveen Self Storage</t>
  </si>
  <si>
    <t>SW24-05</t>
  </si>
  <si>
    <t>Avondal McDowell Parking Lot</t>
  </si>
  <si>
    <t>SW24-06</t>
  </si>
  <si>
    <t>Lakin Park PH3 Access Rd</t>
  </si>
  <si>
    <t>SW24-07</t>
  </si>
  <si>
    <t>Alliance Residentail</t>
  </si>
  <si>
    <t>Broadstone Westgate</t>
  </si>
  <si>
    <t>TF24-08</t>
  </si>
  <si>
    <t>SW24-09</t>
  </si>
  <si>
    <t>Stellar Airpark</t>
  </si>
  <si>
    <t>SW24-10</t>
  </si>
  <si>
    <t>West World</t>
  </si>
  <si>
    <t>SW24-11</t>
  </si>
  <si>
    <t>Level Crossing PH.3</t>
  </si>
  <si>
    <t>SW24-12</t>
  </si>
  <si>
    <t>Prose at Ascend Avondale</t>
  </si>
  <si>
    <t>SW24-13</t>
  </si>
  <si>
    <t>RSI</t>
  </si>
  <si>
    <t>O'Reilly Auto Buckeye #BU2</t>
  </si>
  <si>
    <t>SW24-14</t>
  </si>
  <si>
    <t>Red Mountain Community Church</t>
  </si>
  <si>
    <t>SW24-15</t>
  </si>
  <si>
    <t>Kiewit</t>
  </si>
  <si>
    <t xml:space="preserve">Florence Commercial </t>
  </si>
  <si>
    <t>SW24-16</t>
  </si>
  <si>
    <t>67 Flats</t>
  </si>
  <si>
    <t>TF24-17</t>
  </si>
  <si>
    <t>SW24-18</t>
  </si>
  <si>
    <t>Skybridge 108</t>
  </si>
  <si>
    <t>SW24-19</t>
  </si>
  <si>
    <t>AVM</t>
  </si>
  <si>
    <t>Dobson &amp; Germann</t>
  </si>
  <si>
    <t>SW24-20</t>
  </si>
  <si>
    <t>Canyon Trails Major F-1</t>
  </si>
  <si>
    <t>SW24-21</t>
  </si>
  <si>
    <t>George H Pastor &amp; Sons</t>
  </si>
  <si>
    <t>Whataburger Avondale</t>
  </si>
  <si>
    <t>SW24-22</t>
  </si>
  <si>
    <t>Big-D</t>
  </si>
  <si>
    <t>Skywest</t>
  </si>
  <si>
    <t>SW24-23</t>
  </si>
  <si>
    <t>SW24-24</t>
  </si>
  <si>
    <t>Skybridge 109</t>
  </si>
  <si>
    <t>SW24-25</t>
  </si>
  <si>
    <t>Parcel C1</t>
  </si>
  <si>
    <t>SW24-26</t>
  </si>
  <si>
    <t>Aces Expansion Phx</t>
  </si>
  <si>
    <t>SW24-27</t>
  </si>
  <si>
    <t>Edgecore North Parcel</t>
  </si>
  <si>
    <t>SW24-28</t>
  </si>
  <si>
    <t>The Marshall</t>
  </si>
  <si>
    <t>SW24-29</t>
  </si>
  <si>
    <t>Basha HS- Field House Improvements</t>
  </si>
  <si>
    <t>SW24-30</t>
  </si>
  <si>
    <t>Hilton at Park Central</t>
  </si>
  <si>
    <t>SW24-31</t>
  </si>
  <si>
    <t>Stansell Properties</t>
  </si>
  <si>
    <t>Salad &amp; Go #1184 Tucson</t>
  </si>
  <si>
    <t>SW24-32</t>
  </si>
  <si>
    <t>Juniper Square</t>
  </si>
  <si>
    <t>SW24-33</t>
  </si>
  <si>
    <t>SW24-34</t>
  </si>
  <si>
    <t>1-17 North</t>
  </si>
  <si>
    <t>SW24-35</t>
  </si>
  <si>
    <t>SW24-36</t>
  </si>
  <si>
    <t>Tempe Depot</t>
  </si>
  <si>
    <t>SW24-37</t>
  </si>
  <si>
    <t>Pub Rock Bar</t>
  </si>
  <si>
    <t>SW24-38</t>
  </si>
  <si>
    <t xml:space="preserve">LHM Ford Mesa </t>
  </si>
  <si>
    <t>SW24-39</t>
  </si>
  <si>
    <t>Boulder Creek Camp Verde LLC</t>
  </si>
  <si>
    <t>SW24-40</t>
  </si>
  <si>
    <t>Dickens Quality Demolition</t>
  </si>
  <si>
    <t>OnSemi Demo</t>
  </si>
  <si>
    <t>SW24-41</t>
  </si>
  <si>
    <t>Crismon HS Ph. 2 Sports Field</t>
  </si>
  <si>
    <t>SW24-42</t>
  </si>
  <si>
    <t>St. Timothy- New Multi-Purpose bldg</t>
  </si>
  <si>
    <t>SW24-43</t>
  </si>
  <si>
    <t>Mycon General Contractors</t>
  </si>
  <si>
    <t>Kennor Cross- Tucson Rehab</t>
  </si>
  <si>
    <t>SW24-44</t>
  </si>
  <si>
    <t>8319 E Camelback Rd</t>
  </si>
  <si>
    <t>SW24-45</t>
  </si>
  <si>
    <t>The Suite Spot</t>
  </si>
  <si>
    <t>SW24-46</t>
  </si>
  <si>
    <t>Identity Builders</t>
  </si>
  <si>
    <t>377 E Windsor Ave</t>
  </si>
  <si>
    <t>SW24-47</t>
  </si>
  <si>
    <t>SW24-48</t>
  </si>
  <si>
    <t>SW24-49</t>
  </si>
  <si>
    <t>Subzero- Camelback 303</t>
  </si>
  <si>
    <t>SW24-50</t>
  </si>
  <si>
    <t>The Henri Apts</t>
  </si>
  <si>
    <t>SW24-51</t>
  </si>
  <si>
    <t>Eye Clinic- 5865 W Utopia</t>
  </si>
  <si>
    <t>SW24-52</t>
  </si>
  <si>
    <t>Etico Office</t>
  </si>
  <si>
    <t>SW24-53</t>
  </si>
  <si>
    <t>ASU JOC DFA</t>
  </si>
  <si>
    <t>SW24-54</t>
  </si>
  <si>
    <t>Extended Stay America- Chandler</t>
  </si>
  <si>
    <t>SW24-55</t>
  </si>
  <si>
    <t>CoP Homeless Services Sprung</t>
  </si>
  <si>
    <t>SW24-56</t>
  </si>
  <si>
    <t>AutoNation Chandler</t>
  </si>
  <si>
    <t>SW24-57</t>
  </si>
  <si>
    <t xml:space="preserve"> Virgin Industrial Park</t>
  </si>
  <si>
    <t>SW24-58</t>
  </si>
  <si>
    <t>SW24-59</t>
  </si>
  <si>
    <t>Lott Brother Construction</t>
  </si>
  <si>
    <t>Springs at Stadium Village</t>
  </si>
  <si>
    <t>SW24-60</t>
  </si>
  <si>
    <t>1516 W San Pedro St</t>
  </si>
  <si>
    <t>SW24-61</t>
  </si>
  <si>
    <t>Morrison Ranch</t>
  </si>
  <si>
    <t>SW24-62</t>
  </si>
  <si>
    <t>SW24-63</t>
  </si>
  <si>
    <t>Springs at Westgate</t>
  </si>
  <si>
    <t>SW24-64</t>
  </si>
  <si>
    <t>38th St Industrial Bldg</t>
  </si>
  <si>
    <t>SW24-65</t>
  </si>
  <si>
    <t>SW24-66</t>
  </si>
  <si>
    <t>5510 N Camino Del Contento</t>
  </si>
  <si>
    <t>SW24-67</t>
  </si>
  <si>
    <t>Alta 87</t>
  </si>
  <si>
    <t>SW24-68</t>
  </si>
  <si>
    <t>Agave House</t>
  </si>
  <si>
    <t>SW24-69</t>
  </si>
  <si>
    <t>Buckeye- Fleet Metal</t>
  </si>
  <si>
    <t>SW24-70</t>
  </si>
  <si>
    <t>Boldt Health Commons</t>
  </si>
  <si>
    <t>SW24-71</t>
  </si>
  <si>
    <t>501 W first St</t>
  </si>
  <si>
    <t>SW24-72</t>
  </si>
  <si>
    <t>DeConcini Park Renovation</t>
  </si>
  <si>
    <t>SW24-73</t>
  </si>
  <si>
    <t>1475 S Val Vista DR</t>
  </si>
  <si>
    <t>SW24-74</t>
  </si>
  <si>
    <t>Buckeye Commons</t>
  </si>
  <si>
    <t>SW24-75</t>
  </si>
  <si>
    <t xml:space="preserve">514 2nd St. </t>
  </si>
  <si>
    <t>SW24-76</t>
  </si>
  <si>
    <t>Horner Residence</t>
  </si>
  <si>
    <t>SW24-77</t>
  </si>
  <si>
    <t>SW24-78</t>
  </si>
  <si>
    <t>7-Eleven- 7th St &amp; Mohave</t>
  </si>
  <si>
    <t>SW24-79</t>
  </si>
  <si>
    <t>1020 Apache Blvd</t>
  </si>
  <si>
    <t>SW24-80</t>
  </si>
  <si>
    <t>Gilbert Spectrum Bldg 3</t>
  </si>
  <si>
    <t>SW24-81</t>
  </si>
  <si>
    <t>Isola Goodyear</t>
  </si>
  <si>
    <t>SW24-82</t>
  </si>
  <si>
    <t>Lot 49 patterson Ranch Scottsdale</t>
  </si>
  <si>
    <t>SW24-83</t>
  </si>
  <si>
    <t>SW24-84</t>
  </si>
  <si>
    <t>Constructable</t>
  </si>
  <si>
    <t>Ascent Aviation MRO Hangar</t>
  </si>
  <si>
    <t>SW24-85</t>
  </si>
  <si>
    <t>La Pradera Park</t>
  </si>
  <si>
    <t>SW24-86</t>
  </si>
  <si>
    <t>Townplace Suites Flagstaff</t>
  </si>
  <si>
    <t>SW24-87</t>
  </si>
  <si>
    <t>45550 W Salome Hwy</t>
  </si>
  <si>
    <t>SW24-88</t>
  </si>
  <si>
    <t>SIHI Storage Pile</t>
  </si>
  <si>
    <t>SW24-89</t>
  </si>
  <si>
    <t>Verde Fiesta</t>
  </si>
  <si>
    <t xml:space="preserve">Fiesta Mall   </t>
  </si>
  <si>
    <t>SW24-90</t>
  </si>
  <si>
    <t>Mayberry on Rittenhouse</t>
  </si>
  <si>
    <t>SW24-91</t>
  </si>
  <si>
    <t>Cherokee</t>
  </si>
  <si>
    <t>Santa Rosa Ranch</t>
  </si>
  <si>
    <t>SW24-92</t>
  </si>
  <si>
    <t>Select Tucson Rehabilitation</t>
  </si>
  <si>
    <t>SW24-93</t>
  </si>
  <si>
    <t>ASU- West Campus Lot #4</t>
  </si>
  <si>
    <t>SW24-94</t>
  </si>
  <si>
    <t xml:space="preserve">Colorado West </t>
  </si>
  <si>
    <t>Better Buzz Coffee</t>
  </si>
  <si>
    <t>SW24-95</t>
  </si>
  <si>
    <t>Best Box Storage</t>
  </si>
  <si>
    <t>SW24-96</t>
  </si>
  <si>
    <t>Salad and Go #1173</t>
  </si>
  <si>
    <t>SW24-97</t>
  </si>
  <si>
    <t>Anthem Prison Shooting Range</t>
  </si>
  <si>
    <t>SW24-98</t>
  </si>
  <si>
    <t>Alta Aldi</t>
  </si>
  <si>
    <t>SW24-99</t>
  </si>
  <si>
    <t>QCUSD- Eastmark HS Baseball &amp; Softball</t>
  </si>
  <si>
    <t>SW24-100</t>
  </si>
  <si>
    <t>Electric Pickle Ph.2- Tempe</t>
  </si>
  <si>
    <t>SW24-101</t>
  </si>
  <si>
    <t>Redden Construction</t>
  </si>
  <si>
    <t>Parker Aerospace</t>
  </si>
  <si>
    <t>SW24-102</t>
  </si>
  <si>
    <t>Mortenson</t>
  </si>
  <si>
    <t>SW24-103</t>
  </si>
  <si>
    <t>Vanguard</t>
  </si>
  <si>
    <t>SW24-104</t>
  </si>
  <si>
    <t>NWFD Training- Utility Relocation</t>
  </si>
  <si>
    <t>SW24-105</t>
  </si>
  <si>
    <t>MSRP Renovation</t>
  </si>
  <si>
    <t>SW24-106</t>
  </si>
  <si>
    <t>Stack Storage Buckeye</t>
  </si>
  <si>
    <t>SW24-107</t>
  </si>
  <si>
    <t>SW24-108</t>
  </si>
  <si>
    <t>Val Vista Offsites</t>
  </si>
  <si>
    <t>SW24-109</t>
  </si>
  <si>
    <t>10 Goodyear</t>
  </si>
  <si>
    <t>SW24-110</t>
  </si>
  <si>
    <t>Achen Gardner</t>
  </si>
  <si>
    <t>Cactus Rd Improvements</t>
  </si>
  <si>
    <t>SW24-111</t>
  </si>
  <si>
    <t>PV Block 3 Garage</t>
  </si>
  <si>
    <t>SW24-112</t>
  </si>
  <si>
    <t>ITR Secured Staff Parking Lot</t>
  </si>
  <si>
    <t>SW24-113</t>
  </si>
  <si>
    <t>SW24-114</t>
  </si>
  <si>
    <t>Park Algodon</t>
  </si>
  <si>
    <t>SW24-115</t>
  </si>
  <si>
    <t>Mountain View Storage- Peoria</t>
  </si>
  <si>
    <t>SW24-116</t>
  </si>
  <si>
    <t>5831 E McClellan Rd</t>
  </si>
  <si>
    <t>SW24-117</t>
  </si>
  <si>
    <t>815 N 2nd St</t>
  </si>
  <si>
    <t>SW24-118</t>
  </si>
  <si>
    <t>Elliot &amp; Ellsworth</t>
  </si>
  <si>
    <t>SW24-119</t>
  </si>
  <si>
    <t>Tri-City Cardiology MOB PH.2</t>
  </si>
  <si>
    <t>SW24-120</t>
  </si>
  <si>
    <t>8200 N Sarival Ave</t>
  </si>
  <si>
    <t>SW24-121</t>
  </si>
  <si>
    <t>SW24-122</t>
  </si>
  <si>
    <t>PR Construction</t>
  </si>
  <si>
    <t>Circle K Tolleson</t>
  </si>
  <si>
    <t>SW24-123</t>
  </si>
  <si>
    <t>St. Mary's FB 29th Ave</t>
  </si>
  <si>
    <t>SW24-124</t>
  </si>
  <si>
    <t>Chase, Carson &amp; White</t>
  </si>
  <si>
    <t>ADVS- Camp Navajo Cemetary</t>
  </si>
  <si>
    <t>SW24-125</t>
  </si>
  <si>
    <t>Lloyd Construction</t>
  </si>
  <si>
    <t>Dema Rita Road Readiness Center</t>
  </si>
  <si>
    <t>SW24-126</t>
  </si>
  <si>
    <t>Standing Stones Infrustructure</t>
  </si>
  <si>
    <t>SW24-127</t>
  </si>
  <si>
    <t>Gable Family Builders</t>
  </si>
  <si>
    <t>Skyline Retail</t>
  </si>
  <si>
    <t>SW24-128</t>
  </si>
  <si>
    <t xml:space="preserve">Falco   </t>
  </si>
  <si>
    <t>SW24-129</t>
  </si>
  <si>
    <t>Sams Club Tempe</t>
  </si>
  <si>
    <t>SW24-130</t>
  </si>
  <si>
    <t>Innovate 48 Industrial</t>
  </si>
  <si>
    <t>SW24-131</t>
  </si>
  <si>
    <t>Salt &amp; Straw- Gilbert</t>
  </si>
  <si>
    <t>SW24-132</t>
  </si>
  <si>
    <t>AIP Vehicle Storage</t>
  </si>
  <si>
    <t>SW24-133</t>
  </si>
  <si>
    <t>Phoenician Parcel E</t>
  </si>
  <si>
    <t>SW24-134</t>
  </si>
  <si>
    <t>Allora</t>
  </si>
  <si>
    <t>SW24-135</t>
  </si>
  <si>
    <t>Mark Scott Construction</t>
  </si>
  <si>
    <t>USPS Phoenix SDC- PH2</t>
  </si>
  <si>
    <t>SW24-136</t>
  </si>
  <si>
    <t>The Arden</t>
  </si>
  <si>
    <t>SW24-137</t>
  </si>
  <si>
    <t>QTS PHX3- DC14</t>
  </si>
  <si>
    <t>SW24-138</t>
  </si>
  <si>
    <t>TSC Laveen</t>
  </si>
  <si>
    <t>SW24-139</t>
  </si>
  <si>
    <t>Aqua Fria HS #6</t>
  </si>
  <si>
    <t>SW24-140</t>
  </si>
  <si>
    <t>Mountain Park Health Center</t>
  </si>
  <si>
    <t>SW24-141</t>
  </si>
  <si>
    <t>NW Wastewater Plan 4B</t>
  </si>
  <si>
    <t>SW24-142</t>
  </si>
  <si>
    <t>SW24-143</t>
  </si>
  <si>
    <t>PUHSD- Trevor G. Browne Ph.2</t>
  </si>
  <si>
    <t>SW24-144</t>
  </si>
  <si>
    <t>Americana</t>
  </si>
  <si>
    <t>SW24-145</t>
  </si>
  <si>
    <t>Vineyard Towne Center Ph.2</t>
  </si>
  <si>
    <t>SW24-146</t>
  </si>
  <si>
    <t>Silver Creek</t>
  </si>
  <si>
    <t>SW24-147</t>
  </si>
  <si>
    <t>CKZ Holdings</t>
  </si>
  <si>
    <t>Japanese Auto Pros</t>
  </si>
  <si>
    <t>SW24-148</t>
  </si>
  <si>
    <t>8230 N Mockingbird Lane</t>
  </si>
  <si>
    <t>SW24-149</t>
  </si>
  <si>
    <t>SW24-150</t>
  </si>
  <si>
    <t>Schrader Farms Business Park</t>
  </si>
  <si>
    <t>SW24-151</t>
  </si>
  <si>
    <t>VIP Commercial</t>
  </si>
  <si>
    <t>Bassett Residence</t>
  </si>
  <si>
    <t>SW24-152</t>
  </si>
  <si>
    <t>Saddle Creek TI</t>
  </si>
  <si>
    <t>SW24-153</t>
  </si>
  <si>
    <t>Crosslands Construction</t>
  </si>
  <si>
    <t>TLE Nexus</t>
  </si>
  <si>
    <t>SW24-154</t>
  </si>
  <si>
    <t>E1 Development Services</t>
  </si>
  <si>
    <t>Hope Church</t>
  </si>
  <si>
    <t>SW24-155</t>
  </si>
  <si>
    <t>Edgecore Mesa PH01</t>
  </si>
  <si>
    <t>SW24-156</t>
  </si>
  <si>
    <t>Rancho Mirage</t>
  </si>
  <si>
    <t>SW24-157</t>
  </si>
  <si>
    <t>Power Industiral Storage Yard</t>
  </si>
  <si>
    <t>SW24-158</t>
  </si>
  <si>
    <t>Aligned Data Center Phx08</t>
  </si>
  <si>
    <t>SW24-159</t>
  </si>
  <si>
    <t>3213 S Mill Ave</t>
  </si>
  <si>
    <t>SW24-160</t>
  </si>
  <si>
    <t>Panda Express marana</t>
  </si>
  <si>
    <t>SW24-161</t>
  </si>
  <si>
    <t>TF24-162</t>
  </si>
  <si>
    <t>SW24-163</t>
  </si>
  <si>
    <t>SW24-164</t>
  </si>
  <si>
    <t>Shrader &amp; Martinez Construction</t>
  </si>
  <si>
    <t>UltraClean Surprise</t>
  </si>
  <si>
    <t>SW24-165</t>
  </si>
  <si>
    <t>Mesa Self Storage</t>
  </si>
  <si>
    <t>SW24-166</t>
  </si>
  <si>
    <t>SW24-167</t>
  </si>
  <si>
    <t>Globe Dr Infrustructure</t>
  </si>
  <si>
    <t>TF24-168</t>
  </si>
  <si>
    <t>SW24-169</t>
  </si>
  <si>
    <t>EVIT East Parking Lot</t>
  </si>
  <si>
    <t>SW24-170</t>
  </si>
  <si>
    <t>Glendale City Hall</t>
  </si>
  <si>
    <t>SW24-171</t>
  </si>
  <si>
    <t>Davis Monthan Wilmot Gate Project</t>
  </si>
  <si>
    <t>SW24-172</t>
  </si>
  <si>
    <t>PCDS Performing Arts Center</t>
  </si>
  <si>
    <t>SW24-173</t>
  </si>
  <si>
    <t>SW24-174</t>
  </si>
  <si>
    <t>USPS Gilbert New Carrier Annex</t>
  </si>
  <si>
    <t>TF24-175</t>
  </si>
  <si>
    <t>SW24-176</t>
  </si>
  <si>
    <t>PSDS Parking Lot Upgrades</t>
  </si>
  <si>
    <t>SW24-177</t>
  </si>
  <si>
    <t>SW24-178</t>
  </si>
  <si>
    <t>SW24-179</t>
  </si>
  <si>
    <t>K2 Electric</t>
  </si>
  <si>
    <t>Amazon DPX7</t>
  </si>
  <si>
    <t>SW24-180</t>
  </si>
  <si>
    <t>Palm Valley Commerce</t>
  </si>
  <si>
    <t>SW24-181</t>
  </si>
  <si>
    <t>Union Elementary School</t>
  </si>
  <si>
    <t>SW24-182</t>
  </si>
  <si>
    <t>Extra Space Phoenix</t>
  </si>
  <si>
    <t>SW24-183</t>
  </si>
  <si>
    <t>The Haver- 5739 N 10th Place</t>
  </si>
  <si>
    <t>SW24-184</t>
  </si>
  <si>
    <t>MCEVD</t>
  </si>
  <si>
    <t>SW24-185</t>
  </si>
  <si>
    <t>15660 N Frank Lloyd Wright</t>
  </si>
  <si>
    <t>SW24-186</t>
  </si>
  <si>
    <t>Children's Museum Wall</t>
  </si>
  <si>
    <t>SW24-187</t>
  </si>
  <si>
    <t>SW24-188</t>
  </si>
  <si>
    <t>DPS Parking Lot Upgrades</t>
  </si>
  <si>
    <t>SW24-189</t>
  </si>
  <si>
    <t>Southside Public Safety</t>
  </si>
  <si>
    <t>SW24-190</t>
  </si>
  <si>
    <t>TF24-191</t>
  </si>
  <si>
    <t>SW24-192</t>
  </si>
  <si>
    <t>Mayo Casitas #4- Materials</t>
  </si>
  <si>
    <t>SW24-193</t>
  </si>
  <si>
    <t>SW24-194</t>
  </si>
  <si>
    <t>Sycamore Vistas</t>
  </si>
  <si>
    <t>SW24-195</t>
  </si>
  <si>
    <t>SW24-196</t>
  </si>
  <si>
    <t>Sands Kia</t>
  </si>
  <si>
    <t>SW24-197</t>
  </si>
  <si>
    <t>Mayo Casitas #4- Labor &amp; Fees</t>
  </si>
  <si>
    <t>TF24-198</t>
  </si>
  <si>
    <t>SW24-199</t>
  </si>
  <si>
    <t>ASU Polytechnic Central Plant Expansion</t>
  </si>
  <si>
    <t>TF24-200</t>
  </si>
  <si>
    <t>NWV Baptist Church- billed to SRPMIC job</t>
  </si>
  <si>
    <t>SW24-201</t>
  </si>
  <si>
    <t>SW24-202</t>
  </si>
  <si>
    <t>SW24-203</t>
  </si>
  <si>
    <t>NGC Group, Inc</t>
  </si>
  <si>
    <t>Home2 Suites Goodyear</t>
  </si>
  <si>
    <t>SW24-204</t>
  </si>
  <si>
    <t>Atlas Building Group</t>
  </si>
  <si>
    <t>Goodyear Willis Rd- Self Storage</t>
  </si>
  <si>
    <t>SW24-205</t>
  </si>
  <si>
    <t>Havenly- 695 E Superstition Blvd</t>
  </si>
  <si>
    <t>SW24-206</t>
  </si>
  <si>
    <t>Peoria Place Lot 7</t>
  </si>
  <si>
    <t>SW24-207</t>
  </si>
  <si>
    <t>Shake Shack at GSQ</t>
  </si>
  <si>
    <t>SW24-208</t>
  </si>
  <si>
    <t>Elliot 96D</t>
  </si>
  <si>
    <t>SW24-209</t>
  </si>
  <si>
    <t>Acoma Park</t>
  </si>
  <si>
    <t>SW24-210</t>
  </si>
  <si>
    <t>Federal Pizza Shell</t>
  </si>
  <si>
    <t>SW24-211</t>
  </si>
  <si>
    <t>FCI Constructors</t>
  </si>
  <si>
    <t>Liberty Elementary Transport</t>
  </si>
  <si>
    <t>SW24-212</t>
  </si>
  <si>
    <t>AZP3</t>
  </si>
  <si>
    <t>SW24-213</t>
  </si>
  <si>
    <t>Frank Lloyd Wright Self Storage</t>
  </si>
  <si>
    <t>SW24-214</t>
  </si>
  <si>
    <t>SW24-215</t>
  </si>
  <si>
    <t>Gateway Library</t>
  </si>
  <si>
    <t>SW24-216</t>
  </si>
  <si>
    <t>Stack PHX02A</t>
  </si>
  <si>
    <t>SW24-217</t>
  </si>
  <si>
    <t>Verde at Cooley Station Bldg F</t>
  </si>
  <si>
    <t>SW24-218</t>
  </si>
  <si>
    <t>CoT Southside PSC</t>
  </si>
  <si>
    <t>SW24-219</t>
  </si>
  <si>
    <t>Aligned PHX06 Trade Parking</t>
  </si>
  <si>
    <t>SW24-220</t>
  </si>
  <si>
    <t>CoT Fire Station #14</t>
  </si>
  <si>
    <t>SW24-221</t>
  </si>
  <si>
    <t>Miller Watkins, LLC</t>
  </si>
  <si>
    <t>SW24-222</t>
  </si>
  <si>
    <t>Sandstorm New Office</t>
  </si>
  <si>
    <t>SW24-223</t>
  </si>
  <si>
    <t>TF24-224</t>
  </si>
  <si>
    <t>SW24-225</t>
  </si>
  <si>
    <t>Day's Excavating</t>
  </si>
  <si>
    <t>SAIA Trucking Freight Facility</t>
  </si>
  <si>
    <t>SW24-226</t>
  </si>
  <si>
    <t>SW24-227</t>
  </si>
  <si>
    <t>Envision Dobbins</t>
  </si>
  <si>
    <t>SW24-228</t>
  </si>
  <si>
    <t>Dwill-Mast</t>
  </si>
  <si>
    <t>SW24-229</t>
  </si>
  <si>
    <t>GSQ Medical Office</t>
  </si>
  <si>
    <t>SW24-230</t>
  </si>
  <si>
    <t>VT101 Bldg B&amp; C</t>
  </si>
  <si>
    <t>SW24-231</t>
  </si>
  <si>
    <t>Peoria Warehouse</t>
  </si>
  <si>
    <t>SW24-232</t>
  </si>
  <si>
    <t>Marshall Elementary</t>
  </si>
  <si>
    <t>SW24-233</t>
  </si>
  <si>
    <t>H &amp; B Builders</t>
  </si>
  <si>
    <t>17445 W Lower Buckeye</t>
  </si>
  <si>
    <t>SW24-234</t>
  </si>
  <si>
    <t>H&amp;E Equipment</t>
  </si>
  <si>
    <t>SW24-235</t>
  </si>
  <si>
    <t>3032 S 59th Ave Phoenix</t>
  </si>
  <si>
    <t>SW24-236</t>
  </si>
  <si>
    <t>U-Haul of Sahuarita</t>
  </si>
  <si>
    <t>SW24-237</t>
  </si>
  <si>
    <t>SRPMIC Community Bldg Ph2</t>
  </si>
  <si>
    <t>SW24-238</t>
  </si>
  <si>
    <t>Higley &amp; Williamsfield Self Storage</t>
  </si>
  <si>
    <t>SW24-239</t>
  </si>
  <si>
    <t>Baker Construction</t>
  </si>
  <si>
    <t>Oro Valley Assisted Living</t>
  </si>
  <si>
    <t>SW24-240</t>
  </si>
  <si>
    <t>Concept Commercial Construction</t>
  </si>
  <si>
    <t>The Shops at Enclave</t>
  </si>
  <si>
    <t>SW24-241</t>
  </si>
  <si>
    <t>Recker &amp; 202</t>
  </si>
  <si>
    <t>SW24-242</t>
  </si>
  <si>
    <t>Gioffre Construction</t>
  </si>
  <si>
    <t>Lowes Maricopa</t>
  </si>
  <si>
    <t>SW24-243</t>
  </si>
  <si>
    <t>Dutch Bros Tucson</t>
  </si>
  <si>
    <t>SW24-244</t>
  </si>
  <si>
    <t>Pence Construction</t>
  </si>
  <si>
    <t>FedEX Relay yard- Tucson</t>
  </si>
  <si>
    <t>SW24-245</t>
  </si>
  <si>
    <t>Clark Construction</t>
  </si>
  <si>
    <t>Amazon- Project Buckeye</t>
  </si>
  <si>
    <t>SW24-246</t>
  </si>
  <si>
    <t>1730 W Ranch Rd, Tempe</t>
  </si>
  <si>
    <t>SW24-247</t>
  </si>
  <si>
    <t>Desert Dove Apartments</t>
  </si>
  <si>
    <t>SW24-248</t>
  </si>
  <si>
    <t>Stack Avondale PHX069</t>
  </si>
  <si>
    <t>SW24-249</t>
  </si>
  <si>
    <t>1835 S Santan Village Pkwy</t>
  </si>
  <si>
    <t>SW24-250</t>
  </si>
  <si>
    <t>BJ's Restaurant- Queen Creek</t>
  </si>
  <si>
    <t>SW24-251</t>
  </si>
  <si>
    <t>SW24-252</t>
  </si>
  <si>
    <t xml:space="preserve"> Verve Tempe</t>
  </si>
  <si>
    <t>SW24-253</t>
  </si>
  <si>
    <t>SW24-254</t>
  </si>
  <si>
    <t>Mack Innovation Park</t>
  </si>
  <si>
    <t>SW24-255</t>
  </si>
  <si>
    <t>Roman at Hayden Ferry Lakes</t>
  </si>
  <si>
    <t>SW24-256</t>
  </si>
  <si>
    <t>SW24-257</t>
  </si>
  <si>
    <t>Jack in the Box, Glendale</t>
  </si>
  <si>
    <t>SW24-258</t>
  </si>
  <si>
    <t>Camden Development</t>
  </si>
  <si>
    <t>STF Scholar House</t>
  </si>
  <si>
    <t>SW24-259</t>
  </si>
  <si>
    <t>Red Hawk Garage- Glendale</t>
  </si>
  <si>
    <t>SW24-260</t>
  </si>
  <si>
    <t>SW24-261</t>
  </si>
  <si>
    <t>48th &amp; Alameda</t>
  </si>
  <si>
    <t>SW24-262</t>
  </si>
  <si>
    <t>Sun Life Health</t>
  </si>
  <si>
    <t>SW24-263</t>
  </si>
  <si>
    <t>6466 W Fetlock Trail</t>
  </si>
  <si>
    <t>SW24-264</t>
  </si>
  <si>
    <t>Alba Softball Stadium</t>
  </si>
  <si>
    <t>SW24-265</t>
  </si>
  <si>
    <t>Garrett Construction</t>
  </si>
  <si>
    <t>Emblem Mesa</t>
  </si>
  <si>
    <t>SW24-266</t>
  </si>
  <si>
    <t>SW24-267</t>
  </si>
  <si>
    <t>Crismon Additions Ph.3</t>
  </si>
  <si>
    <t>SW24-268</t>
  </si>
  <si>
    <t>3757 S Gilbert Rd</t>
  </si>
  <si>
    <t>SW24-269</t>
  </si>
  <si>
    <t>Banner East Mesa Expansion</t>
  </si>
  <si>
    <t>SW24-270</t>
  </si>
  <si>
    <t>SW24-271</t>
  </si>
  <si>
    <t>I-10 International</t>
  </si>
  <si>
    <t>SW24-272</t>
  </si>
  <si>
    <t>PV Mall Block D1</t>
  </si>
  <si>
    <t>SW24-273</t>
  </si>
  <si>
    <t>Sun Valley Community Church</t>
  </si>
  <si>
    <t>SW24-274</t>
  </si>
  <si>
    <t>GRIC &amp; PSFCOT- District #4 Public Safety</t>
  </si>
  <si>
    <t>SW24-275</t>
  </si>
  <si>
    <t>Estrella Commerce Park</t>
  </si>
  <si>
    <t>SW24-276</t>
  </si>
  <si>
    <t>32nd St and Baseline Shops</t>
  </si>
  <si>
    <t>SW24-277</t>
  </si>
  <si>
    <t xml:space="preserve">MST </t>
  </si>
  <si>
    <t>Harmony at Hawes Crossing</t>
  </si>
  <si>
    <t>SW24-278</t>
  </si>
  <si>
    <t>ALA Peoria #3054</t>
  </si>
  <si>
    <t>SW24-279</t>
  </si>
  <si>
    <t>Floor and Décor Scottsdale</t>
  </si>
  <si>
    <t>SW24-280</t>
  </si>
  <si>
    <t>Smoke Tree Resort</t>
  </si>
  <si>
    <t>SW24-281</t>
  </si>
  <si>
    <t>SW24-282</t>
  </si>
  <si>
    <t>Kiwanis Park Improvements</t>
  </si>
  <si>
    <t>SW24-283</t>
  </si>
  <si>
    <t>SRP Falcon Field New Hangar</t>
  </si>
  <si>
    <t>SW24-284</t>
  </si>
  <si>
    <t>SW24-285</t>
  </si>
  <si>
    <t>SW24-286</t>
  </si>
  <si>
    <t>Estes Trucking Facility</t>
  </si>
  <si>
    <t>SW24-287</t>
  </si>
  <si>
    <t>Busy Bees guadalupe Rd</t>
  </si>
  <si>
    <t>SW24-288</t>
  </si>
  <si>
    <t>Sunland Academy Project</t>
  </si>
  <si>
    <t>SW24-289</t>
  </si>
  <si>
    <t>Liberty Elementary #8</t>
  </si>
  <si>
    <t>SW24-290</t>
  </si>
  <si>
    <t>SW24-291</t>
  </si>
  <si>
    <t>OMP Tempe Industrial Park</t>
  </si>
  <si>
    <t>SW24-292</t>
  </si>
  <si>
    <t>10605 N Scottsdale Rd</t>
  </si>
  <si>
    <t>SW24-293</t>
  </si>
  <si>
    <t>DXD Desert Cove Self Storage</t>
  </si>
  <si>
    <t>SW24-294</t>
  </si>
  <si>
    <t>Desert Sunrise HS Parking Lot</t>
  </si>
  <si>
    <t>SW24-295</t>
  </si>
  <si>
    <t>Sun Health La Loma Fire Pump</t>
  </si>
  <si>
    <t>SW24-296</t>
  </si>
  <si>
    <t>Starbucks #5923- Goodyear</t>
  </si>
  <si>
    <t>SW24-297</t>
  </si>
  <si>
    <t>ES Peoria</t>
  </si>
  <si>
    <t>SW24-298</t>
  </si>
  <si>
    <t>SW24-299</t>
  </si>
  <si>
    <t>SW24-300</t>
  </si>
  <si>
    <t>Smart Builders, LLC</t>
  </si>
  <si>
    <t>Human Services Campus</t>
  </si>
  <si>
    <t>SW24-301</t>
  </si>
  <si>
    <t>Edgecore Mesa PH03</t>
  </si>
  <si>
    <t>SW24-302</t>
  </si>
  <si>
    <t>GH Roosevelt Campus Expansion</t>
  </si>
  <si>
    <t>SW24-303</t>
  </si>
  <si>
    <t>SW24-304</t>
  </si>
  <si>
    <t>ARO Construction</t>
  </si>
  <si>
    <t>Lifted Trucks Scottsdale</t>
  </si>
  <si>
    <t>SW24-305</t>
  </si>
  <si>
    <t xml:space="preserve">Cives Steel    </t>
  </si>
  <si>
    <t>SW24-306</t>
  </si>
  <si>
    <t>CED- Casa Grande</t>
  </si>
  <si>
    <t>SW24-307</t>
  </si>
  <si>
    <t>Pima Regional Training Center</t>
  </si>
  <si>
    <t>SW24-308</t>
  </si>
  <si>
    <t>Lakin Park PH4</t>
  </si>
  <si>
    <t>SW24-309</t>
  </si>
  <si>
    <t>SW24-310</t>
  </si>
  <si>
    <t>Stout, LLC</t>
  </si>
  <si>
    <t>Craycroft Mister Car Wash</t>
  </si>
  <si>
    <t>SW24-311</t>
  </si>
  <si>
    <t>5345 E McLellan Rd</t>
  </si>
  <si>
    <t>SW24-312</t>
  </si>
  <si>
    <t xml:space="preserve">Frontera </t>
  </si>
  <si>
    <t>Slim Chickens Goodyear</t>
  </si>
  <si>
    <t>SW24-313</t>
  </si>
  <si>
    <t>5120 S Julian Wash</t>
  </si>
  <si>
    <t>SW24-314</t>
  </si>
  <si>
    <t>Stack Storage Phoenix</t>
  </si>
  <si>
    <t>SW24-315</t>
  </si>
  <si>
    <t>SW24-316</t>
  </si>
  <si>
    <t>HD South- Gilbert</t>
  </si>
  <si>
    <t>SW24-317</t>
  </si>
  <si>
    <t>TCRHCC- Tuba City</t>
  </si>
  <si>
    <t>SW24-318</t>
  </si>
  <si>
    <t>Gilbert Northside Springhill Suites</t>
  </si>
  <si>
    <t>SW24-319</t>
  </si>
  <si>
    <t xml:space="preserve">Westates </t>
  </si>
  <si>
    <t>Canyon Del Rio</t>
  </si>
  <si>
    <t>SW24-320</t>
  </si>
  <si>
    <t>Newport Belvedere Terrace</t>
  </si>
  <si>
    <t>SW24-321</t>
  </si>
  <si>
    <t>Structr Group LLC</t>
  </si>
  <si>
    <t>Premier Underground Avondale</t>
  </si>
  <si>
    <t>SW24-322</t>
  </si>
  <si>
    <t>St. Rose Church</t>
  </si>
  <si>
    <t>SW24-323</t>
  </si>
  <si>
    <t>Blossom Rock</t>
  </si>
  <si>
    <t>SW24-324</t>
  </si>
  <si>
    <t>Greenprint on 3rd</t>
  </si>
  <si>
    <t>SW24-325</t>
  </si>
  <si>
    <t>Hawes Crossing</t>
  </si>
  <si>
    <t>SW24-326</t>
  </si>
  <si>
    <t>GOAZ Motorcycles Prescott</t>
  </si>
  <si>
    <t>SW24-327</t>
  </si>
  <si>
    <t>Fire Station 159</t>
  </si>
  <si>
    <t>SW24-328</t>
  </si>
  <si>
    <t>Norterra Offsites</t>
  </si>
  <si>
    <t>SW24-329</t>
  </si>
  <si>
    <t>2nd Street &amp; Portland</t>
  </si>
  <si>
    <t>SW24-330</t>
  </si>
  <si>
    <t>Vistancia Retail</t>
  </si>
  <si>
    <t>SW24-331</t>
  </si>
  <si>
    <t>Nitti DAC</t>
  </si>
  <si>
    <t>Gateway Commercial Center III</t>
  </si>
  <si>
    <t>SW24-332</t>
  </si>
  <si>
    <t>ToG NASC Fuel Facility</t>
  </si>
  <si>
    <t>SW24-333</t>
  </si>
  <si>
    <t>SW24-334</t>
  </si>
  <si>
    <t>H-D Proving Grounds</t>
  </si>
  <si>
    <t>SW24-335</t>
  </si>
  <si>
    <t>Uptown Commons</t>
  </si>
  <si>
    <t>SW24-336</t>
  </si>
  <si>
    <t>ASU USB Yard</t>
  </si>
  <si>
    <t>SW24-337</t>
  </si>
  <si>
    <t>17 N Bldg C</t>
  </si>
  <si>
    <t>SW24-338</t>
  </si>
  <si>
    <t>Fender Office Bldg</t>
  </si>
  <si>
    <t>SW24-339</t>
  </si>
  <si>
    <t>754 E Germann Rd. Chandler</t>
  </si>
  <si>
    <t>SW24-340</t>
  </si>
  <si>
    <t>17 N Bldg D</t>
  </si>
  <si>
    <t>SW24-341</t>
  </si>
  <si>
    <t>6919 N Highlands Dr.</t>
  </si>
  <si>
    <t>SW24-342</t>
  </si>
  <si>
    <t>SW24-343</t>
  </si>
  <si>
    <t>Elliott &amp; Ellsworth Ph.2</t>
  </si>
  <si>
    <t>SW24-344</t>
  </si>
  <si>
    <t>Sun Health Colonade</t>
  </si>
  <si>
    <t>SW24-345</t>
  </si>
  <si>
    <t>SW24-346</t>
  </si>
  <si>
    <t>SW24-347</t>
  </si>
  <si>
    <t>SW24-348</t>
  </si>
  <si>
    <t xml:space="preserve">Markham </t>
  </si>
  <si>
    <t>District at Crystal Springs</t>
  </si>
  <si>
    <t>SW24-349</t>
  </si>
  <si>
    <t>Kraus-Anderson</t>
  </si>
  <si>
    <t>6343 E Main St</t>
  </si>
  <si>
    <t>SW24-350</t>
  </si>
  <si>
    <t>Palm Harbor Estates</t>
  </si>
  <si>
    <t>SW24-351</t>
  </si>
  <si>
    <t>Roers Companies</t>
  </si>
  <si>
    <t>Goodyear Apartments</t>
  </si>
  <si>
    <t>SW24-352</t>
  </si>
  <si>
    <t>SW24-353</t>
  </si>
  <si>
    <t>SW24-354</t>
  </si>
  <si>
    <t>El Rio Health</t>
  </si>
  <si>
    <t>SW24-355</t>
  </si>
  <si>
    <t>99th &amp; Pierce</t>
  </si>
  <si>
    <t>SW24-356</t>
  </si>
  <si>
    <t xml:space="preserve">BFL </t>
  </si>
  <si>
    <t>Phoenix Fire station #74</t>
  </si>
  <si>
    <t>SW24-357</t>
  </si>
  <si>
    <t>Source Logistics</t>
  </si>
  <si>
    <t>SW24-358</t>
  </si>
  <si>
    <t>101st &amp; Van Buren</t>
  </si>
  <si>
    <t>SW24-359</t>
  </si>
  <si>
    <t>UofA CAMI</t>
  </si>
  <si>
    <t>SW24-360</t>
  </si>
  <si>
    <t>Delta</t>
  </si>
  <si>
    <t>Better Buzz Coffee- QQ</t>
  </si>
  <si>
    <t>SW24-361</t>
  </si>
  <si>
    <t>72001 E Henkel Way Scottsdale</t>
  </si>
  <si>
    <t>SW24-362</t>
  </si>
  <si>
    <t>Mirabel Golf Club</t>
  </si>
  <si>
    <t>SW24-363</t>
  </si>
  <si>
    <t>Prime Data Center</t>
  </si>
  <si>
    <t>SW24-364</t>
  </si>
  <si>
    <t>7-Eleven #47391</t>
  </si>
  <si>
    <t>SW24-365</t>
  </si>
  <si>
    <t>CED Building Expansion</t>
  </si>
  <si>
    <t>SW24-366</t>
  </si>
  <si>
    <t xml:space="preserve">23021 E Bonanza Ct. </t>
  </si>
  <si>
    <t>SW24-367</t>
  </si>
  <si>
    <t>16960 W Yuma Rd</t>
  </si>
  <si>
    <t>SW24-368</t>
  </si>
  <si>
    <t>COC Outside Plant Fiber</t>
  </si>
  <si>
    <t>SW24-369</t>
  </si>
  <si>
    <t>SW24-370</t>
  </si>
  <si>
    <t>Lone Mountain Excavating</t>
  </si>
  <si>
    <t>Toy Barn Dove Valley</t>
  </si>
  <si>
    <t>SW24-371</t>
  </si>
  <si>
    <t>7-Eleven #47406</t>
  </si>
  <si>
    <t>SW24-372</t>
  </si>
  <si>
    <t>15000 W Clayton Road Casa Grande, AZ 85193</t>
  </si>
  <si>
    <t>SW24-373</t>
  </si>
  <si>
    <t>SW24-374</t>
  </si>
  <si>
    <t>SW24-375</t>
  </si>
  <si>
    <t>Clyde Capital Hamilton Court</t>
  </si>
  <si>
    <t>SW24-376</t>
  </si>
  <si>
    <t>SW24-377</t>
  </si>
  <si>
    <t>SW24-378</t>
  </si>
  <si>
    <t>215 S Roosevelt</t>
  </si>
  <si>
    <t>SW24-379</t>
  </si>
  <si>
    <t>City of Chandler Recycle Area Relocation</t>
  </si>
  <si>
    <t>SW24-380</t>
  </si>
  <si>
    <t>Haydon &amp; 101 Waterline Ph.1</t>
  </si>
  <si>
    <t>SW24-381</t>
  </si>
  <si>
    <t>Dallas</t>
  </si>
  <si>
    <t>Lehi Veterans Memorial</t>
  </si>
  <si>
    <t>SW24-382</t>
  </si>
  <si>
    <t>QCHS Football Field</t>
  </si>
  <si>
    <t>SW24-383</t>
  </si>
  <si>
    <t>Legacy North Scottsdale Townhomes</t>
  </si>
  <si>
    <t>SW24-384</t>
  </si>
  <si>
    <t>SW24-385</t>
  </si>
  <si>
    <t>Gable Family</t>
  </si>
  <si>
    <t>Chipotle Gilbert</t>
  </si>
  <si>
    <t>TF24-386</t>
  </si>
  <si>
    <t>SW24-387</t>
  </si>
  <si>
    <t>Osborn Senior Living</t>
  </si>
  <si>
    <t>SW24-388</t>
  </si>
  <si>
    <t>US Bank - AZ Ray Road (Phoenix)</t>
  </si>
  <si>
    <t>SW24-389</t>
  </si>
  <si>
    <t>Kroger Produce Expansion</t>
  </si>
  <si>
    <t>SW24-390</t>
  </si>
  <si>
    <t>Okland</t>
  </si>
  <si>
    <t>ASM Scottsdale</t>
  </si>
  <si>
    <t>SW24-391</t>
  </si>
  <si>
    <t>Starbucks-3563 W. Northern Ave Phoenix</t>
  </si>
  <si>
    <t>SW24-392</t>
  </si>
  <si>
    <t>Avondale Fire Station #171</t>
  </si>
  <si>
    <t>SW24-393</t>
  </si>
  <si>
    <t>Sky Harbor Center West</t>
  </si>
  <si>
    <t>SW24-394</t>
  </si>
  <si>
    <t>A finer Touch</t>
  </si>
  <si>
    <t>Miller Residence</t>
  </si>
  <si>
    <t>SW24-395</t>
  </si>
  <si>
    <t>SW24-396</t>
  </si>
  <si>
    <t>Rasch</t>
  </si>
  <si>
    <t>Bass Proshop Tucson</t>
  </si>
  <si>
    <t>SW24-397</t>
  </si>
  <si>
    <t>PVCC - Bldg B &amp; C</t>
  </si>
  <si>
    <t>SW24-398</t>
  </si>
  <si>
    <t>SW24-399</t>
  </si>
  <si>
    <t>Desert Thunder Elementary</t>
  </si>
  <si>
    <t>SW24-400</t>
  </si>
  <si>
    <t xml:space="preserve">Ganem </t>
  </si>
  <si>
    <t>7-Eleven- 9110 Thomas Rd</t>
  </si>
  <si>
    <t>SW24-401</t>
  </si>
  <si>
    <t>M. Anderson</t>
  </si>
  <si>
    <t>Lions Park</t>
  </si>
  <si>
    <t>SW24-402</t>
  </si>
  <si>
    <t>SW24-403</t>
  </si>
  <si>
    <t>Oregano's #534</t>
  </si>
  <si>
    <t>SW24-404</t>
  </si>
  <si>
    <t>Gateway Interchange</t>
  </si>
  <si>
    <t>SW24-405</t>
  </si>
  <si>
    <t>Scooters-1512 West Bell</t>
  </si>
  <si>
    <t>SW24-406</t>
  </si>
  <si>
    <t>Jacobs</t>
  </si>
  <si>
    <t>TSMC</t>
  </si>
  <si>
    <t>SW24-407</t>
  </si>
  <si>
    <t>West- MEC Carrier Academy Agua Fria</t>
  </si>
  <si>
    <t>SW24-408</t>
  </si>
  <si>
    <t>Brooklyn Bedding PH.2</t>
  </si>
  <si>
    <t>SW24-409</t>
  </si>
  <si>
    <t>Azoulay Builders</t>
  </si>
  <si>
    <t>5226 E Exeter Blvd</t>
  </si>
  <si>
    <t>SW24-410</t>
  </si>
  <si>
    <t>Big-D Construction</t>
  </si>
  <si>
    <t>TEcoma Square Apartments</t>
  </si>
  <si>
    <t>SW24-411</t>
  </si>
  <si>
    <t>CG Schmidt</t>
  </si>
  <si>
    <t>Ascend Chandler</t>
  </si>
  <si>
    <t>SW24-412</t>
  </si>
  <si>
    <t>Charter One Development</t>
  </si>
  <si>
    <t>ALA Corporate Office</t>
  </si>
  <si>
    <t>SW24-413</t>
  </si>
  <si>
    <t>Mycon</t>
  </si>
  <si>
    <t>Floor &amp; Decor Chandler</t>
  </si>
  <si>
    <t>SW24-414</t>
  </si>
  <si>
    <t>Travelers- Tempe Tech Demo</t>
  </si>
  <si>
    <t>SW24-415</t>
  </si>
  <si>
    <t xml:space="preserve">Peoria Fleet Maintenance </t>
  </si>
  <si>
    <t>SW24-416</t>
  </si>
  <si>
    <t>AMazon DTU9 EVSG</t>
  </si>
  <si>
    <t>SW24-417</t>
  </si>
  <si>
    <t>Robert E Porter</t>
  </si>
  <si>
    <t>Atomic Volleyball West</t>
  </si>
  <si>
    <t>SW24-418</t>
  </si>
  <si>
    <t xml:space="preserve">Willmeng </t>
  </si>
  <si>
    <t>Special signs for RAZ - Drexel</t>
  </si>
  <si>
    <t>SW25-01</t>
  </si>
  <si>
    <t>Camelback building group</t>
  </si>
  <si>
    <t>SW25-02</t>
  </si>
  <si>
    <t>BDMC ED Expansion</t>
  </si>
  <si>
    <t>SW25-03</t>
  </si>
  <si>
    <t>Guardian Glendale</t>
  </si>
  <si>
    <t>SW25-04</t>
  </si>
  <si>
    <t>Stonegate- Maricopa</t>
  </si>
  <si>
    <t>TF25-05</t>
  </si>
  <si>
    <t>SW25-06</t>
  </si>
  <si>
    <t>Gilbert CHS Expansion</t>
  </si>
  <si>
    <t>SW25-07</t>
  </si>
  <si>
    <t>Casa Grande Multi Family</t>
  </si>
  <si>
    <t>SW25-08</t>
  </si>
  <si>
    <t>The Whiting Turner Company</t>
  </si>
  <si>
    <t>SW25-09</t>
  </si>
  <si>
    <t>Glendale Senior Living Apartments</t>
  </si>
  <si>
    <t>SW25-10</t>
  </si>
  <si>
    <t>SW25-11</t>
  </si>
  <si>
    <t>Casa Grande 55+</t>
  </si>
  <si>
    <t>SW25-12</t>
  </si>
  <si>
    <t>Chandler Freeways</t>
  </si>
  <si>
    <t>SW25-13</t>
  </si>
  <si>
    <t>SW25-14</t>
  </si>
  <si>
    <t>SW25-15</t>
  </si>
  <si>
    <t>SW25-16</t>
  </si>
  <si>
    <t>SW25-17</t>
  </si>
  <si>
    <t>SRPMIC- Senior Center Improvements</t>
  </si>
  <si>
    <t>SW25-18</t>
  </si>
  <si>
    <t>Mt Builders</t>
  </si>
  <si>
    <t>Magnolia Waterside at Old Town</t>
  </si>
  <si>
    <t>SW25-19</t>
  </si>
  <si>
    <t>SRP MET</t>
  </si>
  <si>
    <t>SW25-20</t>
  </si>
  <si>
    <t>TBL Group</t>
  </si>
  <si>
    <t>TBL Headquarters</t>
  </si>
  <si>
    <t>SW25-21</t>
  </si>
  <si>
    <t>Story Cannabis Shell</t>
  </si>
  <si>
    <t>SW25-22</t>
  </si>
  <si>
    <t xml:space="preserve">TLW </t>
  </si>
  <si>
    <t>Extra Space Mesa #1499</t>
  </si>
  <si>
    <t>SW25-23</t>
  </si>
  <si>
    <t>SW25-24</t>
  </si>
  <si>
    <t>K Hovanian</t>
  </si>
  <si>
    <t>SW25-25</t>
  </si>
  <si>
    <t>Busy Bees Brown Rd</t>
  </si>
  <si>
    <t>SW25-26</t>
  </si>
  <si>
    <t>Daisy Mountain</t>
  </si>
  <si>
    <t>SW25-27</t>
  </si>
  <si>
    <t>AMEX</t>
  </si>
  <si>
    <t>SW25-28</t>
  </si>
  <si>
    <t>3843 N 50th St.</t>
  </si>
  <si>
    <t>SW25-29</t>
  </si>
  <si>
    <t>Garrett</t>
  </si>
  <si>
    <t>Inspire</t>
  </si>
  <si>
    <t>SW25-30</t>
  </si>
  <si>
    <t>Jars Metro Phase 1</t>
  </si>
  <si>
    <t>SW25-31</t>
  </si>
  <si>
    <t>Baldwin</t>
  </si>
  <si>
    <t>Wendy's Mesa</t>
  </si>
  <si>
    <t>SW25-32</t>
  </si>
  <si>
    <t>Starbucks- 3860 West Happy Valley Road Glendale</t>
  </si>
  <si>
    <t>SW25-33</t>
  </si>
  <si>
    <t>SW25-34</t>
  </si>
  <si>
    <t>Nexus- Elliot &amp; Hardy</t>
  </si>
  <si>
    <t>SW25-35</t>
  </si>
  <si>
    <t>Peterson &amp; Ellsworth Shops</t>
  </si>
  <si>
    <t>SW25-36</t>
  </si>
  <si>
    <t>Retail Bldg A1-1 and A1-2</t>
  </si>
  <si>
    <t>SW25-37</t>
  </si>
  <si>
    <t>8005 E Roosevelt St</t>
  </si>
  <si>
    <t>SW25-38</t>
  </si>
  <si>
    <t>5228 S Blackstone LLC</t>
  </si>
  <si>
    <t>Sienna Ridge</t>
  </si>
  <si>
    <t>SW25-39</t>
  </si>
  <si>
    <t>Waxie Mesa</t>
  </si>
  <si>
    <t>SW25-40</t>
  </si>
  <si>
    <t>Abernathy</t>
  </si>
  <si>
    <t>Cactus Storage</t>
  </si>
  <si>
    <t>SW25-41</t>
  </si>
  <si>
    <t>Project Three Ten</t>
  </si>
  <si>
    <t>SW25-42</t>
  </si>
  <si>
    <t>73rd St. Infrustructure</t>
  </si>
  <si>
    <t>SW25-43</t>
  </si>
  <si>
    <t>Lakin Phase IV URI</t>
  </si>
  <si>
    <t>SW25-44</t>
  </si>
  <si>
    <t>Cobblestone C65</t>
  </si>
  <si>
    <t>SW25-45</t>
  </si>
  <si>
    <t>20001 N 57th Ave</t>
  </si>
  <si>
    <t>SW25-46</t>
  </si>
  <si>
    <t>Queen Creek JHS Transport Yard</t>
  </si>
  <si>
    <t>SW25-47</t>
  </si>
  <si>
    <t>West MEC SE Campus</t>
  </si>
  <si>
    <t>SW25-48</t>
  </si>
  <si>
    <t>PHX065 Data Centers</t>
  </si>
  <si>
    <t>SW25-49</t>
  </si>
  <si>
    <t>Blackhawk Construction</t>
  </si>
  <si>
    <t>Sunaire Facility</t>
  </si>
  <si>
    <t>SW25-50</t>
  </si>
  <si>
    <t>Dr.Goodman</t>
  </si>
  <si>
    <t>SW25-51</t>
  </si>
  <si>
    <t>7220 E Mayo Blvd</t>
  </si>
  <si>
    <t>SW25-52</t>
  </si>
  <si>
    <t>Bungalows at Sundance</t>
  </si>
  <si>
    <t>SW25-53</t>
  </si>
  <si>
    <t>ASAP Clinic</t>
  </si>
  <si>
    <t>SW25-54</t>
  </si>
  <si>
    <t>Pecos Point Industrial</t>
  </si>
  <si>
    <t>SW25-55</t>
  </si>
  <si>
    <t>SW25-56</t>
  </si>
  <si>
    <t>Starbucks- 8160 W Thunderbird Rd</t>
  </si>
  <si>
    <t>SW25-57</t>
  </si>
  <si>
    <t>Integrity Building</t>
  </si>
  <si>
    <t>Industrial Bldg Gateway Norte</t>
  </si>
  <si>
    <t>TF25-58</t>
  </si>
  <si>
    <t>SW25-59</t>
  </si>
  <si>
    <t>Kroger Produce</t>
  </si>
  <si>
    <t>SW25-60</t>
  </si>
  <si>
    <t>QTS PHX2 DC4</t>
  </si>
  <si>
    <t>SW25-61</t>
  </si>
  <si>
    <t>Capstone Apartments</t>
  </si>
  <si>
    <t>SW25-62</t>
  </si>
  <si>
    <t>SW25-63</t>
  </si>
  <si>
    <t>Christian Bros Auto Lake Pleasant</t>
  </si>
  <si>
    <t>SW25-64</t>
  </si>
  <si>
    <t>Power Village</t>
  </si>
  <si>
    <t>SW25-65</t>
  </si>
  <si>
    <t>U-Haul Palm Valley, Goodyear</t>
  </si>
  <si>
    <t>SW25-66</t>
  </si>
  <si>
    <t>Falcon Field Executive Hangars</t>
  </si>
  <si>
    <t>SW25-67</t>
  </si>
  <si>
    <t>SDC, Inc</t>
  </si>
  <si>
    <t>Palo Verde at Riverview I</t>
  </si>
  <si>
    <t>SW25-68</t>
  </si>
  <si>
    <t>St. Henry's Catechesis Center Project</t>
  </si>
  <si>
    <t>SW25-69</t>
  </si>
  <si>
    <t>11824 W McDowell Rd</t>
  </si>
  <si>
    <t>SW25-70</t>
  </si>
  <si>
    <t>Go99 North Offsite</t>
  </si>
  <si>
    <t>SW25-71</t>
  </si>
  <si>
    <t>56th St. &amp; Camelback</t>
  </si>
  <si>
    <t>SW25-72</t>
  </si>
  <si>
    <t>Craycroft Storage- Tucson</t>
  </si>
  <si>
    <t>SW25-73</t>
  </si>
  <si>
    <t>15 Alameda</t>
  </si>
  <si>
    <t>SW25-74</t>
  </si>
  <si>
    <t>SW25-75</t>
  </si>
  <si>
    <t>Pediment Park 202</t>
  </si>
  <si>
    <t>SW25-76</t>
  </si>
  <si>
    <t>Laveen Village</t>
  </si>
  <si>
    <t>SW25-77</t>
  </si>
  <si>
    <t>ASU Poly Central Plant Expansion</t>
  </si>
  <si>
    <t>SW25-78</t>
  </si>
  <si>
    <t>Empire Construction</t>
  </si>
  <si>
    <t>Bucca Di Beppo</t>
  </si>
  <si>
    <t>SW25-79</t>
  </si>
  <si>
    <t>SW25-80</t>
  </si>
  <si>
    <t xml:space="preserve">Porter Kyle </t>
  </si>
  <si>
    <t>The Wayne</t>
  </si>
  <si>
    <t>SW25-81</t>
  </si>
  <si>
    <t>SW25-82</t>
  </si>
  <si>
    <t>SW25-83</t>
  </si>
  <si>
    <t>Litchfield Elementary #17</t>
  </si>
  <si>
    <t>SW25-84</t>
  </si>
  <si>
    <t xml:space="preserve">DRP </t>
  </si>
  <si>
    <t>SW25-85</t>
  </si>
  <si>
    <t>Alcorn</t>
  </si>
  <si>
    <t>Axis IOS</t>
  </si>
  <si>
    <t>SW25-86</t>
  </si>
  <si>
    <t>SW25-87</t>
  </si>
  <si>
    <t>LDS Eastmark</t>
  </si>
  <si>
    <t>SW25-88</t>
  </si>
  <si>
    <t>8476 E Wetherfield Rd</t>
  </si>
  <si>
    <t>SW25-89</t>
  </si>
  <si>
    <t>SW25-90</t>
  </si>
  <si>
    <t>21940 N 75th Ave, Glendale</t>
  </si>
  <si>
    <t>SW25-91</t>
  </si>
  <si>
    <t>Imperial Underground Solutions</t>
  </si>
  <si>
    <t>1510 Doncaster Dr.</t>
  </si>
  <si>
    <t>SW25-92</t>
  </si>
  <si>
    <t>Residence Inn- Cotton Center</t>
  </si>
  <si>
    <t>SW25-93</t>
  </si>
  <si>
    <t>91st &amp; Cardinal Way</t>
  </si>
  <si>
    <t>SW25-94</t>
  </si>
  <si>
    <t>Temple Chai</t>
  </si>
  <si>
    <t>SW25-95</t>
  </si>
  <si>
    <t>SW25-96</t>
  </si>
  <si>
    <t>Novus 3G Civil Improvements</t>
  </si>
  <si>
    <t>SW25-97</t>
  </si>
  <si>
    <t>Three-Five Logistics</t>
  </si>
  <si>
    <t>SW25-98</t>
  </si>
  <si>
    <t>2610 W Lone Cactus TI</t>
  </si>
  <si>
    <t>SW25-99</t>
  </si>
  <si>
    <t>True North</t>
  </si>
  <si>
    <t>Fire Rock Parking Lot</t>
  </si>
  <si>
    <t>SW25-100</t>
  </si>
  <si>
    <t>SW25-101</t>
  </si>
  <si>
    <t>530 E Ryley Dr.</t>
  </si>
  <si>
    <t>SW25-102</t>
  </si>
  <si>
    <t>Medina Station</t>
  </si>
  <si>
    <t>SW25-103</t>
  </si>
  <si>
    <t>Waddell Crossing</t>
  </si>
  <si>
    <t>SW25-104</t>
  </si>
  <si>
    <t>Fire Rock Fitness Site</t>
  </si>
  <si>
    <t>SW25-105</t>
  </si>
  <si>
    <t>Tempe Fire Station #2</t>
  </si>
  <si>
    <t>SW25-106</t>
  </si>
  <si>
    <t>SW25-107</t>
  </si>
  <si>
    <t>Signature at SanTan Village</t>
  </si>
  <si>
    <t>SW25-108</t>
  </si>
  <si>
    <t>COC JOC Outside Plant Fiber Remote Bldg DB</t>
  </si>
  <si>
    <t>SW25-109</t>
  </si>
  <si>
    <t>Marriott StudioRes- Mesa</t>
  </si>
  <si>
    <t>SW25-110</t>
  </si>
  <si>
    <t>Goldwater</t>
  </si>
  <si>
    <t>TF25-111</t>
  </si>
  <si>
    <t>SW25-112</t>
  </si>
  <si>
    <t>SW25-113</t>
  </si>
  <si>
    <t>TF25-114</t>
  </si>
  <si>
    <t>StudioRes Mesa</t>
  </si>
  <si>
    <t>SW25-115</t>
  </si>
  <si>
    <t>PHX065</t>
  </si>
  <si>
    <t>SW25-116</t>
  </si>
  <si>
    <t>Englewood</t>
  </si>
  <si>
    <t>Portillos, Chandler</t>
  </si>
  <si>
    <t>SW25-117</t>
  </si>
  <si>
    <t>SW25-118</t>
  </si>
  <si>
    <t>Sprouts HQ</t>
  </si>
  <si>
    <t>SW25-119</t>
  </si>
  <si>
    <t>Ellsworth Tech Center</t>
  </si>
  <si>
    <t>TF25-120</t>
  </si>
  <si>
    <t>SW25-121</t>
  </si>
  <si>
    <t>Desert Truss</t>
  </si>
  <si>
    <t>Desert Truss West</t>
  </si>
  <si>
    <t>SW25-122</t>
  </si>
  <si>
    <t>AZ Royal Dental Clinic</t>
  </si>
  <si>
    <t>SW25-123</t>
  </si>
  <si>
    <t>Norterra Untion Street Bldg C</t>
  </si>
  <si>
    <t>SW25-124</t>
  </si>
  <si>
    <t>Sunrise Operation Center</t>
  </si>
  <si>
    <t>SW25-125</t>
  </si>
  <si>
    <t>Alisano</t>
  </si>
  <si>
    <t>Elliot Electric</t>
  </si>
  <si>
    <t>SW25-126</t>
  </si>
  <si>
    <t>Hawaiian Bros 82</t>
  </si>
  <si>
    <t>SW25-127</t>
  </si>
  <si>
    <t>Paradigm Construction</t>
  </si>
  <si>
    <t>B2550 Demo</t>
  </si>
  <si>
    <t>SW25-128</t>
  </si>
  <si>
    <t>Astria- Trinitas</t>
  </si>
  <si>
    <t>SW25-129</t>
  </si>
  <si>
    <t>R&amp;L Carriers</t>
  </si>
  <si>
    <t>SW25-130</t>
  </si>
  <si>
    <t>RSI Construction</t>
  </si>
  <si>
    <t>O'Reilly- Thatcher</t>
  </si>
  <si>
    <t>SW25-131</t>
  </si>
  <si>
    <t>SW25-132</t>
  </si>
  <si>
    <t>Falcon Field G</t>
  </si>
  <si>
    <t>SW25-133</t>
  </si>
  <si>
    <t>El Cidro-17701 W Odeim Lot #88</t>
  </si>
  <si>
    <t>SW25-134</t>
  </si>
  <si>
    <t>Heritage Academy Auditorium</t>
  </si>
  <si>
    <t>SW25-135</t>
  </si>
  <si>
    <t>SCAHCC LTC Facility</t>
  </si>
  <si>
    <t>SW25-136</t>
  </si>
  <si>
    <t>Soilworks</t>
  </si>
  <si>
    <t>SRP Copper Crossing</t>
  </si>
  <si>
    <t>SW25-137</t>
  </si>
  <si>
    <t>G&amp;J Development</t>
  </si>
  <si>
    <t>SW25-138</t>
  </si>
  <si>
    <t>Roxteel</t>
  </si>
  <si>
    <t>W Jomax Rd &amp; N 195th Ave</t>
  </si>
  <si>
    <t>SW25-139</t>
  </si>
  <si>
    <t>Lot 25 Grade &amp; Chain Link Fence</t>
  </si>
  <si>
    <t>SW25-140</t>
  </si>
  <si>
    <t>SW25-141</t>
  </si>
  <si>
    <t>Larson Development</t>
  </si>
  <si>
    <t>Element at Casa Grande</t>
  </si>
  <si>
    <t>SW25-142</t>
  </si>
  <si>
    <t>SW25-143</t>
  </si>
  <si>
    <t>SW25-144</t>
  </si>
  <si>
    <t>Steven Leinweber Construction</t>
  </si>
  <si>
    <t>Camelback Interchange</t>
  </si>
  <si>
    <t>SW25-145</t>
  </si>
  <si>
    <t>SW25-146</t>
  </si>
  <si>
    <t>Park 52</t>
  </si>
  <si>
    <t>SW25-147</t>
  </si>
  <si>
    <t>Holder Construction</t>
  </si>
  <si>
    <t>Stream Data Center- PHXA2</t>
  </si>
  <si>
    <t>SW25-148</t>
  </si>
  <si>
    <t xml:space="preserve">LGE Design </t>
  </si>
  <si>
    <t>AV Dimensions</t>
  </si>
  <si>
    <t>SW25-149</t>
  </si>
  <si>
    <t>RESD MIT PH 3 &amp; 4</t>
  </si>
  <si>
    <t>SW25-150</t>
  </si>
  <si>
    <t xml:space="preserve">2952 Plaza </t>
  </si>
  <si>
    <t>SW25-151</t>
  </si>
  <si>
    <t>Straight Arrow</t>
  </si>
  <si>
    <t>Castle Steel</t>
  </si>
  <si>
    <t>SW25-152</t>
  </si>
  <si>
    <t>Dutch Bros Coffee AZ1006</t>
  </si>
  <si>
    <t>SW25-153</t>
  </si>
  <si>
    <t xml:space="preserve">Agate </t>
  </si>
  <si>
    <t>SW25-154</t>
  </si>
  <si>
    <t xml:space="preserve">3261 S Hawes Road Mesa, AZ </t>
  </si>
  <si>
    <t>SW25-155</t>
  </si>
  <si>
    <t>My Storage Group</t>
  </si>
  <si>
    <t>My Storage Prescott</t>
  </si>
  <si>
    <t>SW25-156</t>
  </si>
  <si>
    <t>Ellsworth Storage Offsites</t>
  </si>
  <si>
    <t>SW25-157</t>
  </si>
  <si>
    <t>PRG Grand Forty Five Gateway</t>
  </si>
  <si>
    <t>SW25-158</t>
  </si>
  <si>
    <t>Home Depot- Buckeye</t>
  </si>
  <si>
    <t>SW25-159</t>
  </si>
  <si>
    <t>Heritage North</t>
  </si>
  <si>
    <t>SW25-160</t>
  </si>
  <si>
    <t>ASU Orange Mall</t>
  </si>
  <si>
    <t>SW25-161</t>
  </si>
  <si>
    <t>Tanger Outlets Chandler</t>
  </si>
  <si>
    <t>SW25-162</t>
  </si>
  <si>
    <t>Farmer Bros- 22430 E Ocotillo</t>
  </si>
  <si>
    <t>SW25-163</t>
  </si>
  <si>
    <t>japanese Augo Pros 91st Ave- Peoria</t>
  </si>
  <si>
    <t>SW25-164</t>
  </si>
  <si>
    <t>Sky Harbor Airport Demo</t>
  </si>
  <si>
    <t>SW25-165</t>
  </si>
  <si>
    <t>SW25-166</t>
  </si>
  <si>
    <t>MTI- Mitchell General</t>
  </si>
  <si>
    <t>Habit Burger- 199980 S Ellsworth</t>
  </si>
  <si>
    <t>SW25-167</t>
  </si>
  <si>
    <t>SW25-168</t>
  </si>
  <si>
    <t>Westates Construction</t>
  </si>
  <si>
    <t>Legacy Square</t>
  </si>
  <si>
    <t>SW25-169</t>
  </si>
  <si>
    <t>SW25-170</t>
  </si>
  <si>
    <t>QTS PHX3- DC1</t>
  </si>
  <si>
    <t>SW25-171</t>
  </si>
  <si>
    <t xml:space="preserve">Double AA </t>
  </si>
  <si>
    <t>59th &amp; Elliot</t>
  </si>
  <si>
    <t>SW25-172</t>
  </si>
  <si>
    <t xml:space="preserve">8321 E Appaloosa Trail Scottsdale, AZ </t>
  </si>
  <si>
    <t>SW25-173</t>
  </si>
  <si>
    <t>Frontera Building</t>
  </si>
  <si>
    <t>Shops at PV marketplace</t>
  </si>
  <si>
    <t>SW25-174</t>
  </si>
  <si>
    <t>Roadrunner RV Storage- Anthem</t>
  </si>
  <si>
    <t>SW25-175</t>
  </si>
  <si>
    <t>NTT PH.4</t>
  </si>
  <si>
    <t>SW25-176</t>
  </si>
  <si>
    <t>SW25-177</t>
  </si>
  <si>
    <t>MSA-HUB1</t>
  </si>
  <si>
    <t>TF25-178</t>
  </si>
  <si>
    <t>SW25-179</t>
  </si>
  <si>
    <t>SW25-180</t>
  </si>
  <si>
    <t>201 W Van Buren</t>
  </si>
  <si>
    <t>SW25-181</t>
  </si>
  <si>
    <t>SRP Crosscut Facilty</t>
  </si>
  <si>
    <t>SW25-182</t>
  </si>
  <si>
    <t>U-haul of Maricopa</t>
  </si>
  <si>
    <t>SW25-183</t>
  </si>
  <si>
    <t>Dunn Edwards- TCI Site Improvements</t>
  </si>
  <si>
    <t>SW25-184</t>
  </si>
  <si>
    <t>24740 N 92nd St- Scottsdale</t>
  </si>
  <si>
    <t>SW25-185</t>
  </si>
  <si>
    <t>SW25-186</t>
  </si>
  <si>
    <t>SW25-187</t>
  </si>
  <si>
    <t>KDC</t>
  </si>
  <si>
    <t>SW25-188</t>
  </si>
  <si>
    <t>Steel &amp; Spark</t>
  </si>
  <si>
    <t>Senior Bridge</t>
  </si>
  <si>
    <t>SW25-189</t>
  </si>
  <si>
    <t>WE O'Neil</t>
  </si>
  <si>
    <t>Garfield III</t>
  </si>
  <si>
    <t>SW25-190</t>
  </si>
  <si>
    <t>7301 W Bell Rd</t>
  </si>
  <si>
    <t>SW25-191</t>
  </si>
  <si>
    <t>Stack Avondale Trailer City</t>
  </si>
  <si>
    <t>SW25-192</t>
  </si>
  <si>
    <t>Lumberyard</t>
  </si>
  <si>
    <t>SW25-193</t>
  </si>
  <si>
    <t>Encanto</t>
  </si>
  <si>
    <t>SW25-194</t>
  </si>
  <si>
    <t>Hawk Builders</t>
  </si>
  <si>
    <t>Links at South Mtn/Baseline Marketpl</t>
  </si>
  <si>
    <t>SW25-195</t>
  </si>
  <si>
    <t>100 N 79th Street Chandler</t>
  </si>
  <si>
    <t>SW25-196</t>
  </si>
  <si>
    <t>SW25-197</t>
  </si>
  <si>
    <t>Gilbert Heritage Park</t>
  </si>
  <si>
    <t>SW25-198</t>
  </si>
  <si>
    <t>SW25-199</t>
  </si>
  <si>
    <t>PV Lot 14</t>
  </si>
  <si>
    <t>SW25-200</t>
  </si>
  <si>
    <t>Cunningham</t>
  </si>
  <si>
    <t>SW25-201</t>
  </si>
  <si>
    <t>Caldwell Watza Construction</t>
  </si>
  <si>
    <t>Enterprise 1709 S. Craycroft Rd</t>
  </si>
  <si>
    <t>SW25-202</t>
  </si>
  <si>
    <t>Switchyard at Queen Creek</t>
  </si>
  <si>
    <t>SW25-203</t>
  </si>
  <si>
    <t>The Samuel</t>
  </si>
  <si>
    <t>SW25-204</t>
  </si>
  <si>
    <t>Falcon 12</t>
  </si>
  <si>
    <t>SW25-205</t>
  </si>
  <si>
    <t>Alloy Corporation</t>
  </si>
  <si>
    <t>E Ingram St &amp; M Rosemont</t>
  </si>
  <si>
    <t>SW25-206</t>
  </si>
  <si>
    <t xml:space="preserve">11416 N 66th St. </t>
  </si>
  <si>
    <t>SW25-207</t>
  </si>
  <si>
    <t>Sauers</t>
  </si>
  <si>
    <t>Avondale Kia</t>
  </si>
  <si>
    <t>SW25-208</t>
  </si>
  <si>
    <t>SW25-209</t>
  </si>
  <si>
    <t>Pavilion at Camelback</t>
  </si>
  <si>
    <t>SW25-210</t>
  </si>
  <si>
    <t>Komico-7300 E Hampton Ave</t>
  </si>
  <si>
    <t>SW25-211</t>
  </si>
  <si>
    <t>Paradise Gateway</t>
  </si>
  <si>
    <t>SW25-212</t>
  </si>
  <si>
    <t>Mead &amp; Hunt</t>
  </si>
  <si>
    <t>9601 N Reems Road Waddell</t>
  </si>
  <si>
    <t>SW25-213</t>
  </si>
  <si>
    <t>Sam's cl;ub phoenix, remodel</t>
  </si>
  <si>
    <t>SW25-214</t>
  </si>
  <si>
    <t>PCDS- Music Bldg</t>
  </si>
  <si>
    <t>SW25-215</t>
  </si>
  <si>
    <t>SW25-216</t>
  </si>
  <si>
    <t>SW25-217</t>
  </si>
  <si>
    <t>Delta Construction</t>
  </si>
  <si>
    <t>AAA Phoenix Fleet</t>
  </si>
  <si>
    <t>SW25-218</t>
  </si>
  <si>
    <t>Villas at Baseline</t>
  </si>
  <si>
    <t>SW25-219</t>
  </si>
  <si>
    <t>SW25-220</t>
  </si>
  <si>
    <t>SW25-221</t>
  </si>
  <si>
    <t>Joars Metro Ph.3</t>
  </si>
  <si>
    <t>SW25-222</t>
  </si>
  <si>
    <t>TLW</t>
  </si>
  <si>
    <t>Prime Storage at 91st Ave</t>
  </si>
  <si>
    <t>SW25-223</t>
  </si>
  <si>
    <t>Millennium High School</t>
  </si>
  <si>
    <t>SW25-224</t>
  </si>
  <si>
    <t>Freeberg Manufacturing</t>
  </si>
  <si>
    <t>SW25-225</t>
  </si>
  <si>
    <t>33094 N Northstar circle</t>
  </si>
  <si>
    <t>SW25-226</t>
  </si>
  <si>
    <t>The Glmore</t>
  </si>
  <si>
    <t>SW25-227</t>
  </si>
  <si>
    <t xml:space="preserve"> Sara's Micro</t>
  </si>
  <si>
    <t>SW25-228</t>
  </si>
  <si>
    <t>AR MAys</t>
  </si>
  <si>
    <t>HFHEC</t>
  </si>
  <si>
    <t>SW25-229</t>
  </si>
  <si>
    <t>USACE AMSA</t>
  </si>
  <si>
    <t>SW25-230</t>
  </si>
  <si>
    <t>Estrella Self Storage</t>
  </si>
  <si>
    <t>SW25-231</t>
  </si>
  <si>
    <t>SW25-232</t>
  </si>
  <si>
    <t>SW25-233</t>
  </si>
  <si>
    <t>SW25-234</t>
  </si>
  <si>
    <t>SW25-235</t>
  </si>
  <si>
    <t>Tolleson Aquatic</t>
  </si>
  <si>
    <t>SW25-236</t>
  </si>
  <si>
    <t>OneAZ peoria</t>
  </si>
  <si>
    <t>SW25-237</t>
  </si>
  <si>
    <t>Shea Residences</t>
  </si>
  <si>
    <t>SW25-238</t>
  </si>
  <si>
    <t>SCA- EArly Childhood Center</t>
  </si>
  <si>
    <t>SW25-239</t>
  </si>
  <si>
    <t>GDMS</t>
  </si>
  <si>
    <t>TF25-240</t>
  </si>
  <si>
    <t>SW25-241</t>
  </si>
  <si>
    <t>Arcadia Builders</t>
  </si>
  <si>
    <t>6014 E Caron Circle Paradise Valley</t>
  </si>
  <si>
    <t>SW25-242</t>
  </si>
  <si>
    <t xml:space="preserve"> Edge Phx-11</t>
  </si>
  <si>
    <t>SW25-243</t>
  </si>
  <si>
    <t>PV Phase 5 Infrastructure</t>
  </si>
  <si>
    <t>SW25-244</t>
  </si>
  <si>
    <t>ASU McCain</t>
  </si>
  <si>
    <t>SW25-245</t>
  </si>
  <si>
    <t>City of Tempe/Bike Lanes (Curry/Contin)</t>
  </si>
  <si>
    <t>SW25-246</t>
  </si>
  <si>
    <t>SW25-247</t>
  </si>
  <si>
    <t>GYS General Contracting</t>
  </si>
  <si>
    <t>Guaridan Broadway</t>
  </si>
  <si>
    <t>SW25-248</t>
  </si>
  <si>
    <t>XPO Bldg B</t>
  </si>
  <si>
    <t>SW25-249</t>
  </si>
  <si>
    <t>SW25-250</t>
  </si>
  <si>
    <t>Starwood Custom Homes</t>
  </si>
  <si>
    <t>9191 S Krista Drive E.</t>
  </si>
  <si>
    <t>SW25-251</t>
  </si>
  <si>
    <t>TF25-252</t>
  </si>
  <si>
    <t>SW25-253</t>
  </si>
  <si>
    <t>SW25-254</t>
  </si>
  <si>
    <t>HQ Multi-Use Bldg</t>
  </si>
  <si>
    <t>SW25-255</t>
  </si>
  <si>
    <t>16643 W Mohave St</t>
  </si>
  <si>
    <t>SW25-256</t>
  </si>
  <si>
    <t>Aligned DC PhX07</t>
  </si>
  <si>
    <t>SW25-257</t>
  </si>
  <si>
    <t>SW25-258</t>
  </si>
  <si>
    <t>Stevens Leinweber</t>
  </si>
  <si>
    <t>QTS Parking Lot</t>
  </si>
  <si>
    <t>SW25-259</t>
  </si>
  <si>
    <t>Community Developement</t>
  </si>
  <si>
    <t>5301 E Palo Verde Drive</t>
  </si>
  <si>
    <t>SW25-260</t>
  </si>
  <si>
    <t>Banner Verrado</t>
  </si>
  <si>
    <t>SW25-261</t>
  </si>
  <si>
    <t>Papago mrktplc Sprouts, Scottsdale</t>
  </si>
  <si>
    <t>SW25-262</t>
  </si>
  <si>
    <t>Bell Buildinig Group</t>
  </si>
  <si>
    <t>940 W Moon Valley Road Phoenix</t>
  </si>
  <si>
    <t>SW25-263</t>
  </si>
  <si>
    <t>AJ Rodeo and Event Center</t>
  </si>
  <si>
    <t>SW25-264</t>
  </si>
  <si>
    <t>Sun Valley Church Chandler</t>
  </si>
  <si>
    <t>SW25-265</t>
  </si>
  <si>
    <t>SW25-266</t>
  </si>
  <si>
    <t>Perform Air</t>
  </si>
  <si>
    <t>SW25-267</t>
  </si>
  <si>
    <t>Menlo Equities</t>
  </si>
  <si>
    <t>4801-4811 E Thistle Landing</t>
  </si>
  <si>
    <t>SW25-268</t>
  </si>
  <si>
    <t>Harbor Park</t>
  </si>
  <si>
    <t>SW25-269</t>
  </si>
  <si>
    <t>SW25-270</t>
  </si>
  <si>
    <t>SW25-271</t>
  </si>
  <si>
    <t>Kimbrell Residence</t>
  </si>
  <si>
    <t>SW25-272</t>
  </si>
  <si>
    <t>MUSD K8-New Model School</t>
  </si>
  <si>
    <t>SW25-273</t>
  </si>
  <si>
    <t>Falco Aluminum Mfg Facility Expansion</t>
  </si>
  <si>
    <t>SW25-274</t>
  </si>
  <si>
    <t>BFL</t>
  </si>
  <si>
    <t>Maricopa Library Distribution Bldg</t>
  </si>
  <si>
    <t>SW25-275</t>
  </si>
  <si>
    <t>Boys &amp; Girls Club Tonalea</t>
  </si>
  <si>
    <t>SW25-276</t>
  </si>
  <si>
    <t>Costco Wholesale- Chandler</t>
  </si>
  <si>
    <t>SW25-277</t>
  </si>
  <si>
    <t>SW25-278</t>
  </si>
  <si>
    <t>SW25-279</t>
  </si>
  <si>
    <t>SW25-280</t>
  </si>
  <si>
    <t>Benson Construction</t>
  </si>
  <si>
    <t>Luxe Locker</t>
  </si>
  <si>
    <t>SW25-281</t>
  </si>
  <si>
    <t>SW25-282</t>
  </si>
  <si>
    <t>Chipotle Anthem Way</t>
  </si>
  <si>
    <t>SW25-283</t>
  </si>
  <si>
    <t>Southwest Commercial Builders</t>
  </si>
  <si>
    <t>Ballpark Retail Shops</t>
  </si>
  <si>
    <t>SW25-284</t>
  </si>
  <si>
    <t>SW25-285</t>
  </si>
  <si>
    <t>NTT PH5</t>
  </si>
  <si>
    <t>SW25-286</t>
  </si>
  <si>
    <t>SW25-287</t>
  </si>
  <si>
    <t>ASU Poly Taylor Hall</t>
  </si>
  <si>
    <t>SW25-288</t>
  </si>
  <si>
    <t>Sysco VMF Lot</t>
  </si>
  <si>
    <t>SW25-289</t>
  </si>
  <si>
    <t>S&amp;S Paving</t>
  </si>
  <si>
    <t>2200 W Alameda Rd</t>
  </si>
  <si>
    <t>TF25-290</t>
  </si>
  <si>
    <t>SW25-291</t>
  </si>
  <si>
    <t>Wolff Constuction</t>
  </si>
  <si>
    <t>501 N Plaza Dr</t>
  </si>
  <si>
    <t>SW25-292</t>
  </si>
  <si>
    <t>Lifetime living</t>
  </si>
  <si>
    <t>SW25-293</t>
  </si>
  <si>
    <t xml:space="preserve">Dickens </t>
  </si>
  <si>
    <t xml:space="preserve">333 N 7th Ave </t>
  </si>
  <si>
    <t>SW25-294</t>
  </si>
  <si>
    <t>SW25-295</t>
  </si>
  <si>
    <t>Marbella Ranch</t>
  </si>
  <si>
    <t>SW25-296</t>
  </si>
  <si>
    <t>SW25-297</t>
  </si>
  <si>
    <t>Lagerhaus Parking Expansion</t>
  </si>
  <si>
    <t>SW25-298</t>
  </si>
  <si>
    <t>Lofts at G-Diamond</t>
  </si>
  <si>
    <t>SW25-299</t>
  </si>
  <si>
    <t>Homestead at Lehi</t>
  </si>
  <si>
    <t>TF25-300</t>
  </si>
  <si>
    <t>SW25-301</t>
  </si>
  <si>
    <t>Bethany Bay</t>
  </si>
  <si>
    <t>SW25-302</t>
  </si>
  <si>
    <t>Thunderbird Adventist Academy</t>
  </si>
  <si>
    <t>SW25-303</t>
  </si>
  <si>
    <t>Woodsprings Suites</t>
  </si>
  <si>
    <t>SW25-304</t>
  </si>
  <si>
    <t>Eastmarket &amp; Sprouts Market</t>
  </si>
  <si>
    <t>SW25-305</t>
  </si>
  <si>
    <t>Blucor</t>
  </si>
  <si>
    <t>Haven at Bell Rd</t>
  </si>
  <si>
    <t>SW25-306</t>
  </si>
  <si>
    <t xml:space="preserve">BPR </t>
  </si>
  <si>
    <t>GSQ Bldg 01</t>
  </si>
  <si>
    <t>SW25-307</t>
  </si>
  <si>
    <t>PGC Builders</t>
  </si>
  <si>
    <t>Autozone Goodyear</t>
  </si>
  <si>
    <t>SW25-308</t>
  </si>
  <si>
    <t>Flats at Ballpark</t>
  </si>
  <si>
    <t>SW25-309</t>
  </si>
  <si>
    <t>Talking Stick Golf Course</t>
  </si>
  <si>
    <t>SW25-310</t>
  </si>
  <si>
    <t>Findorf</t>
  </si>
  <si>
    <t>Treehouse Tempe 7th St</t>
  </si>
  <si>
    <t>SW25-311</t>
  </si>
  <si>
    <t>Maricopa Gym &amp; Fieldhouse</t>
  </si>
  <si>
    <t>WT25-312</t>
  </si>
  <si>
    <t>SW25-313</t>
  </si>
  <si>
    <t>Friendship Village PH.3</t>
  </si>
  <si>
    <t>SW25-314</t>
  </si>
  <si>
    <t>Jefferson House</t>
  </si>
  <si>
    <t>SW25-315</t>
  </si>
  <si>
    <t>City of Scottsdale Transfer Station</t>
  </si>
  <si>
    <t>TF25-316</t>
  </si>
  <si>
    <t>SW25-317</t>
  </si>
  <si>
    <t>Pacific Tek</t>
  </si>
  <si>
    <t>SW25-318</t>
  </si>
  <si>
    <t>Pecos 17</t>
  </si>
  <si>
    <t>SW25-319</t>
  </si>
  <si>
    <t>F1 Paving &amp; Grading</t>
  </si>
  <si>
    <t>MACU</t>
  </si>
  <si>
    <t>SW25-320</t>
  </si>
  <si>
    <t>504 W 2nd St. Tempe</t>
  </si>
  <si>
    <t>SW25-321</t>
  </si>
  <si>
    <t>SW25-322</t>
  </si>
  <si>
    <t>SW25-323</t>
  </si>
  <si>
    <t>SW25-324</t>
  </si>
  <si>
    <t>SW25-325</t>
  </si>
  <si>
    <t>SW25-326</t>
  </si>
  <si>
    <t>Joyco</t>
  </si>
  <si>
    <t>2160 N McQueen Road</t>
  </si>
  <si>
    <t>SW25-327</t>
  </si>
  <si>
    <t>Path Contruction</t>
  </si>
  <si>
    <t>Marriott StudioRes PHX- Pinnacle Peak</t>
  </si>
  <si>
    <t>SW25-328</t>
  </si>
  <si>
    <t>24699 S 186th PL</t>
  </si>
  <si>
    <t>SW25-329</t>
  </si>
  <si>
    <t>LHM Ford Pro-Elite</t>
  </si>
  <si>
    <t>SW25-330</t>
  </si>
  <si>
    <t>2411 W Rose garden Lane</t>
  </si>
  <si>
    <t>SW25-331</t>
  </si>
  <si>
    <t>Parkview at Morrison Ranch</t>
  </si>
  <si>
    <t>SW25-332</t>
  </si>
  <si>
    <t>IDM Construction</t>
  </si>
  <si>
    <t>35th Ave and Southern</t>
  </si>
  <si>
    <t>SW25-333</t>
  </si>
  <si>
    <t>SW25-334</t>
  </si>
  <si>
    <t>Pecos and McQueen Storage</t>
  </si>
  <si>
    <t>SW25-335</t>
  </si>
  <si>
    <t>BPR</t>
  </si>
  <si>
    <t>GSQ Block A1-A2</t>
  </si>
  <si>
    <t>SW25-336</t>
  </si>
  <si>
    <t>Dickens</t>
  </si>
  <si>
    <t>Laveen Town Center</t>
  </si>
  <si>
    <t>SW25-337</t>
  </si>
  <si>
    <t>Skyport at Redfield Hangers</t>
  </si>
  <si>
    <t>SW25-338</t>
  </si>
  <si>
    <t>Sundt Construction</t>
  </si>
  <si>
    <t>JX Metels</t>
  </si>
  <si>
    <t>SW25-339</t>
  </si>
  <si>
    <t>Z Modular</t>
  </si>
  <si>
    <t>Fuze Glendale Park</t>
  </si>
  <si>
    <t>SW25-340</t>
  </si>
  <si>
    <t>SW25-341</t>
  </si>
  <si>
    <t>Aligned PH06-Tower 2</t>
  </si>
  <si>
    <t>SW25-342</t>
  </si>
  <si>
    <t>Anthem Commerce Park</t>
  </si>
  <si>
    <t>SW25-343</t>
  </si>
  <si>
    <t>DSV Legacy Business Park</t>
  </si>
  <si>
    <t>SW25-344</t>
  </si>
  <si>
    <t>Honor Health 3T MRI</t>
  </si>
  <si>
    <t>SW25-345</t>
  </si>
  <si>
    <t>525-KTEC- Phoenix</t>
  </si>
  <si>
    <t>SW25-346</t>
  </si>
  <si>
    <t>6040 E Thomas Rd</t>
  </si>
  <si>
    <t>SW25-347</t>
  </si>
  <si>
    <t>Pediment Project</t>
  </si>
  <si>
    <t>SW25-348</t>
  </si>
  <si>
    <t>250145- 3150 W Lower Buckeye Rd</t>
  </si>
  <si>
    <t>SW25-349</t>
  </si>
  <si>
    <t>10402 East Charter Oak</t>
  </si>
  <si>
    <t>SW25-350</t>
  </si>
  <si>
    <t>SW25-351</t>
  </si>
  <si>
    <t>On-Site Builders</t>
  </si>
  <si>
    <t>SW25-352</t>
  </si>
  <si>
    <t xml:space="preserve"> AJ Prospector Park Pickle Ball Courts</t>
  </si>
  <si>
    <t>SW25-353</t>
  </si>
  <si>
    <t>Norvona</t>
  </si>
  <si>
    <t>SW25-354</t>
  </si>
  <si>
    <t>H4U Construction</t>
  </si>
  <si>
    <t>Dunton Residence</t>
  </si>
  <si>
    <t>SW25-355</t>
  </si>
  <si>
    <t>Lariat Village</t>
  </si>
  <si>
    <t>SW25-356</t>
  </si>
  <si>
    <t>SW25-357</t>
  </si>
  <si>
    <t>SW25-358</t>
  </si>
  <si>
    <t>SW25-359</t>
  </si>
  <si>
    <t>SW25-360</t>
  </si>
  <si>
    <t>SW25-361</t>
  </si>
  <si>
    <t>SW25-362</t>
  </si>
  <si>
    <t>SW25-363</t>
  </si>
  <si>
    <t>SW25-364</t>
  </si>
  <si>
    <t>SW25-365</t>
  </si>
  <si>
    <t>SW25-366</t>
  </si>
  <si>
    <t>SW25-367</t>
  </si>
  <si>
    <t>SW25-368</t>
  </si>
  <si>
    <t>SW25-369</t>
  </si>
  <si>
    <t>SW25-370</t>
  </si>
  <si>
    <t>SW25-371</t>
  </si>
  <si>
    <t>SW25-372</t>
  </si>
  <si>
    <t>SW25-373</t>
  </si>
  <si>
    <t>SW25-374</t>
  </si>
  <si>
    <t>SW25-375</t>
  </si>
  <si>
    <t>ITEM: Contract Payoffs</t>
  </si>
  <si>
    <t>DESCRIPTION: Zero Credit on account - reference PMT # &amp; Date</t>
  </si>
  <si>
    <t>Type</t>
  </si>
  <si>
    <t>Date</t>
  </si>
  <si>
    <t>Num</t>
  </si>
  <si>
    <t>Amount</t>
  </si>
  <si>
    <t>Invoice #</t>
  </si>
  <si>
    <t>Status</t>
  </si>
  <si>
    <t>MISC</t>
  </si>
  <si>
    <t xml:space="preserve">Using the date 12.31.24: </t>
  </si>
  <si>
    <t>Payment</t>
  </si>
  <si>
    <t>Adra Contracting</t>
  </si>
  <si>
    <t>CP-500</t>
  </si>
  <si>
    <t>DONE</t>
  </si>
  <si>
    <t>over paid on invoice A-23-382-06</t>
  </si>
  <si>
    <t>Chasse Building Team</t>
  </si>
  <si>
    <t>CP-501</t>
  </si>
  <si>
    <t>Over paid invoice SW24-74-03</t>
  </si>
  <si>
    <t>David Weekley Homes</t>
  </si>
  <si>
    <t>CP-502</t>
  </si>
  <si>
    <t>Embree Group:US Bank- Scottsdale</t>
  </si>
  <si>
    <t>CP-503</t>
  </si>
  <si>
    <t>Embree Group:US Bank- Higley Rd- Gilbert</t>
  </si>
  <si>
    <t>CP-504</t>
  </si>
  <si>
    <t>EMJ Corporation:Chandler Apts</t>
  </si>
  <si>
    <t>CP-505</t>
  </si>
  <si>
    <t>Over payment on invoice SW21-253-29 / 30 - Tf21-273-16</t>
  </si>
  <si>
    <t>FCL Builders, LLC:Summit Business Park</t>
  </si>
  <si>
    <t>CP-506</t>
  </si>
  <si>
    <t>Online</t>
  </si>
  <si>
    <t>George H Pastor &amp; Sons:Whataburger- Avondale</t>
  </si>
  <si>
    <t>CP-507</t>
  </si>
  <si>
    <t>Greenberg Construction:Bell Bank Gilbert</t>
  </si>
  <si>
    <t>CP-508</t>
  </si>
  <si>
    <t>OVer paid for Sept 2024 pay ap</t>
  </si>
  <si>
    <t>Guardian Civil Contracting, LLC</t>
  </si>
  <si>
    <t>CP-509</t>
  </si>
  <si>
    <t>Paid invoice A-23-304-10</t>
  </si>
  <si>
    <t>JLB Partners:44th &amp; 202 Project</t>
  </si>
  <si>
    <t>CP-510</t>
  </si>
  <si>
    <t>K. Hovnanian Homes</t>
  </si>
  <si>
    <t>CP-511</t>
  </si>
  <si>
    <t>LGE Design Build:Genesis Of Chandler</t>
  </si>
  <si>
    <t>CP-512</t>
  </si>
  <si>
    <t>Paid invoice A-24-26-04 again</t>
  </si>
  <si>
    <t>Maydall Construction:SRPMIC- ECEC</t>
  </si>
  <si>
    <t>CP-513</t>
  </si>
  <si>
    <t>Over paid SW22-373-16</t>
  </si>
  <si>
    <t>NEAR-CAL CORP.</t>
  </si>
  <si>
    <t>CP-514</t>
  </si>
  <si>
    <t>Street Lights Residential, LLC:PV Mall Apartments</t>
  </si>
  <si>
    <t>CP-515</t>
  </si>
  <si>
    <t>Thompson Thrift Construction, Inc.</t>
  </si>
  <si>
    <t>CP-516</t>
  </si>
  <si>
    <t>Torrent Resources</t>
  </si>
  <si>
    <t>CP-517</t>
  </si>
  <si>
    <t>Wespac Construction:Carvana Corporate Campus</t>
  </si>
  <si>
    <t>CP-518</t>
  </si>
  <si>
    <t>Willmeng Construction, Inc.:Cotton Lane Commerce Park</t>
  </si>
  <si>
    <t>CP-519</t>
  </si>
  <si>
    <t>Zero Balance/Job Ended/This could be contract payoff?</t>
  </si>
  <si>
    <t>Willmeng Construction, Inc.:Deer Valley Business Center</t>
  </si>
  <si>
    <t>CP-520</t>
  </si>
  <si>
    <t>Not sure(no memo/Balance still on account - retention?</t>
  </si>
  <si>
    <t>Willmeng Construction, Inc.:SCAHCC Health Clinic</t>
  </si>
  <si>
    <t>CP-521</t>
  </si>
  <si>
    <t>Willmeng Construction, Inc.:Sun Valley Academy- Glendale</t>
  </si>
  <si>
    <t>CP-522</t>
  </si>
  <si>
    <t xml:space="preserve">Using the date 07.13.24: </t>
  </si>
  <si>
    <t>3411 Builders:Atlas Kierland</t>
  </si>
  <si>
    <t xml:space="preserve">CP-130 </t>
  </si>
  <si>
    <t>No notes / not sure</t>
  </si>
  <si>
    <t>A Finer Touch Construction: Carder Residence</t>
  </si>
  <si>
    <t>CP-131</t>
  </si>
  <si>
    <t>Check 9245 NSF / Reissued 9335 (should have been taken out of system or have had an offset to post against so that it was no longer unapplied.)</t>
  </si>
  <si>
    <t>A.R Mays Construction:Mountainside Fitness Avondale</t>
  </si>
  <si>
    <t>CP-132</t>
  </si>
  <si>
    <t>WE do not have the check stub - No memo in deposit</t>
  </si>
  <si>
    <t>Arco/Murray:12341 S Sossaman - Mesa</t>
  </si>
  <si>
    <t>CP-133</t>
  </si>
  <si>
    <t>Over paid invoice A-22-494-02 / THIS WAS A REVISED INVOICE AND THEY PAID ORIGINAL</t>
  </si>
  <si>
    <t>CP-134</t>
  </si>
  <si>
    <t>Over payment on invoice A-23-382-04</t>
  </si>
  <si>
    <t>Camelot Homes - Mark Hancock Dev</t>
  </si>
  <si>
    <t>CP-135</t>
  </si>
  <si>
    <t>No Memo / Very common invoice amount this time period</t>
  </si>
  <si>
    <t>Big-D Construction Southwest</t>
  </si>
  <si>
    <t>CP-136</t>
  </si>
  <si>
    <t>Paid invoice A-23-204-01 again</t>
  </si>
  <si>
    <t>CP-137</t>
  </si>
  <si>
    <t>Lots of 210 invoices / No Memo</t>
  </si>
  <si>
    <t>CP-138</t>
  </si>
  <si>
    <t>?</t>
  </si>
  <si>
    <t>CP-139</t>
  </si>
  <si>
    <t>Clayco:QTS PHX2 DC5</t>
  </si>
  <si>
    <t>CP-140</t>
  </si>
  <si>
    <t>Over paid COR for 6/15/2023</t>
  </si>
  <si>
    <t>Clayco:X Phoenix Ph.2</t>
  </si>
  <si>
    <t>CP-141</t>
  </si>
  <si>
    <t>CP-142</t>
  </si>
  <si>
    <t>Double AA Builders, LTD</t>
  </si>
  <si>
    <t>CP-143</t>
  </si>
  <si>
    <t>Paid invoice P2216517 again</t>
  </si>
  <si>
    <t>DPR Construction Company</t>
  </si>
  <si>
    <t>CP-144</t>
  </si>
  <si>
    <t>DR Horton Inc.</t>
  </si>
  <si>
    <t>CP-145</t>
  </si>
  <si>
    <t>Eleven Western Builders Inc.</t>
  </si>
  <si>
    <t>CP-146</t>
  </si>
  <si>
    <t>EMJ Corporation:Avondale Station</t>
  </si>
  <si>
    <t>CP-147</t>
  </si>
  <si>
    <t>Paid invoice A-23-285-02 by ACH after CC Ran</t>
  </si>
  <si>
    <t>CP-148</t>
  </si>
  <si>
    <t>Paid invoice P-19-260-46 again</t>
  </si>
  <si>
    <t>CP-149</t>
  </si>
  <si>
    <t>CP-150</t>
  </si>
  <si>
    <t>Paid invoice SW22-369-12 again</t>
  </si>
  <si>
    <t>Hanna Design Group, Inc.:AutoZone #6784- Queen Creek</t>
  </si>
  <si>
    <t>CP-151</t>
  </si>
  <si>
    <t>CP-152</t>
  </si>
  <si>
    <t>CP-153</t>
  </si>
  <si>
    <t>CP-154</t>
  </si>
  <si>
    <t>Lam Building</t>
  </si>
  <si>
    <t>CP-155</t>
  </si>
  <si>
    <t>Pegasus Construction, Inc.:Valvoline Glendale</t>
  </si>
  <si>
    <t>CP-156</t>
  </si>
  <si>
    <t>CP-157</t>
  </si>
  <si>
    <t>Layton Construction Company</t>
  </si>
  <si>
    <t>CP-158</t>
  </si>
  <si>
    <t>CP-159</t>
  </si>
  <si>
    <t>Low Mountain Construction:Tempe Bike and Pedestrian Path</t>
  </si>
  <si>
    <t>CP-160</t>
  </si>
  <si>
    <t>This was applied wrong</t>
  </si>
  <si>
    <t>Landco Rentals LLC</t>
  </si>
  <si>
    <t>CP-161</t>
  </si>
  <si>
    <t>Maydall Construction:Lonely Cactus</t>
  </si>
  <si>
    <t>CP-162</t>
  </si>
  <si>
    <t>McCarthy Construction</t>
  </si>
  <si>
    <t>CP-163</t>
  </si>
  <si>
    <t>McShane Construction Company:Apache River</t>
  </si>
  <si>
    <t>TF21-371-34</t>
  </si>
  <si>
    <t>CP-164</t>
  </si>
  <si>
    <t>McShane Construction Company</t>
  </si>
  <si>
    <t>CP-165</t>
  </si>
  <si>
    <t>McShane Construction Company:Waterview Residential</t>
  </si>
  <si>
    <t>CP-166</t>
  </si>
  <si>
    <t>Midwestern University:19555 N 59th Ave</t>
  </si>
  <si>
    <t>CP-167</t>
  </si>
  <si>
    <t>CP-168</t>
  </si>
  <si>
    <t>Nitti Builders:TSMC Supplier Site "C"</t>
  </si>
  <si>
    <t>CP-169</t>
  </si>
  <si>
    <t>PWI Residential Inc.</t>
  </si>
  <si>
    <t>CP-170</t>
  </si>
  <si>
    <t>PWI Residential Inc.:#21-R02- Hillside Residence</t>
  </si>
  <si>
    <t>CP-171</t>
  </si>
  <si>
    <t>RECON</t>
  </si>
  <si>
    <t>QuickBooks Customer</t>
  </si>
  <si>
    <t>CP-172</t>
  </si>
  <si>
    <t>CP-173</t>
  </si>
  <si>
    <t>Renaissance Companies:BIP Infrastructure</t>
  </si>
  <si>
    <t>CP-174</t>
  </si>
  <si>
    <t>Renaissance Companies:Toy Barn Scottsdale II</t>
  </si>
  <si>
    <t>CP-175</t>
  </si>
  <si>
    <t>Ryan Companies US, Inc</t>
  </si>
  <si>
    <t>CP-176</t>
  </si>
  <si>
    <t>SW</t>
  </si>
  <si>
    <t>Sandstorm Construction</t>
  </si>
  <si>
    <t>CP-177</t>
  </si>
  <si>
    <t>SIGMA Contracting</t>
  </si>
  <si>
    <t>CP-178</t>
  </si>
  <si>
    <t>Starlight Homes</t>
  </si>
  <si>
    <t>CP-179</t>
  </si>
  <si>
    <t>Street Lights Residential, LLC</t>
  </si>
  <si>
    <t>CP-180</t>
  </si>
  <si>
    <t>CP-181</t>
  </si>
  <si>
    <t>CP-182</t>
  </si>
  <si>
    <t>Torrent Resources:Lucid Motors</t>
  </si>
  <si>
    <t>CP-183</t>
  </si>
  <si>
    <t>Tri Pointe Homes (Maracay Homes)</t>
  </si>
  <si>
    <t>CP-184</t>
  </si>
  <si>
    <t>US Development &amp; Construction INC:4858 W Maryland Ave, Glendale</t>
  </si>
  <si>
    <t>CP-185</t>
  </si>
  <si>
    <t>US Development &amp; Construction INC</t>
  </si>
  <si>
    <t>CP-186</t>
  </si>
  <si>
    <t>CP-187</t>
  </si>
  <si>
    <t>PJ</t>
  </si>
  <si>
    <t>W.E. O'Neil:55 Resort Scottsdale</t>
  </si>
  <si>
    <t>CP-188</t>
  </si>
  <si>
    <t>W.E. O'Neil:Garfield Housing II</t>
  </si>
  <si>
    <t>CP-189</t>
  </si>
  <si>
    <t>Waste Management</t>
  </si>
  <si>
    <t>CP-190</t>
  </si>
  <si>
    <t>12463076-2558901</t>
  </si>
  <si>
    <t>Weitz Co:Raintree Drive Residential</t>
  </si>
  <si>
    <t>CP-191</t>
  </si>
  <si>
    <t>Looks like a reconciled duplicate payment</t>
  </si>
  <si>
    <t>Willmeng Construction, Inc.:Chandler Airpark 202</t>
  </si>
  <si>
    <t>CP-192</t>
  </si>
  <si>
    <t>Willmeng Construction, Inc.</t>
  </si>
  <si>
    <t>CP-193</t>
  </si>
  <si>
    <t> </t>
  </si>
  <si>
    <t>Willmeng Construction, Inc.:ADOT Regional Basin</t>
  </si>
  <si>
    <t>CP-194</t>
  </si>
  <si>
    <t>Willmeng Construction, Inc.:Sundance Park Ph.2</t>
  </si>
  <si>
    <t>CP-195</t>
  </si>
  <si>
    <t>Wood Partners:Alta Goodyear</t>
  </si>
  <si>
    <t>23P18121-16</t>
  </si>
  <si>
    <t>Invoice 23P18121-12 paid $685.25 / Overpd</t>
  </si>
  <si>
    <t>Current Month End Date / For Invoice Date</t>
  </si>
  <si>
    <t>PMT</t>
  </si>
  <si>
    <t>CP-1000</t>
  </si>
  <si>
    <t>CP</t>
  </si>
  <si>
    <t>McShane Construction Company:LCG Kierland</t>
  </si>
  <si>
    <t>CP-1001</t>
  </si>
  <si>
    <t>Ryan Companies US, Inc:Kroger Flaming Bird FC-09</t>
  </si>
  <si>
    <t>CP-1002</t>
  </si>
  <si>
    <t>Thompson Thrift Construction, Inc.:AZ, Buckeye, Yuma Rd</t>
  </si>
  <si>
    <t>CP-1003</t>
  </si>
  <si>
    <t>CP-1004</t>
  </si>
  <si>
    <t>WILLMENG: Kentwood Casa Grande</t>
  </si>
  <si>
    <t>CP-1005</t>
  </si>
  <si>
    <t>Layton Construction Company:Lakin Industrial Park Ph.4</t>
  </si>
  <si>
    <t>CP-1006</t>
  </si>
  <si>
    <t>Customer</t>
  </si>
  <si>
    <t>Credit Memo #</t>
  </si>
  <si>
    <t>CREDIT 1</t>
  </si>
  <si>
    <t>New Legacy Builders</t>
  </si>
  <si>
    <t>CREDIT 2</t>
  </si>
  <si>
    <t>CREDIT 3</t>
  </si>
  <si>
    <t>CREDIT 4</t>
  </si>
  <si>
    <t>Stucco Renovations</t>
  </si>
  <si>
    <t>CREDIT 5</t>
  </si>
  <si>
    <t>Forstie David</t>
  </si>
  <si>
    <t>CREDIT 6</t>
  </si>
  <si>
    <t>Ashton Woods Homes</t>
  </si>
  <si>
    <t>CREDIT 7</t>
  </si>
  <si>
    <t>Advanced Development &amp; Building</t>
  </si>
  <si>
    <t>CREDIT 8</t>
  </si>
  <si>
    <t>Opus Design Build</t>
  </si>
  <si>
    <t>CREDIT 9</t>
  </si>
  <si>
    <t>Cameron General Contractors</t>
  </si>
  <si>
    <t>CREDIT 10</t>
  </si>
  <si>
    <t>Buesing Corporation</t>
  </si>
  <si>
    <t>CREDIT 11</t>
  </si>
  <si>
    <t>CREDIT 12</t>
  </si>
  <si>
    <t>ZDI, LLC</t>
  </si>
  <si>
    <t>CREDIT 13</t>
  </si>
  <si>
    <t>A.R. Mayes</t>
  </si>
  <si>
    <t>CREDIT 14</t>
  </si>
  <si>
    <t>CREDIT 15</t>
  </si>
  <si>
    <t>CREDIT 16</t>
  </si>
  <si>
    <t>McGough Construction</t>
  </si>
  <si>
    <t>CREDIT 17</t>
  </si>
  <si>
    <t>had the amount on the invoice but did not go to the job in 2018/I corrected in 2018</t>
  </si>
  <si>
    <t>Airpark Signs &amp; Graphics</t>
  </si>
  <si>
    <t>CREDIT 18</t>
  </si>
  <si>
    <t>Trinsic Residential Group</t>
  </si>
  <si>
    <t>CREDIT 19</t>
  </si>
  <si>
    <t xml:space="preserve">K.Hovanian </t>
  </si>
  <si>
    <t>CREDIT 20</t>
  </si>
  <si>
    <t>678070 ON  08/2018</t>
  </si>
  <si>
    <t>703000 ON 10/2018</t>
  </si>
  <si>
    <t>747962 ON 02/2019</t>
  </si>
  <si>
    <t>Ruckman, Tim</t>
  </si>
  <si>
    <t>CREDIT 21</t>
  </si>
  <si>
    <t>606016757 ON 02/2019</t>
  </si>
  <si>
    <t>J.N. Pebler Construction</t>
  </si>
  <si>
    <t>CREDIT 22</t>
  </si>
  <si>
    <t>1014 ON 06/2018</t>
  </si>
  <si>
    <t>MT Builders; McKinley Court</t>
  </si>
  <si>
    <t>CREDIT 23</t>
  </si>
  <si>
    <t>4127 ON 02/2019</t>
  </si>
  <si>
    <t>Nunns Construction</t>
  </si>
  <si>
    <t>CREDIT 24</t>
  </si>
  <si>
    <t>3843 ON 12/2017</t>
  </si>
  <si>
    <t>OGC Construction Management</t>
  </si>
  <si>
    <t>CREDIT 25</t>
  </si>
  <si>
    <t>1892 ON 03/2018</t>
  </si>
  <si>
    <t>Other Customer</t>
  </si>
  <si>
    <t>CREDIT 26</t>
  </si>
  <si>
    <t>RECON 05/2017</t>
  </si>
  <si>
    <t>RECON 06/2017</t>
  </si>
  <si>
    <t>CREDIT 27</t>
  </si>
  <si>
    <t xml:space="preserve">Buffalo? </t>
  </si>
  <si>
    <t>Bannack or Sotozona?</t>
  </si>
  <si>
    <t>CREDIT 28</t>
  </si>
  <si>
    <t>CREDIT 29</t>
  </si>
  <si>
    <t>CREDIT 30</t>
  </si>
  <si>
    <t>United Rental</t>
  </si>
  <si>
    <t>CREDIT 31</t>
  </si>
  <si>
    <t>Phoenix Rising Soccer Complex</t>
  </si>
  <si>
    <t>CREDIT 32</t>
  </si>
  <si>
    <t>Camelot Homes</t>
  </si>
  <si>
    <t>CREDIT 33</t>
  </si>
  <si>
    <t>Hunter Contracting Co</t>
  </si>
  <si>
    <t>CREDIT 34</t>
  </si>
  <si>
    <t>Weitz;  Beatitudes Patio Homes</t>
  </si>
  <si>
    <t>CREDIT 35</t>
  </si>
  <si>
    <t>Rytan, LLC; Alhambra- Gymnasium Addition</t>
  </si>
  <si>
    <t>CREDIT 36</t>
  </si>
  <si>
    <t>#18696</t>
  </si>
  <si>
    <t>Ryan Companies US, Inc:17 North - Farmers Way</t>
  </si>
  <si>
    <t>CREDIT 37</t>
  </si>
  <si>
    <t>CREDIT 38</t>
  </si>
  <si>
    <t>Sigma Homes; 2237 Mercer Lane</t>
  </si>
  <si>
    <t>CREDIT 39</t>
  </si>
  <si>
    <t>CREDIT 40</t>
  </si>
  <si>
    <t>CREDIT 41</t>
  </si>
  <si>
    <t>CREDIT 42</t>
  </si>
  <si>
    <t xml:space="preserve"> CREDIT 43</t>
  </si>
  <si>
    <t>CREDIT 44</t>
  </si>
  <si>
    <t>CREDIT 45</t>
  </si>
  <si>
    <t>Park7</t>
  </si>
  <si>
    <t>CREDIT 46</t>
  </si>
  <si>
    <t>CREDIT 47</t>
  </si>
  <si>
    <t>CREDIT 48</t>
  </si>
  <si>
    <t>1728 05/18/20</t>
  </si>
  <si>
    <t>AR Mayes: Fat Cats</t>
  </si>
  <si>
    <t>CREDIT 50</t>
  </si>
  <si>
    <t>51540 04/02/21</t>
  </si>
  <si>
    <t>Ashley Duffy: 5321 S Four Peaks Way</t>
  </si>
  <si>
    <t>CREDIT 49</t>
  </si>
  <si>
    <t>CC PMT - 2 Cards / credit not processed?</t>
  </si>
  <si>
    <t>Renaisance</t>
  </si>
  <si>
    <t>CREDIT 51</t>
  </si>
  <si>
    <t>CREDIT 52</t>
  </si>
  <si>
    <t>SJ Anderson</t>
  </si>
  <si>
    <t>CREDIT 53</t>
  </si>
  <si>
    <t>CREDIT 54</t>
  </si>
  <si>
    <t>CREDIT 55</t>
  </si>
  <si>
    <t>CREDIT 56</t>
  </si>
  <si>
    <t>CREDIT 57</t>
  </si>
  <si>
    <t>CREDIT 58</t>
  </si>
  <si>
    <t>CREDIT 59</t>
  </si>
  <si>
    <t>CREDIT 60</t>
  </si>
  <si>
    <t>CREDIT 61</t>
  </si>
  <si>
    <t>CREDIT 62</t>
  </si>
  <si>
    <t>CREDIT 63</t>
  </si>
  <si>
    <t>Hansen</t>
  </si>
  <si>
    <t>CREDIT 64</t>
  </si>
  <si>
    <t>CREDIT 65</t>
  </si>
  <si>
    <t>CREDIT 66</t>
  </si>
  <si>
    <t>CREDIT 67</t>
  </si>
  <si>
    <t>CREDIT 68</t>
  </si>
  <si>
    <t>Concorde</t>
  </si>
  <si>
    <t>CREDIT 69</t>
  </si>
  <si>
    <t>CREDIT 70</t>
  </si>
  <si>
    <t>CREDIT 71</t>
  </si>
  <si>
    <t>CREDIT 72</t>
  </si>
  <si>
    <t>AR Mays Mirabel</t>
  </si>
  <si>
    <t>CREDIT 73</t>
  </si>
  <si>
    <t>DPR- Mayo Hardscape</t>
  </si>
  <si>
    <t>CREDIT 74</t>
  </si>
  <si>
    <t>Embrey- Beardsley</t>
  </si>
  <si>
    <t>CREDIT 75</t>
  </si>
  <si>
    <t>CREDIT 76</t>
  </si>
  <si>
    <t>CREDIT 77</t>
  </si>
  <si>
    <t>Acadia Healthcare</t>
  </si>
  <si>
    <t>CREDIT 78</t>
  </si>
  <si>
    <t>CREDIT 79</t>
  </si>
  <si>
    <t>CREDIT 80</t>
  </si>
  <si>
    <t>CREDIT 81</t>
  </si>
  <si>
    <t>CREDIT 82</t>
  </si>
  <si>
    <t>Vollkommen</t>
  </si>
  <si>
    <t>CREDIT 83</t>
  </si>
  <si>
    <t>MT: InspIra Mesa Gateway</t>
  </si>
  <si>
    <t>CREDIT 84</t>
  </si>
  <si>
    <t>AR Mays: Mountain Vista</t>
  </si>
  <si>
    <t>CREDIT 85</t>
  </si>
  <si>
    <t>Turner Optum RX</t>
  </si>
  <si>
    <t>CREDIT 86</t>
  </si>
  <si>
    <t>MO25</t>
  </si>
  <si>
    <t>CREDIT 87</t>
  </si>
  <si>
    <t>CREDIT 88</t>
  </si>
  <si>
    <t>CREDIT 89</t>
  </si>
  <si>
    <t>Way Construction</t>
  </si>
  <si>
    <t>CREDIT 90</t>
  </si>
  <si>
    <t>Unnapplied payment was $704.20 (used to offset part on old invoice P-21-337-11 $176.24)</t>
  </si>
  <si>
    <t>ECCO Heavy Equipment Rental</t>
  </si>
  <si>
    <t>CREDIT 91</t>
  </si>
  <si>
    <t>Curve South Mtn</t>
  </si>
  <si>
    <t>CREDIT 92</t>
  </si>
  <si>
    <t>CREDIT 93</t>
  </si>
  <si>
    <t>CREDIT 94</t>
  </si>
  <si>
    <t>CREDIT 95</t>
  </si>
  <si>
    <t xml:space="preserve">Hardison Downey </t>
  </si>
  <si>
    <t>CREDIT 96</t>
  </si>
  <si>
    <t>OV Remodeling</t>
  </si>
  <si>
    <t>CREDIT 97</t>
  </si>
  <si>
    <t>these were charge backs and then paid on a new card</t>
  </si>
  <si>
    <t>CREDIT 98</t>
  </si>
  <si>
    <t>CREDIT 99</t>
  </si>
  <si>
    <t>Curve Estrella</t>
  </si>
  <si>
    <t>CREDIT 100</t>
  </si>
  <si>
    <t>Peak One</t>
  </si>
  <si>
    <t>CREDIT 101</t>
  </si>
  <si>
    <t>CREDIT 105</t>
  </si>
  <si>
    <t>CREDIT 106</t>
  </si>
  <si>
    <t>CREDIT 107</t>
  </si>
  <si>
    <t>CREDIT 108</t>
  </si>
  <si>
    <t>Century Communities</t>
  </si>
  <si>
    <t>CREDIT 118</t>
  </si>
  <si>
    <t>Century Complete (WJH LLC)</t>
  </si>
  <si>
    <t>CREDIT 117</t>
  </si>
  <si>
    <t>Contract payoffs</t>
  </si>
  <si>
    <t>CREDIT 115</t>
  </si>
  <si>
    <t xml:space="preserve">A Finer Touch </t>
  </si>
  <si>
    <t>CREDIT 102</t>
  </si>
  <si>
    <t>AR Mays Mountainside</t>
  </si>
  <si>
    <t>CREDIT 103</t>
  </si>
  <si>
    <t>CREDIT 104</t>
  </si>
  <si>
    <t>EMJ Chandler Apts</t>
  </si>
  <si>
    <t>CREDIT 109</t>
  </si>
  <si>
    <t>EMJ Avondale Station</t>
  </si>
  <si>
    <t>CREDIT 110</t>
  </si>
  <si>
    <t>3411: Atlas</t>
  </si>
  <si>
    <t>CREDIT 111</t>
  </si>
  <si>
    <t>Big D Construction SW</t>
  </si>
  <si>
    <t>CREDIT 112</t>
  </si>
  <si>
    <t>A-23-204-01 / Pd Twice</t>
  </si>
  <si>
    <t>Arizona Specialty Demo</t>
  </si>
  <si>
    <t>CREDIT 113</t>
  </si>
  <si>
    <t>Pd invoice twice</t>
  </si>
  <si>
    <t>Bjerk Builders, Inc.:Saddle Creek TI</t>
  </si>
  <si>
    <t>CREDIT 114</t>
  </si>
  <si>
    <t>CREDIT 116</t>
  </si>
  <si>
    <t>Adra</t>
  </si>
  <si>
    <t>CREDIT 119</t>
  </si>
  <si>
    <t>CREDIT 120</t>
  </si>
  <si>
    <t>A-22-494-02</t>
  </si>
  <si>
    <t>PD original amnt of revised inv</t>
  </si>
  <si>
    <t>CREDIT 121</t>
  </si>
  <si>
    <t>CREDIT 122</t>
  </si>
  <si>
    <t>CREDIT 123</t>
  </si>
  <si>
    <t>CREDIT 124</t>
  </si>
  <si>
    <t>CREDIT 125</t>
  </si>
  <si>
    <t>PNG</t>
  </si>
  <si>
    <t>CREDIT 126</t>
  </si>
  <si>
    <t>MT : ALEXAN</t>
  </si>
  <si>
    <t>CREDIT 127</t>
  </si>
  <si>
    <t>WD Construction (Weis Builders):Aviara Flats</t>
  </si>
  <si>
    <t>CREDIT 128</t>
  </si>
  <si>
    <t>from 06/26/2023</t>
  </si>
  <si>
    <t>CREDIT 129</t>
  </si>
  <si>
    <t>Liberty Utilities Email : SM AZ New Service Requests &lt;NewServiceRequests@libertyutilities.com&gt;</t>
  </si>
  <si>
    <t>Email to confirm if in their service area and request a permit application</t>
  </si>
  <si>
    <t>IMPORTANT ITEMS ON APPLICATION AS OF 02.13.25 (MAKE THE CUSTOMER AWARE OF ALL THE BELOW)</t>
  </si>
  <si>
    <r>
      <rPr>
        <sz val="12"/>
        <color rgb="FF000000"/>
        <rFont val="Aptos"/>
      </rPr>
      <t xml:space="preserve">The term of the agreement is to </t>
    </r>
    <r>
      <rPr>
        <b/>
        <sz val="12"/>
        <color rgb="FF000000"/>
        <rFont val="Aptos"/>
      </rPr>
      <t>April 30, 2025</t>
    </r>
    <r>
      <rPr>
        <sz val="12"/>
        <color rgb="FF000000"/>
        <rFont val="Aptos"/>
      </rPr>
      <t>.</t>
    </r>
    <r>
      <rPr>
        <b/>
        <sz val="12"/>
        <color rgb="FF000000"/>
        <rFont val="Aptos"/>
      </rPr>
      <t xml:space="preserve"> They will pull the meter at that time. They do not supply meters from May 1st – September 30</t>
    </r>
    <r>
      <rPr>
        <b/>
        <vertAlign val="superscript"/>
        <sz val="12"/>
        <color rgb="FF000000"/>
        <rFont val="Aptos"/>
      </rPr>
      <t>th</t>
    </r>
    <r>
      <rPr>
        <b/>
        <sz val="12"/>
        <color rgb="FF000000"/>
        <rFont val="Aptos"/>
      </rPr>
      <t>.</t>
    </r>
  </si>
  <si>
    <t>Hydrant Meter cannot be relocated by customer.</t>
  </si>
  <si>
    <t>BLACKOUT PERIOD – Customer agrees not to take water during the hours of 5:00am and 9:00am Monday through Sunday.</t>
  </si>
  <si>
    <r>
      <t>All tanks, Water trucks, and any other access to water must be marked as</t>
    </r>
    <r>
      <rPr>
        <b/>
        <sz val="12"/>
        <rFont val="Aptos"/>
        <family val="2"/>
        <charset val="1"/>
      </rPr>
      <t xml:space="preserve"> “NOT SAFE FOR DRINKING” </t>
    </r>
    <r>
      <rPr>
        <sz val="12"/>
        <rFont val="Aptos"/>
        <family val="2"/>
        <charset val="1"/>
      </rPr>
      <t>in English and Spanish.</t>
    </r>
  </si>
  <si>
    <t>In the event of a water supply shortage or other event affecting domestic water customers, they reserve the right to limit or discontinue the water supply without notice.</t>
  </si>
  <si>
    <t>Service can be terminated immediately for any reason. They cannot be held liable for any damages that may occur for loss of water usage.</t>
  </si>
  <si>
    <t xml:space="preserve">ITEMS YOU WILL NEED FROM THE CUSTOMER TO COMPLETE THE APPLICATION: </t>
  </si>
  <si>
    <t>Hydrant Meter Cost to set up:</t>
  </si>
  <si>
    <t>(Additional $500.00 to Invoice)</t>
  </si>
  <si>
    <t>PRICING FOR EMAIL AUTHORIZATIONS</t>
  </si>
  <si>
    <t xml:space="preserve">City of Phoenix </t>
  </si>
  <si>
    <t>We provide the backflow (Hector; Technician  602.768.6977)</t>
  </si>
  <si>
    <t>Meter Shop #602-495-0225</t>
  </si>
  <si>
    <t>Hydrant Billing #602-665-8311</t>
  </si>
  <si>
    <t>(use this format but adjust amounts for locations)</t>
  </si>
  <si>
    <t>City of Buckeye</t>
  </si>
  <si>
    <t>We provide the backflow</t>
  </si>
  <si>
    <t>Please approve the pricing below:</t>
  </si>
  <si>
    <t>City of Surprise</t>
  </si>
  <si>
    <t>Unless it is Epcor</t>
  </si>
  <si>
    <t>City of Gilbert 1" meter</t>
  </si>
  <si>
    <t>They Provide the backflow</t>
  </si>
  <si>
    <t>DAVE CELL #: 480-226-5621</t>
  </si>
  <si>
    <t>                Water meter set per city requirements                               $1,150.00</t>
  </si>
  <si>
    <t>City of Gilbert 3" meter</t>
  </si>
  <si>
    <t>                Backflow set per city requirements                                      $450.00(plus rental tax)</t>
  </si>
  <si>
    <t>City of Glendale</t>
  </si>
  <si>
    <t>Keith for meter shop #623-930-2717</t>
  </si>
  <si>
    <t>                Certification of backflow per city requirements              $295.00(plus rental tax)</t>
  </si>
  <si>
    <t>City of Goodyear</t>
  </si>
  <si>
    <t>We provide the backflow - Online application</t>
  </si>
  <si>
    <t>https://www.goodyearaz.gov/government/online-forms/finance-forms/construction-water-meter-request</t>
  </si>
  <si>
    <t>                Monthly rental charge for backflow                                       $245.00(plus rental tax)</t>
  </si>
  <si>
    <t>City of Mesa</t>
  </si>
  <si>
    <t>???1675</t>
  </si>
  <si>
    <r>
      <rPr>
        <sz val="10"/>
        <color rgb="FF000000"/>
        <rFont val="Arial"/>
      </rPr>
      <t xml:space="preserve">They Provide the Backflow </t>
    </r>
    <r>
      <rPr>
        <b/>
        <sz val="10"/>
        <color rgb="FFFF0000"/>
        <rFont val="Arial"/>
      </rPr>
      <t>/ EVERYTHING HAS CHANGED - CHECKING ON - last done in 2021</t>
    </r>
  </si>
  <si>
    <t>                Monthly water usage(as calculated by city)</t>
  </si>
  <si>
    <t>City of Peoria</t>
  </si>
  <si>
    <t>They Provide the Backflow</t>
  </si>
  <si>
    <t>                Monthly management fee(10% of water usage)</t>
  </si>
  <si>
    <t>City of Scottsdale</t>
  </si>
  <si>
    <t>*we provide backflow</t>
  </si>
  <si>
    <t xml:space="preserve">                Backflow removal                                      $250.00(plus rental tax) </t>
  </si>
  <si>
    <t>City of Chandler</t>
  </si>
  <si>
    <t xml:space="preserve">They Provide the Backflow / Application has maximum of 31 to 60 days. They do not enforce this. </t>
  </si>
  <si>
    <t xml:space="preserve">City of Avondale </t>
  </si>
  <si>
    <t>Epcor</t>
  </si>
  <si>
    <t>We have to meet them onsite to install backflow and certify</t>
  </si>
  <si>
    <t>Jerry 602-388-3208Technician</t>
  </si>
  <si>
    <t>Liberty Utilities</t>
  </si>
  <si>
    <t>The above amounts do not include additional materials that may be required.</t>
  </si>
  <si>
    <t>City of Maricopa</t>
  </si>
  <si>
    <t xml:space="preserve">Global Water Resources provides for most of this area / they provide the backflow &amp; we have to set up certification at the same time they install </t>
  </si>
  <si>
    <t>Pima Utilities</t>
  </si>
  <si>
    <t>SRPMIC</t>
  </si>
  <si>
    <t>They do not provide backflow or cert, and we don't need to meet them onsite</t>
  </si>
  <si>
    <t>City of Tempe</t>
  </si>
  <si>
    <t>They provide the backflow and certify</t>
  </si>
  <si>
    <t>Customerservices@tempe.gov</t>
  </si>
  <si>
    <t xml:space="preserve">email app </t>
  </si>
  <si>
    <t>Download</t>
  </si>
  <si>
    <t>https://www.tempe.gov/home/showpublisheddocument/111243/638731509848730000</t>
  </si>
  <si>
    <t>LIBERTY UTILITIES - SEE WORKBOOK FOR IMPORTANT APPLICATION INFORMATION / DEPOSIT AMOUNT IS $1,470</t>
  </si>
  <si>
    <t>*City of Scottsdale misc information:</t>
  </si>
  <si>
    <t>Relocating a meter does not cost. You submit online and it is sent to the dept for a work order.</t>
  </si>
  <si>
    <t xml:space="preserve">Call the scheduling department the day after submitting to find out when they are doing it. </t>
  </si>
  <si>
    <t>CONTACT information:</t>
  </si>
  <si>
    <t>Kara</t>
  </si>
  <si>
    <t>480-312-5650</t>
  </si>
  <si>
    <t>Tim</t>
  </si>
  <si>
    <t>480-653-7928</t>
  </si>
  <si>
    <t>https://www.scottsdaleaz.gov/water/developer-services</t>
  </si>
  <si>
    <t xml:space="preserve">*City of Peoria misc information: </t>
  </si>
  <si>
    <t>Must be renewed annually or they will pull the meter</t>
  </si>
  <si>
    <t>Completed application is emailed to: customerservice@peoriaaz.com</t>
  </si>
  <si>
    <t xml:space="preserve">They reply with the information to pay the deposit. Once that is done they set the meter, backlfow and do the certification. </t>
  </si>
  <si>
    <t xml:space="preserve">**City of Goodyear misc. information: </t>
  </si>
  <si>
    <t xml:space="preserve">Have to meet the city when they install. Call water services 623-932-3010 opt #3 for times and information about meter install. </t>
  </si>
  <si>
    <t>Here is the link to the Stop Service form – please submit at least 2 business days before you need the meter picked up:</t>
  </si>
  <si>
    <t>https://apps.goodyearaz.gov/utilityform/stopservice</t>
  </si>
  <si>
    <t>*City of Glendale:</t>
  </si>
  <si>
    <t>Can take up to 10 business days</t>
  </si>
  <si>
    <t>Completed application is emailed to: permits@glendaleaz.com</t>
  </si>
  <si>
    <t xml:space="preserve">They reply with information to pay the deposit. Check with Keith for when meter will be set. We install backflow and set up certification. </t>
  </si>
  <si>
    <t>Global Water Resources * City of Maricopa</t>
  </si>
  <si>
    <t>https://www.gwresources.com/developer-resources</t>
  </si>
  <si>
    <t>for meter application</t>
  </si>
  <si>
    <t>Application goes directly to Ashley and she will send the invoice to pay</t>
  </si>
  <si>
    <t>Can take up to 2 weeks for process</t>
  </si>
  <si>
    <t xml:space="preserve">They do the meter and backflow at the same time but we need to have it certified at the same time. </t>
  </si>
  <si>
    <t>Ashley 480-319-2482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</si>
</sst>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mm/dd/yy"/>
    <numFmt numFmtId="165" formatCode="&quot;$&quot;#,##0.00"/>
  </numFmts>
  <fonts count="50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name val="Tahoma"/>
      <family val="2"/>
    </font>
    <font>
      <sz val="10"/>
      <name val="Tahoma"/>
      <family val="2"/>
    </font>
    <font>
      <sz val="8"/>
      <name val="Arial"/>
      <family val="2"/>
    </font>
    <font>
      <b/>
      <sz val="8"/>
      <name val="Tahoma"/>
      <family val="2"/>
    </font>
    <font>
      <b/>
      <sz val="10"/>
      <name val="Arial"/>
      <family val="2"/>
    </font>
    <font>
      <sz val="11"/>
      <name val="Calibri"/>
      <family val="2"/>
    </font>
    <font>
      <b/>
      <sz val="11"/>
      <color indexed="13"/>
      <name val="Calibri"/>
      <family val="2"/>
    </font>
    <font>
      <sz val="10"/>
      <color rgb="FFFF0000"/>
      <name val="Arial"/>
      <family val="2"/>
    </font>
    <font>
      <sz val="8"/>
      <color rgb="FFFF0000"/>
      <name val="Tahoma"/>
      <family val="2"/>
    </font>
    <font>
      <sz val="10"/>
      <color indexed="12"/>
      <name val="Arial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Tahoma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  <font>
      <sz val="10"/>
      <color rgb="FF000000"/>
      <name val="Arial"/>
      <family val="2"/>
      <charset val="1"/>
    </font>
    <font>
      <sz val="11"/>
      <name val="Tahoma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rgb="FFFF0000"/>
      <name val="Arial"/>
    </font>
    <font>
      <sz val="11"/>
      <color rgb="FF242424"/>
      <name val="Aptos Narrow"/>
      <charset val="1"/>
    </font>
    <font>
      <b/>
      <sz val="10"/>
      <name val="Arial"/>
    </font>
    <font>
      <b/>
      <sz val="12"/>
      <name val="Aptos"/>
      <family val="2"/>
      <charset val="1"/>
    </font>
    <font>
      <sz val="12"/>
      <name val="Aptos"/>
      <family val="2"/>
      <charset val="1"/>
    </font>
    <font>
      <b/>
      <sz val="12"/>
      <name val="Arial"/>
    </font>
    <font>
      <sz val="12"/>
      <color rgb="FF000000"/>
      <name val="Aptos"/>
    </font>
    <font>
      <b/>
      <sz val="12"/>
      <color rgb="FF000000"/>
      <name val="Aptos"/>
    </font>
    <font>
      <b/>
      <vertAlign val="superscript"/>
      <sz val="12"/>
      <color rgb="FF000000"/>
      <name val="Aptos"/>
    </font>
    <font>
      <b/>
      <u/>
      <sz val="11"/>
      <name val="Aptos"/>
      <family val="2"/>
      <charset val="1"/>
    </font>
    <font>
      <sz val="11"/>
      <name val="Aptos"/>
      <family val="2"/>
      <charset val="1"/>
    </font>
    <font>
      <b/>
      <sz val="11"/>
      <name val="Aptos"/>
      <family val="2"/>
      <charset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2"/>
      <color rgb="FF000000"/>
      <name val="Aptos Narrow"/>
      <family val="2"/>
    </font>
    <font>
      <b/>
      <sz val="10"/>
      <color rgb="FF000000"/>
      <name val="Arial"/>
      <family val="2"/>
    </font>
    <font>
      <sz val="8"/>
      <color rgb="FF000000"/>
      <name val="Aptos Narrow"/>
      <family val="2"/>
    </font>
    <font>
      <sz val="11"/>
      <color indexed="13"/>
      <name val="Calibri"/>
      <family val="2"/>
    </font>
    <font>
      <u/>
      <sz val="10"/>
      <color theme="10"/>
      <name val="Arial"/>
    </font>
    <font>
      <sz val="10"/>
      <color rgb="FF000000"/>
      <name val="Arial"/>
    </font>
    <font>
      <sz val="12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47" fillId="0" borderId="0" applyNumberFormat="0" applyFill="0" applyBorder="0" applyAlignment="0" applyProtection="0"/>
  </cellStyleXfs>
  <cellXfs count="24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right"/>
    </xf>
    <xf numFmtId="0" fontId="7" fillId="8" borderId="1" xfId="0" applyFont="1" applyFill="1" applyBorder="1" applyAlignment="1">
      <alignment wrapText="1"/>
    </xf>
    <xf numFmtId="0" fontId="6" fillId="0" borderId="1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9" fillId="3" borderId="0" xfId="0" applyFont="1" applyFill="1" applyAlignment="1">
      <alignment horizontal="center"/>
    </xf>
    <xf numFmtId="0" fontId="7" fillId="8" borderId="1" xfId="0" applyFont="1" applyFill="1" applyBorder="1"/>
    <xf numFmtId="14" fontId="3" fillId="0" borderId="1" xfId="0" applyNumberFormat="1" applyFont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5" borderId="1" xfId="0" applyFont="1" applyFill="1" applyBorder="1" applyAlignment="1">
      <alignment wrapText="1"/>
    </xf>
    <xf numFmtId="0" fontId="3" fillId="9" borderId="1" xfId="0" applyFont="1" applyFill="1" applyBorder="1" applyAlignment="1">
      <alignment horizontal="left"/>
    </xf>
    <xf numFmtId="14" fontId="7" fillId="8" borderId="1" xfId="0" applyNumberFormat="1" applyFont="1" applyFill="1" applyBorder="1"/>
    <xf numFmtId="6" fontId="0" fillId="0" borderId="1" xfId="0" applyNumberFormat="1" applyBorder="1" applyAlignment="1">
      <alignment wrapText="1"/>
    </xf>
    <xf numFmtId="0" fontId="7" fillId="0" borderId="0" xfId="0" applyFont="1"/>
    <xf numFmtId="44" fontId="0" fillId="0" borderId="1" xfId="0" applyNumberFormat="1" applyBorder="1" applyAlignment="1">
      <alignment wrapText="1"/>
    </xf>
    <xf numFmtId="44" fontId="1" fillId="0" borderId="1" xfId="0" applyNumberFormat="1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0" fillId="9" borderId="1" xfId="0" applyFill="1" applyBorder="1" applyAlignment="1">
      <alignment horizontal="right"/>
    </xf>
    <xf numFmtId="0" fontId="2" fillId="0" borderId="1" xfId="0" applyFont="1" applyBorder="1" applyAlignment="1">
      <alignment wrapText="1"/>
    </xf>
    <xf numFmtId="6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6" borderId="1" xfId="0" applyFont="1" applyFill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8" fillId="0" borderId="0" xfId="0" applyFont="1"/>
    <xf numFmtId="14" fontId="3" fillId="0" borderId="1" xfId="0" applyNumberFormat="1" applyFont="1" applyBorder="1" applyAlignment="1">
      <alignment horizontal="left" wrapText="1"/>
    </xf>
    <xf numFmtId="0" fontId="8" fillId="0" borderId="1" xfId="0" applyFont="1" applyBorder="1"/>
    <xf numFmtId="8" fontId="1" fillId="0" borderId="1" xfId="0" applyNumberFormat="1" applyFont="1" applyBorder="1" applyAlignment="1">
      <alignment wrapText="1"/>
    </xf>
    <xf numFmtId="0" fontId="1" fillId="7" borderId="1" xfId="0" applyFont="1" applyFill="1" applyBorder="1" applyAlignment="1">
      <alignment horizontal="right"/>
    </xf>
    <xf numFmtId="0" fontId="12" fillId="6" borderId="1" xfId="0" applyFont="1" applyFill="1" applyBorder="1" applyAlignment="1">
      <alignment wrapText="1"/>
    </xf>
    <xf numFmtId="164" fontId="3" fillId="0" borderId="1" xfId="0" applyNumberFormat="1" applyFont="1" applyBorder="1" applyAlignment="1">
      <alignment horizontal="left" wrapText="1"/>
    </xf>
    <xf numFmtId="0" fontId="1" fillId="0" borderId="0" xfId="0" applyFont="1"/>
    <xf numFmtId="14" fontId="1" fillId="0" borderId="1" xfId="0" applyNumberFormat="1" applyFont="1" applyBorder="1"/>
    <xf numFmtId="14" fontId="7" fillId="8" borderId="1" xfId="0" applyNumberFormat="1" applyFont="1" applyFill="1" applyBorder="1" applyAlignment="1">
      <alignment wrapText="1"/>
    </xf>
    <xf numFmtId="0" fontId="1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right"/>
    </xf>
    <xf numFmtId="14" fontId="4" fillId="0" borderId="1" xfId="0" applyNumberFormat="1" applyFont="1" applyBorder="1" applyAlignment="1">
      <alignment horizontal="left" wrapText="1"/>
    </xf>
    <xf numFmtId="14" fontId="4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right"/>
    </xf>
    <xf numFmtId="14" fontId="1" fillId="6" borderId="1" xfId="0" applyNumberFormat="1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13" fillId="6" borderId="1" xfId="0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wrapText="1"/>
    </xf>
    <xf numFmtId="0" fontId="1" fillId="6" borderId="0" xfId="0" applyFont="1" applyFill="1" applyAlignment="1">
      <alignment wrapText="1"/>
    </xf>
    <xf numFmtId="0" fontId="14" fillId="6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left" wrapText="1"/>
    </xf>
    <xf numFmtId="164" fontId="4" fillId="5" borderId="1" xfId="0" applyNumberFormat="1" applyFont="1" applyFill="1" applyBorder="1" applyAlignment="1">
      <alignment horizontal="left" wrapText="1"/>
    </xf>
    <xf numFmtId="0" fontId="1" fillId="10" borderId="1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14" fontId="0" fillId="0" borderId="0" xfId="0" applyNumberFormat="1"/>
    <xf numFmtId="44" fontId="0" fillId="0" borderId="0" xfId="0" applyNumberFormat="1"/>
    <xf numFmtId="0" fontId="17" fillId="0" borderId="0" xfId="0" applyFont="1"/>
    <xf numFmtId="0" fontId="7" fillId="5" borderId="0" xfId="0" applyFont="1" applyFill="1"/>
    <xf numFmtId="14" fontId="7" fillId="5" borderId="0" xfId="0" applyNumberFormat="1" applyFont="1" applyFill="1"/>
    <xf numFmtId="0" fontId="1" fillId="5" borderId="0" xfId="0" applyFont="1" applyFill="1"/>
    <xf numFmtId="44" fontId="0" fillId="5" borderId="0" xfId="0" applyNumberFormat="1" applyFill="1"/>
    <xf numFmtId="0" fontId="7" fillId="5" borderId="4" xfId="0" applyFont="1" applyFill="1" applyBorder="1"/>
    <xf numFmtId="14" fontId="7" fillId="5" borderId="4" xfId="0" applyNumberFormat="1" applyFont="1" applyFill="1" applyBorder="1"/>
    <xf numFmtId="0" fontId="1" fillId="5" borderId="4" xfId="0" applyFont="1" applyFill="1" applyBorder="1"/>
    <xf numFmtId="44" fontId="0" fillId="5" borderId="4" xfId="0" applyNumberFormat="1" applyFill="1" applyBorder="1"/>
    <xf numFmtId="0" fontId="16" fillId="11" borderId="4" xfId="0" applyFont="1" applyFill="1" applyBorder="1"/>
    <xf numFmtId="14" fontId="16" fillId="11" borderId="4" xfId="0" applyNumberFormat="1" applyFont="1" applyFill="1" applyBorder="1"/>
    <xf numFmtId="44" fontId="16" fillId="11" borderId="4" xfId="0" applyNumberFormat="1" applyFont="1" applyFill="1" applyBorder="1"/>
    <xf numFmtId="13" fontId="0" fillId="0" borderId="0" xfId="0" applyNumberFormat="1"/>
    <xf numFmtId="0" fontId="4" fillId="0" borderId="0" xfId="0" applyFont="1" applyAlignment="1">
      <alignment horizontal="left" wrapText="1"/>
    </xf>
    <xf numFmtId="0" fontId="1" fillId="0" borderId="5" xfId="0" applyFont="1" applyBorder="1"/>
    <xf numFmtId="0" fontId="1" fillId="8" borderId="1" xfId="0" applyFont="1" applyFill="1" applyBorder="1" applyAlignment="1">
      <alignment horizontal="right"/>
    </xf>
    <xf numFmtId="0" fontId="4" fillId="8" borderId="1" xfId="0" applyFont="1" applyFill="1" applyBorder="1" applyAlignment="1">
      <alignment horizontal="left" wrapText="1"/>
    </xf>
    <xf numFmtId="165" fontId="0" fillId="0" borderId="0" xfId="0" applyNumberFormat="1"/>
    <xf numFmtId="165" fontId="7" fillId="5" borderId="0" xfId="0" applyNumberFormat="1" applyFont="1" applyFill="1"/>
    <xf numFmtId="0" fontId="4" fillId="7" borderId="1" xfId="0" applyFont="1" applyFill="1" applyBorder="1" applyAlignment="1">
      <alignment horizontal="left" wrapText="1"/>
    </xf>
    <xf numFmtId="0" fontId="0" fillId="8" borderId="1" xfId="0" applyFill="1" applyBorder="1"/>
    <xf numFmtId="17" fontId="0" fillId="0" borderId="0" xfId="0" applyNumberFormat="1"/>
    <xf numFmtId="0" fontId="1" fillId="0" borderId="0" xfId="0" applyFont="1" applyAlignment="1">
      <alignment horizontal="center"/>
    </xf>
    <xf numFmtId="0" fontId="13" fillId="0" borderId="1" xfId="0" applyFont="1" applyBorder="1" applyAlignment="1">
      <alignment horizontal="center" wrapText="1"/>
    </xf>
    <xf numFmtId="14" fontId="7" fillId="8" borderId="1" xfId="0" applyNumberFormat="1" applyFont="1" applyFill="1" applyBorder="1" applyAlignment="1">
      <alignment horizontal="center" wrapText="1"/>
    </xf>
    <xf numFmtId="14" fontId="7" fillId="8" borderId="1" xfId="0" applyNumberFormat="1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5" borderId="0" xfId="0" applyFill="1"/>
    <xf numFmtId="0" fontId="18" fillId="0" borderId="0" xfId="0" applyFont="1"/>
    <xf numFmtId="0" fontId="4" fillId="12" borderId="1" xfId="0" applyFont="1" applyFill="1" applyBorder="1" applyAlignment="1">
      <alignment horizontal="left" wrapText="1"/>
    </xf>
    <xf numFmtId="14" fontId="1" fillId="0" borderId="0" xfId="0" applyNumberFormat="1" applyFont="1"/>
    <xf numFmtId="0" fontId="18" fillId="6" borderId="1" xfId="0" applyFont="1" applyFill="1" applyBorder="1"/>
    <xf numFmtId="0" fontId="19" fillId="5" borderId="1" xfId="0" applyFont="1" applyFill="1" applyBorder="1" applyAlignment="1">
      <alignment horizontal="left" wrapText="1"/>
    </xf>
    <xf numFmtId="0" fontId="4" fillId="10" borderId="1" xfId="0" applyFont="1" applyFill="1" applyBorder="1" applyAlignment="1">
      <alignment horizontal="left" wrapText="1"/>
    </xf>
    <xf numFmtId="0" fontId="1" fillId="6" borderId="0" xfId="0" applyFont="1" applyFill="1"/>
    <xf numFmtId="164" fontId="4" fillId="5" borderId="1" xfId="0" applyNumberFormat="1" applyFont="1" applyFill="1" applyBorder="1" applyAlignment="1">
      <alignment horizontal="center" wrapText="1"/>
    </xf>
    <xf numFmtId="14" fontId="7" fillId="5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/>
    <xf numFmtId="14" fontId="1" fillId="5" borderId="1" xfId="0" applyNumberFormat="1" applyFont="1" applyFill="1" applyBorder="1" applyAlignment="1">
      <alignment horizontal="center"/>
    </xf>
    <xf numFmtId="14" fontId="7" fillId="5" borderId="1" xfId="0" applyNumberFormat="1" applyFont="1" applyFill="1" applyBorder="1" applyAlignment="1">
      <alignment horizontal="center"/>
    </xf>
    <xf numFmtId="0" fontId="18" fillId="6" borderId="0" xfId="0" applyFont="1" applyFill="1"/>
    <xf numFmtId="0" fontId="19" fillId="0" borderId="1" xfId="0" applyFont="1" applyBorder="1" applyAlignment="1">
      <alignment horizontal="left" wrapText="1"/>
    </xf>
    <xf numFmtId="0" fontId="18" fillId="5" borderId="1" xfId="0" applyFont="1" applyFill="1" applyBorder="1"/>
    <xf numFmtId="0" fontId="19" fillId="6" borderId="1" xfId="0" applyFont="1" applyFill="1" applyBorder="1" applyAlignment="1">
      <alignment horizontal="left" wrapText="1"/>
    </xf>
    <xf numFmtId="164" fontId="4" fillId="6" borderId="1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13" fillId="13" borderId="1" xfId="0" applyFont="1" applyFill="1" applyBorder="1" applyAlignment="1">
      <alignment horizontal="left" wrapText="1"/>
    </xf>
    <xf numFmtId="164" fontId="13" fillId="13" borderId="1" xfId="0" applyNumberFormat="1" applyFont="1" applyFill="1" applyBorder="1" applyAlignment="1">
      <alignment horizontal="center" wrapText="1"/>
    </xf>
    <xf numFmtId="0" fontId="13" fillId="13" borderId="1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1" fillId="0" borderId="6" xfId="0" applyFont="1" applyBorder="1"/>
    <xf numFmtId="0" fontId="1" fillId="0" borderId="1" xfId="0" applyFont="1" applyBorder="1" applyAlignment="1">
      <alignment horizontal="center"/>
    </xf>
    <xf numFmtId="164" fontId="19" fillId="0" borderId="1" xfId="0" applyNumberFormat="1" applyFont="1" applyBorder="1" applyAlignment="1">
      <alignment horizontal="center" wrapText="1"/>
    </xf>
    <xf numFmtId="0" fontId="18" fillId="5" borderId="0" xfId="0" applyFont="1" applyFill="1"/>
    <xf numFmtId="0" fontId="1" fillId="6" borderId="0" xfId="0" applyFont="1" applyFill="1" applyAlignment="1">
      <alignment horizontal="center"/>
    </xf>
    <xf numFmtId="0" fontId="4" fillId="0" borderId="0" xfId="0" applyFont="1" applyAlignment="1">
      <alignment horizontal="center" wrapText="1"/>
    </xf>
    <xf numFmtId="165" fontId="7" fillId="0" borderId="0" xfId="0" applyNumberFormat="1" applyFont="1"/>
    <xf numFmtId="0" fontId="7" fillId="14" borderId="0" xfId="0" applyFont="1" applyFill="1"/>
    <xf numFmtId="165" fontId="7" fillId="14" borderId="0" xfId="0" applyNumberFormat="1" applyFont="1" applyFill="1"/>
    <xf numFmtId="0" fontId="0" fillId="14" borderId="0" xfId="0" applyFill="1"/>
    <xf numFmtId="0" fontId="1" fillId="14" borderId="0" xfId="0" applyFont="1" applyFill="1"/>
    <xf numFmtId="165" fontId="0" fillId="14" borderId="0" xfId="0" applyNumberFormat="1" applyFill="1"/>
    <xf numFmtId="165" fontId="1" fillId="14" borderId="0" xfId="0" applyNumberFormat="1" applyFont="1" applyFill="1"/>
    <xf numFmtId="0" fontId="1" fillId="10" borderId="0" xfId="0" applyFont="1" applyFill="1"/>
    <xf numFmtId="165" fontId="0" fillId="10" borderId="0" xfId="0" applyNumberFormat="1" applyFill="1"/>
    <xf numFmtId="0" fontId="0" fillId="10" borderId="0" xfId="0" applyFill="1"/>
    <xf numFmtId="0" fontId="4" fillId="15" borderId="1" xfId="0" applyFont="1" applyFill="1" applyBorder="1" applyAlignment="1">
      <alignment horizontal="left" wrapText="1"/>
    </xf>
    <xf numFmtId="0" fontId="0" fillId="11" borderId="0" xfId="0" applyFill="1"/>
    <xf numFmtId="0" fontId="1" fillId="12" borderId="0" xfId="0" applyFont="1" applyFill="1"/>
    <xf numFmtId="165" fontId="0" fillId="12" borderId="0" xfId="0" applyNumberFormat="1" applyFill="1"/>
    <xf numFmtId="0" fontId="7" fillId="12" borderId="0" xfId="0" applyFont="1" applyFill="1"/>
    <xf numFmtId="165" fontId="7" fillId="12" borderId="0" xfId="0" applyNumberFormat="1" applyFont="1" applyFill="1"/>
    <xf numFmtId="0" fontId="1" fillId="11" borderId="0" xfId="0" applyFont="1" applyFill="1"/>
    <xf numFmtId="165" fontId="0" fillId="11" borderId="0" xfId="0" applyNumberFormat="1" applyFill="1"/>
    <xf numFmtId="0" fontId="1" fillId="16" borderId="0" xfId="0" applyFont="1" applyFill="1"/>
    <xf numFmtId="165" fontId="0" fillId="16" borderId="0" xfId="0" applyNumberFormat="1" applyFill="1"/>
    <xf numFmtId="0" fontId="0" fillId="16" borderId="0" xfId="0" applyFill="1"/>
    <xf numFmtId="0" fontId="8" fillId="0" borderId="0" xfId="0" applyFont="1" applyAlignment="1">
      <alignment vertical="center"/>
    </xf>
    <xf numFmtId="0" fontId="20" fillId="0" borderId="1" xfId="0" applyFont="1" applyBorder="1"/>
    <xf numFmtId="0" fontId="1" fillId="5" borderId="0" xfId="0" applyFont="1" applyFill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5" fontId="0" fillId="6" borderId="0" xfId="0" applyNumberFormat="1" applyFill="1"/>
    <xf numFmtId="0" fontId="1" fillId="6" borderId="7" xfId="0" applyFont="1" applyFill="1" applyBorder="1"/>
    <xf numFmtId="0" fontId="0" fillId="6" borderId="7" xfId="0" applyFill="1" applyBorder="1"/>
    <xf numFmtId="0" fontId="1" fillId="6" borderId="8" xfId="0" applyFont="1" applyFill="1" applyBorder="1"/>
    <xf numFmtId="0" fontId="0" fillId="6" borderId="8" xfId="0" applyFill="1" applyBorder="1"/>
    <xf numFmtId="0" fontId="21" fillId="0" borderId="1" xfId="0" applyFont="1" applyBorder="1" applyAlignment="1">
      <alignment wrapText="1"/>
    </xf>
    <xf numFmtId="0" fontId="22" fillId="0" borderId="1" xfId="0" applyFont="1" applyBorder="1"/>
    <xf numFmtId="0" fontId="23" fillId="0" borderId="0" xfId="0" applyFont="1"/>
    <xf numFmtId="14" fontId="4" fillId="0" borderId="1" xfId="0" applyNumberFormat="1" applyFont="1" applyBorder="1" applyAlignment="1">
      <alignment horizontal="center" wrapText="1"/>
    </xf>
    <xf numFmtId="49" fontId="20" fillId="0" borderId="0" xfId="0" applyNumberFormat="1" applyFont="1"/>
    <xf numFmtId="0" fontId="24" fillId="6" borderId="1" xfId="0" applyFont="1" applyFill="1" applyBorder="1" applyAlignment="1">
      <alignment horizontal="left" wrapText="1"/>
    </xf>
    <xf numFmtId="0" fontId="24" fillId="0" borderId="1" xfId="0" applyFont="1" applyBorder="1" applyAlignment="1">
      <alignment horizontal="left" wrapText="1"/>
    </xf>
    <xf numFmtId="164" fontId="24" fillId="0" borderId="1" xfId="0" applyNumberFormat="1" applyFont="1" applyBorder="1" applyAlignment="1">
      <alignment horizontal="center" wrapText="1"/>
    </xf>
    <xf numFmtId="14" fontId="25" fillId="8" borderId="1" xfId="0" applyNumberFormat="1" applyFont="1" applyFill="1" applyBorder="1" applyAlignment="1">
      <alignment horizontal="center" wrapText="1"/>
    </xf>
    <xf numFmtId="0" fontId="26" fillId="0" borderId="0" xfId="0" applyFont="1" applyAlignment="1">
      <alignment horizontal="center"/>
    </xf>
    <xf numFmtId="0" fontId="26" fillId="0" borderId="0" xfId="0" applyFont="1"/>
    <xf numFmtId="0" fontId="26" fillId="0" borderId="1" xfId="0" applyFont="1" applyBorder="1" applyAlignment="1">
      <alignment horizontal="right"/>
    </xf>
    <xf numFmtId="0" fontId="26" fillId="6" borderId="1" xfId="0" applyFont="1" applyFill="1" applyBorder="1" applyAlignment="1">
      <alignment wrapText="1"/>
    </xf>
    <xf numFmtId="0" fontId="26" fillId="0" borderId="1" xfId="0" applyFont="1" applyBorder="1" applyAlignment="1">
      <alignment wrapText="1"/>
    </xf>
    <xf numFmtId="0" fontId="26" fillId="0" borderId="1" xfId="0" applyFont="1" applyBorder="1" applyAlignment="1">
      <alignment horizontal="center"/>
    </xf>
    <xf numFmtId="14" fontId="24" fillId="0" borderId="1" xfId="0" applyNumberFormat="1" applyFont="1" applyBorder="1" applyAlignment="1">
      <alignment horizontal="center"/>
    </xf>
    <xf numFmtId="0" fontId="27" fillId="0" borderId="0" xfId="0" applyFont="1"/>
    <xf numFmtId="0" fontId="28" fillId="0" borderId="9" xfId="0" applyFont="1" applyBorder="1" applyAlignment="1">
      <alignment wrapText="1"/>
    </xf>
    <xf numFmtId="0" fontId="0" fillId="0" borderId="10" xfId="0" applyBorder="1"/>
    <xf numFmtId="0" fontId="0" fillId="0" borderId="8" xfId="0" applyBorder="1"/>
    <xf numFmtId="0" fontId="29" fillId="17" borderId="0" xfId="0" applyFont="1" applyFill="1"/>
    <xf numFmtId="165" fontId="0" fillId="17" borderId="0" xfId="0" applyNumberFormat="1" applyFill="1"/>
    <xf numFmtId="0" fontId="0" fillId="17" borderId="0" xfId="0" applyFill="1"/>
    <xf numFmtId="0" fontId="31" fillId="0" borderId="0" xfId="0" applyFont="1"/>
    <xf numFmtId="0" fontId="30" fillId="0" borderId="0" xfId="0" applyFont="1"/>
    <xf numFmtId="0" fontId="29" fillId="0" borderId="0" xfId="0" applyFont="1"/>
    <xf numFmtId="0" fontId="29" fillId="5" borderId="0" xfId="0" applyFont="1" applyFill="1"/>
    <xf numFmtId="0" fontId="32" fillId="17" borderId="0" xfId="0" applyFont="1" applyFill="1"/>
    <xf numFmtId="0" fontId="33" fillId="0" borderId="0" xfId="0" applyFont="1"/>
    <xf numFmtId="164" fontId="4" fillId="0" borderId="1" xfId="0" applyNumberFormat="1" applyFont="1" applyBorder="1" applyAlignment="1">
      <alignment horizontal="center" vertical="top" wrapText="1"/>
    </xf>
    <xf numFmtId="14" fontId="24" fillId="0" borderId="1" xfId="0" applyNumberFormat="1" applyFont="1" applyBorder="1" applyAlignment="1">
      <alignment horizontal="center" wrapText="1"/>
    </xf>
    <xf numFmtId="0" fontId="36" fillId="0" borderId="0" xfId="0" applyFont="1"/>
    <xf numFmtId="0" fontId="37" fillId="0" borderId="0" xfId="0" applyFont="1"/>
    <xf numFmtId="0" fontId="38" fillId="0" borderId="0" xfId="0" applyFont="1"/>
    <xf numFmtId="0" fontId="40" fillId="0" borderId="0" xfId="0" applyFont="1"/>
    <xf numFmtId="14" fontId="40" fillId="0" borderId="0" xfId="0" applyNumberFormat="1" applyFont="1"/>
    <xf numFmtId="0" fontId="42" fillId="0" borderId="0" xfId="0" applyFont="1"/>
    <xf numFmtId="0" fontId="40" fillId="0" borderId="0" xfId="0" applyFont="1" applyAlignment="1">
      <alignment wrapText="1"/>
    </xf>
    <xf numFmtId="0" fontId="42" fillId="0" borderId="0" xfId="0" applyFont="1" applyAlignment="1">
      <alignment wrapText="1"/>
    </xf>
    <xf numFmtId="0" fontId="40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40" fillId="0" borderId="0" xfId="0" applyNumberFormat="1" applyFont="1" applyAlignment="1">
      <alignment vertical="center"/>
    </xf>
    <xf numFmtId="44" fontId="0" fillId="0" borderId="0" xfId="0" applyNumberFormat="1" applyAlignment="1">
      <alignment vertical="center"/>
    </xf>
    <xf numFmtId="0" fontId="44" fillId="0" borderId="11" xfId="0" applyFont="1" applyBorder="1"/>
    <xf numFmtId="0" fontId="44" fillId="0" borderId="11" xfId="0" applyFont="1" applyBorder="1" applyAlignment="1">
      <alignment horizontal="center"/>
    </xf>
    <xf numFmtId="44" fontId="44" fillId="0" borderId="11" xfId="0" applyNumberFormat="1" applyFont="1" applyBorder="1" applyAlignment="1">
      <alignment horizontal="center" vertical="center"/>
    </xf>
    <xf numFmtId="0" fontId="44" fillId="0" borderId="12" xfId="0" applyFont="1" applyBorder="1"/>
    <xf numFmtId="0" fontId="20" fillId="0" borderId="0" xfId="0" applyFont="1"/>
    <xf numFmtId="14" fontId="42" fillId="0" borderId="0" xfId="0" applyNumberFormat="1" applyFont="1"/>
    <xf numFmtId="4" fontId="42" fillId="0" borderId="0" xfId="0" applyNumberFormat="1" applyFont="1"/>
    <xf numFmtId="0" fontId="42" fillId="18" borderId="0" xfId="0" applyFont="1" applyFill="1"/>
    <xf numFmtId="14" fontId="45" fillId="0" borderId="0" xfId="0" applyNumberFormat="1" applyFont="1"/>
    <xf numFmtId="0" fontId="1" fillId="5" borderId="4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14" fontId="41" fillId="0" borderId="0" xfId="0" applyNumberFormat="1" applyFont="1"/>
    <xf numFmtId="0" fontId="42" fillId="19" borderId="0" xfId="0" applyFont="1" applyFill="1"/>
    <xf numFmtId="14" fontId="42" fillId="19" borderId="0" xfId="0" applyNumberFormat="1" applyFont="1" applyFill="1"/>
    <xf numFmtId="14" fontId="41" fillId="19" borderId="0" xfId="0" applyNumberFormat="1" applyFont="1" applyFill="1"/>
    <xf numFmtId="4" fontId="42" fillId="19" borderId="0" xfId="0" applyNumberFormat="1" applyFont="1" applyFill="1"/>
    <xf numFmtId="0" fontId="42" fillId="20" borderId="0" xfId="0" applyFont="1" applyFill="1"/>
    <xf numFmtId="14" fontId="42" fillId="20" borderId="0" xfId="0" applyNumberFormat="1" applyFont="1" applyFill="1"/>
    <xf numFmtId="0" fontId="7" fillId="0" borderId="0" xfId="0" applyFont="1" applyAlignment="1">
      <alignment wrapText="1"/>
    </xf>
    <xf numFmtId="0" fontId="40" fillId="19" borderId="0" xfId="0" applyFont="1" applyFill="1" applyAlignment="1">
      <alignment wrapText="1"/>
    </xf>
    <xf numFmtId="0" fontId="40" fillId="20" borderId="0" xfId="0" applyFont="1" applyFill="1" applyAlignment="1">
      <alignment wrapText="1"/>
    </xf>
    <xf numFmtId="0" fontId="42" fillId="0" borderId="0" xfId="0" applyFont="1" applyAlignment="1">
      <alignment horizontal="center" wrapText="1"/>
    </xf>
    <xf numFmtId="0" fontId="42" fillId="19" borderId="0" xfId="0" applyFont="1" applyFill="1" applyAlignment="1">
      <alignment horizontal="center" wrapText="1"/>
    </xf>
    <xf numFmtId="0" fontId="42" fillId="20" borderId="0" xfId="0" applyFont="1" applyFill="1" applyAlignment="1">
      <alignment horizontal="center" wrapText="1"/>
    </xf>
    <xf numFmtId="0" fontId="39" fillId="9" borderId="0" xfId="0" applyFont="1" applyFill="1"/>
    <xf numFmtId="0" fontId="27" fillId="0" borderId="0" xfId="0" applyFont="1" applyAlignment="1">
      <alignment wrapText="1"/>
    </xf>
    <xf numFmtId="0" fontId="46" fillId="3" borderId="0" xfId="0" applyFont="1" applyFill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9" xfId="0" applyFont="1" applyBorder="1" applyAlignment="1">
      <alignment wrapText="1"/>
    </xf>
    <xf numFmtId="0" fontId="47" fillId="0" borderId="0" xfId="2"/>
    <xf numFmtId="0" fontId="1" fillId="6" borderId="9" xfId="0" applyFont="1" applyFill="1" applyBorder="1" applyAlignment="1">
      <alignment wrapText="1"/>
    </xf>
    <xf numFmtId="0" fontId="28" fillId="0" borderId="0" xfId="0" applyFont="1"/>
    <xf numFmtId="0" fontId="49" fillId="21" borderId="9" xfId="0" applyFont="1" applyFill="1" applyBorder="1" applyAlignment="1">
      <alignment horizontal="left" wrapText="1"/>
    </xf>
    <xf numFmtId="0" fontId="1" fillId="6" borderId="13" xfId="0" applyFont="1" applyFill="1" applyBorder="1" applyAlignment="1">
      <alignment wrapText="1"/>
    </xf>
    <xf numFmtId="0" fontId="20" fillId="21" borderId="9" xfId="0" applyFont="1" applyFill="1" applyBorder="1" applyAlignment="1">
      <alignment horizontal="left" wrapText="1"/>
    </xf>
    <xf numFmtId="14" fontId="0" fillId="6" borderId="1" xfId="0" applyNumberFormat="1" applyFill="1" applyBorder="1" applyAlignment="1">
      <alignment wrapText="1"/>
    </xf>
    <xf numFmtId="0" fontId="0" fillId="6" borderId="9" xfId="0" applyFill="1" applyBorder="1" applyAlignment="1">
      <alignment wrapText="1"/>
    </xf>
    <xf numFmtId="0" fontId="0" fillId="6" borderId="10" xfId="0" applyFill="1" applyBorder="1" applyAlignment="1">
      <alignment wrapText="1"/>
    </xf>
    <xf numFmtId="0" fontId="0" fillId="6" borderId="1" xfId="0" applyFill="1" applyBorder="1" applyAlignment="1">
      <alignment wrapText="1"/>
    </xf>
    <xf numFmtId="14" fontId="25" fillId="8" borderId="0" xfId="0" applyNumberFormat="1" applyFont="1" applyFill="1" applyAlignment="1">
      <alignment horizontal="center" wrapText="1"/>
    </xf>
    <xf numFmtId="0" fontId="24" fillId="6" borderId="9" xfId="0" applyFont="1" applyFill="1" applyBorder="1" applyAlignment="1">
      <alignment horizontal="left" wrapText="1"/>
    </xf>
    <xf numFmtId="0" fontId="24" fillId="6" borderId="2" xfId="0" applyFont="1" applyFill="1" applyBorder="1" applyAlignment="1">
      <alignment horizontal="left" wrapText="1"/>
    </xf>
    <xf numFmtId="0" fontId="4" fillId="0" borderId="9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4" fillId="6" borderId="2" xfId="0" applyFont="1" applyFill="1" applyBorder="1" applyAlignment="1">
      <alignment horizontal="left" wrapText="1"/>
    </xf>
    <xf numFmtId="0" fontId="4" fillId="6" borderId="0" xfId="0" applyFont="1" applyFill="1" applyAlignment="1">
      <alignment horizontal="left" wrapText="1"/>
    </xf>
    <xf numFmtId="0" fontId="24" fillId="0" borderId="0" xfId="0" applyFont="1" applyAlignment="1">
      <alignment horizontal="left" wrapText="1"/>
    </xf>
    <xf numFmtId="14" fontId="7" fillId="8" borderId="0" xfId="0" applyNumberFormat="1" applyFont="1" applyFill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43" fillId="0" borderId="0" xfId="0" applyFont="1" applyAlignment="1">
      <alignment horizontal="left" wrapText="1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8000"/>
      <color rgb="FFCCFFCC"/>
      <color rgb="FF00FFFF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7</xdr:col>
      <xdr:colOff>304800</xdr:colOff>
      <xdr:row>35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E2D879-9A3F-80BE-070F-F55E911E5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5550"/>
          <a:ext cx="4572000" cy="3467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</xdr:row>
      <xdr:rowOff>38100</xdr:rowOff>
    </xdr:from>
    <xdr:to>
      <xdr:col>9</xdr:col>
      <xdr:colOff>209550</xdr:colOff>
      <xdr:row>11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41337-F9FF-909E-00D6-E4566889D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200025"/>
          <a:ext cx="4714875" cy="1638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8</xdr:col>
      <xdr:colOff>304800</xdr:colOff>
      <xdr:row>19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F999A6-E034-2C5A-206A-A0CC9435CBAF}"/>
            </a:ext>
            <a:ext uri="{147F2762-F138-4A5C-976F-8EAC2B608ADB}">
              <a16:predDERef xmlns:a16="http://schemas.microsoft.com/office/drawing/2014/main" pred="{FFA41337-F9FF-909E-00D6-E4566889D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266950"/>
          <a:ext cx="457200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dyearaz.gov/government/online-forms/finance-forms/construction-water-meter-request" TargetMode="External"/><Relationship Id="rId2" Type="http://schemas.openxmlformats.org/officeDocument/2006/relationships/hyperlink" Target="https://www.tempe.gov/home/showpublisheddocument/111243/638731509848730000" TargetMode="External"/><Relationship Id="rId1" Type="http://schemas.openxmlformats.org/officeDocument/2006/relationships/hyperlink" Target="mailto:Customerservices@tempe.gov" TargetMode="External"/><Relationship Id="rId4" Type="http://schemas.openxmlformats.org/officeDocument/2006/relationships/printerSettings" Target="../printerSettings/printerSettings2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3"/>
  <sheetViews>
    <sheetView zoomScale="112" zoomScaleNormal="112" workbookViewId="0">
      <pane ySplit="1" topLeftCell="A2" activePane="bottomLeft" state="frozen"/>
      <selection pane="bottomLeft" activeCell="F6" sqref="F6"/>
      <selection activeCell="A2" sqref="A2"/>
    </sheetView>
  </sheetViews>
  <sheetFormatPr defaultColWidth="8.5703125" defaultRowHeight="24.75" customHeight="1"/>
  <cols>
    <col min="1" max="1" width="9.42578125" style="49" customWidth="1"/>
    <col min="2" max="2" width="22.42578125" style="55" customWidth="1"/>
    <col min="3" max="3" width="28.42578125" style="25" customWidth="1"/>
    <col min="4" max="4" width="17.28515625" style="40" customWidth="1"/>
    <col min="5" max="5" width="12.140625" style="40" customWidth="1"/>
    <col min="6" max="6" width="12.28515625" style="25" customWidth="1"/>
    <col min="7" max="7" width="11.5703125" style="113" customWidth="1"/>
    <col min="8" max="8" width="15.42578125" style="86" customWidth="1"/>
    <col min="9" max="9" width="22.42578125" style="86" customWidth="1"/>
    <col min="10" max="10" width="18.5703125" style="40" customWidth="1"/>
    <col min="11" max="16384" width="8.5703125" style="40"/>
  </cols>
  <sheetData>
    <row r="1" spans="1:18" ht="24.75" customHeight="1">
      <c r="A1" s="43" t="s">
        <v>0</v>
      </c>
      <c r="B1" s="5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90" t="s">
        <v>7</v>
      </c>
      <c r="I1" s="87" t="s">
        <v>8</v>
      </c>
    </row>
    <row r="2" spans="1:18" ht="24.75" customHeight="1">
      <c r="A2" s="46"/>
      <c r="B2" s="31" t="s">
        <v>9</v>
      </c>
      <c r="C2" s="16" t="s">
        <v>10</v>
      </c>
      <c r="D2" s="54" t="s">
        <v>11</v>
      </c>
      <c r="E2" s="44" t="s">
        <v>12</v>
      </c>
      <c r="F2" s="31"/>
      <c r="G2" s="93">
        <v>45446</v>
      </c>
      <c r="H2" s="93"/>
      <c r="I2" s="88">
        <v>45958</v>
      </c>
    </row>
    <row r="3" spans="1:18" ht="24.75" customHeight="1">
      <c r="A3" s="46"/>
      <c r="B3" s="31" t="s">
        <v>13</v>
      </c>
      <c r="C3" s="16" t="s">
        <v>14</v>
      </c>
      <c r="D3" s="54" t="s">
        <v>15</v>
      </c>
      <c r="E3" s="44"/>
      <c r="F3" s="31"/>
      <c r="G3" s="93">
        <v>45412</v>
      </c>
      <c r="H3" s="93"/>
      <c r="I3" s="88">
        <v>45960</v>
      </c>
    </row>
    <row r="4" spans="1:18" ht="24.75" customHeight="1">
      <c r="A4" s="159"/>
      <c r="B4" s="159" t="s">
        <v>16</v>
      </c>
      <c r="C4" s="160" t="s">
        <v>17</v>
      </c>
      <c r="D4" s="160" t="s">
        <v>18</v>
      </c>
      <c r="E4" s="160"/>
      <c r="F4" s="160"/>
      <c r="G4" s="161">
        <v>45779</v>
      </c>
      <c r="H4" s="161"/>
      <c r="I4" s="162">
        <v>45963</v>
      </c>
    </row>
    <row r="5" spans="1:18" ht="24.75" customHeight="1">
      <c r="A5" s="159"/>
      <c r="B5" s="159" t="s">
        <v>19</v>
      </c>
      <c r="C5" s="244" t="s">
        <v>20</v>
      </c>
      <c r="D5" s="160" t="s">
        <v>21</v>
      </c>
      <c r="E5" s="160"/>
      <c r="F5" s="160"/>
      <c r="G5" s="161">
        <v>45629</v>
      </c>
      <c r="H5" s="161"/>
      <c r="I5" s="162">
        <v>45964</v>
      </c>
    </row>
    <row r="6" spans="1:18" ht="24.75" customHeight="1">
      <c r="A6" s="46"/>
      <c r="B6" s="31" t="s">
        <v>22</v>
      </c>
      <c r="C6" s="16" t="s">
        <v>23</v>
      </c>
      <c r="D6" s="54" t="s">
        <v>18</v>
      </c>
      <c r="E6" s="44"/>
      <c r="F6" s="31"/>
      <c r="G6" s="93">
        <v>45750</v>
      </c>
      <c r="H6" s="93"/>
      <c r="I6" s="88">
        <v>45964</v>
      </c>
    </row>
    <row r="7" spans="1:18" ht="24.75" customHeight="1">
      <c r="A7" s="54"/>
      <c r="B7" s="54" t="s">
        <v>24</v>
      </c>
      <c r="C7" s="44" t="s">
        <v>25</v>
      </c>
      <c r="D7" s="44" t="s">
        <v>26</v>
      </c>
      <c r="E7" s="44"/>
      <c r="F7" s="44"/>
      <c r="G7" s="91">
        <v>45561</v>
      </c>
      <c r="H7" s="91" t="s">
        <v>27</v>
      </c>
      <c r="I7" s="88">
        <v>45964</v>
      </c>
      <c r="J7" s="164"/>
      <c r="K7" s="164"/>
      <c r="L7" s="164"/>
      <c r="M7" s="164"/>
    </row>
    <row r="8" spans="1:18" ht="24.75" customHeight="1">
      <c r="A8" s="159"/>
      <c r="B8" s="159" t="s">
        <v>28</v>
      </c>
      <c r="C8" s="160" t="s">
        <v>29</v>
      </c>
      <c r="D8" s="160" t="s">
        <v>15</v>
      </c>
      <c r="E8" s="160"/>
      <c r="F8" s="160"/>
      <c r="G8" s="161">
        <v>45828</v>
      </c>
      <c r="H8" s="161"/>
      <c r="I8" s="162">
        <v>45966</v>
      </c>
    </row>
    <row r="9" spans="1:18" ht="24.75" customHeight="1">
      <c r="A9" s="54"/>
      <c r="B9" s="54" t="s">
        <v>30</v>
      </c>
      <c r="C9" s="44" t="s">
        <v>31</v>
      </c>
      <c r="D9" s="44" t="s">
        <v>32</v>
      </c>
      <c r="E9" s="44"/>
      <c r="F9" s="44"/>
      <c r="G9" s="91">
        <v>45752</v>
      </c>
      <c r="H9" s="91"/>
      <c r="I9" s="88">
        <v>45966</v>
      </c>
      <c r="J9" s="86"/>
    </row>
    <row r="10" spans="1:18" ht="24.75" customHeight="1">
      <c r="A10" s="46"/>
      <c r="B10" s="31" t="s">
        <v>33</v>
      </c>
      <c r="C10" s="16" t="s">
        <v>34</v>
      </c>
      <c r="D10" s="54" t="s">
        <v>15</v>
      </c>
      <c r="E10" s="44"/>
      <c r="F10" s="31"/>
      <c r="G10" s="93">
        <v>45112</v>
      </c>
      <c r="H10" s="93"/>
      <c r="I10" s="88">
        <v>45966</v>
      </c>
    </row>
    <row r="11" spans="1:18" ht="24.75" customHeight="1">
      <c r="A11" s="44"/>
      <c r="B11" s="54" t="s">
        <v>35</v>
      </c>
      <c r="C11" s="44" t="s">
        <v>36</v>
      </c>
      <c r="D11" s="44" t="s">
        <v>18</v>
      </c>
      <c r="E11" s="44"/>
      <c r="F11" s="44"/>
      <c r="G11" s="91">
        <v>45693</v>
      </c>
      <c r="H11" s="91"/>
      <c r="I11" s="88">
        <v>45966</v>
      </c>
      <c r="J11" s="164"/>
      <c r="K11" s="164"/>
      <c r="L11" s="164"/>
      <c r="M11" s="164"/>
      <c r="N11" s="164"/>
      <c r="O11" s="164"/>
      <c r="P11" s="164"/>
      <c r="Q11" s="164"/>
      <c r="R11" s="164"/>
    </row>
    <row r="12" spans="1:18" ht="24.75" customHeight="1">
      <c r="A12" s="44"/>
      <c r="B12" s="54" t="s">
        <v>37</v>
      </c>
      <c r="C12" s="44" t="s">
        <v>38</v>
      </c>
      <c r="D12" s="44" t="s">
        <v>15</v>
      </c>
      <c r="E12" s="44"/>
      <c r="F12" s="44"/>
      <c r="G12" s="91">
        <v>44515</v>
      </c>
      <c r="H12" s="91"/>
      <c r="I12" s="88">
        <v>45967</v>
      </c>
      <c r="J12" s="164"/>
      <c r="K12" s="164"/>
      <c r="L12" s="164"/>
      <c r="M12" s="164"/>
      <c r="N12" s="164"/>
      <c r="O12" s="164"/>
      <c r="P12" s="164"/>
      <c r="Q12" s="164"/>
      <c r="R12" s="164"/>
    </row>
    <row r="13" spans="1:18" ht="24.75" customHeight="1">
      <c r="A13" s="159"/>
      <c r="B13" s="159" t="s">
        <v>39</v>
      </c>
      <c r="C13" s="160" t="s">
        <v>40</v>
      </c>
      <c r="D13" s="160" t="s">
        <v>41</v>
      </c>
      <c r="E13" s="160"/>
      <c r="F13" s="160"/>
      <c r="G13" s="161">
        <v>45875</v>
      </c>
      <c r="H13" s="161"/>
      <c r="I13" s="162">
        <v>45967</v>
      </c>
    </row>
    <row r="14" spans="1:18" ht="24.75" customHeight="1">
      <c r="A14" s="46"/>
      <c r="B14" s="31" t="s">
        <v>42</v>
      </c>
      <c r="C14" s="16" t="s">
        <v>43</v>
      </c>
      <c r="D14" s="54" t="s">
        <v>44</v>
      </c>
      <c r="E14" s="44"/>
      <c r="F14" s="31"/>
      <c r="G14" s="93">
        <v>45474</v>
      </c>
      <c r="H14" s="93"/>
      <c r="I14" s="88">
        <v>45968</v>
      </c>
    </row>
    <row r="15" spans="1:18" ht="24.75" customHeight="1">
      <c r="A15" s="159"/>
      <c r="B15" s="159" t="s">
        <v>45</v>
      </c>
      <c r="C15" s="160" t="s">
        <v>46</v>
      </c>
      <c r="D15" s="160" t="s">
        <v>44</v>
      </c>
      <c r="E15" s="160"/>
      <c r="F15" s="160"/>
      <c r="G15" s="161">
        <v>45876</v>
      </c>
      <c r="H15" s="161"/>
      <c r="I15" s="162">
        <v>45968</v>
      </c>
    </row>
    <row r="16" spans="1:18" ht="24.75" customHeight="1">
      <c r="A16" s="159"/>
      <c r="B16" s="159" t="s">
        <v>47</v>
      </c>
      <c r="C16" s="160" t="s">
        <v>48</v>
      </c>
      <c r="D16" s="160" t="s">
        <v>18</v>
      </c>
      <c r="E16" s="160"/>
      <c r="F16" s="160" t="s">
        <v>49</v>
      </c>
      <c r="G16" s="161">
        <v>45846</v>
      </c>
      <c r="H16" s="161"/>
      <c r="I16" s="162">
        <v>45969</v>
      </c>
    </row>
    <row r="17" spans="1:18" ht="24.75" customHeight="1">
      <c r="A17" s="159"/>
      <c r="B17" s="159" t="s">
        <v>50</v>
      </c>
      <c r="C17" s="160" t="s">
        <v>51</v>
      </c>
      <c r="D17" s="160" t="s">
        <v>15</v>
      </c>
      <c r="E17" s="160"/>
      <c r="F17" s="160"/>
      <c r="G17" s="161">
        <v>45847</v>
      </c>
      <c r="H17" s="161"/>
      <c r="I17" s="162">
        <v>45970</v>
      </c>
    </row>
    <row r="18" spans="1:18" ht="24.75" customHeight="1">
      <c r="A18" s="159"/>
      <c r="B18" s="159" t="s">
        <v>52</v>
      </c>
      <c r="C18" s="160" t="s">
        <v>53</v>
      </c>
      <c r="D18" s="160" t="s">
        <v>54</v>
      </c>
      <c r="E18" s="160"/>
      <c r="F18" s="160"/>
      <c r="G18" s="161">
        <v>45939</v>
      </c>
      <c r="H18" s="161"/>
      <c r="I18" s="162">
        <v>45970</v>
      </c>
    </row>
    <row r="19" spans="1:18" ht="24.75" customHeight="1">
      <c r="A19" s="159"/>
      <c r="B19" s="159" t="s">
        <v>55</v>
      </c>
      <c r="C19" s="160" t="s">
        <v>56</v>
      </c>
      <c r="D19" s="160" t="s">
        <v>57</v>
      </c>
      <c r="E19" s="160"/>
      <c r="F19" s="160"/>
      <c r="G19" s="161">
        <v>45909</v>
      </c>
      <c r="H19" s="161"/>
      <c r="I19" s="162">
        <v>45970</v>
      </c>
    </row>
    <row r="20" spans="1:18" s="164" customFormat="1" ht="24.75" customHeight="1">
      <c r="A20" s="159"/>
      <c r="B20" s="159" t="s">
        <v>16</v>
      </c>
      <c r="C20" s="160" t="s">
        <v>58</v>
      </c>
      <c r="D20" s="160" t="s">
        <v>59</v>
      </c>
      <c r="E20" s="160"/>
      <c r="F20" s="160"/>
      <c r="G20" s="161">
        <v>45754</v>
      </c>
      <c r="H20" s="161"/>
      <c r="I20" s="162">
        <v>45971</v>
      </c>
      <c r="J20" s="40"/>
      <c r="K20" s="40">
        <v>7698.11</v>
      </c>
      <c r="L20" s="40"/>
      <c r="M20" s="40"/>
      <c r="N20" s="40"/>
      <c r="O20" s="40"/>
      <c r="P20" s="40"/>
      <c r="Q20" s="40"/>
      <c r="R20" s="40"/>
    </row>
    <row r="21" spans="1:18" s="164" customFormat="1" ht="24.75" customHeight="1">
      <c r="A21" s="159"/>
      <c r="B21" s="159" t="s">
        <v>60</v>
      </c>
      <c r="C21" s="160" t="s">
        <v>61</v>
      </c>
      <c r="D21" s="160" t="s">
        <v>44</v>
      </c>
      <c r="E21" s="160"/>
      <c r="F21" s="160"/>
      <c r="G21" s="161">
        <v>45910</v>
      </c>
      <c r="H21" s="161"/>
      <c r="I21" s="162">
        <v>45971</v>
      </c>
      <c r="J21" s="40"/>
      <c r="K21" s="40"/>
      <c r="L21" s="40"/>
      <c r="M21" s="40"/>
      <c r="N21" s="40"/>
      <c r="O21" s="40"/>
      <c r="P21" s="40"/>
      <c r="Q21" s="40"/>
      <c r="R21" s="40"/>
    </row>
    <row r="22" spans="1:18" s="164" customFormat="1" ht="24.75" customHeight="1">
      <c r="A22" s="160"/>
      <c r="B22" s="159" t="s">
        <v>62</v>
      </c>
      <c r="C22" s="160" t="s">
        <v>63</v>
      </c>
      <c r="D22" s="160" t="s">
        <v>15</v>
      </c>
      <c r="E22" s="160"/>
      <c r="F22" s="160"/>
      <c r="G22" s="161">
        <v>45117</v>
      </c>
      <c r="H22" s="161"/>
      <c r="I22" s="162">
        <v>45971</v>
      </c>
      <c r="J22" s="40"/>
      <c r="K22" s="40"/>
      <c r="L22" s="40"/>
      <c r="M22" s="40"/>
      <c r="N22" s="40"/>
      <c r="O22" s="40"/>
      <c r="P22" s="40"/>
      <c r="Q22" s="40"/>
      <c r="R22" s="40"/>
    </row>
    <row r="23" spans="1:18" s="164" customFormat="1" ht="24.75" customHeight="1">
      <c r="A23" s="159"/>
      <c r="B23" s="159" t="s">
        <v>50</v>
      </c>
      <c r="C23" s="160" t="s">
        <v>64</v>
      </c>
      <c r="D23" s="160" t="s">
        <v>15</v>
      </c>
      <c r="E23" s="160"/>
      <c r="F23" s="160"/>
      <c r="G23" s="161">
        <v>45818</v>
      </c>
      <c r="H23" s="161"/>
      <c r="I23" s="162">
        <v>45971</v>
      </c>
      <c r="J23" s="40"/>
      <c r="K23" s="40"/>
      <c r="L23" s="40"/>
      <c r="M23" s="40"/>
      <c r="N23" s="40"/>
      <c r="O23" s="40"/>
      <c r="P23" s="40"/>
      <c r="Q23" s="40"/>
      <c r="R23" s="40"/>
    </row>
    <row r="24" spans="1:18" s="164" customFormat="1" ht="24.75" customHeight="1">
      <c r="A24" s="159"/>
      <c r="B24" s="159" t="s">
        <v>65</v>
      </c>
      <c r="C24" s="160" t="s">
        <v>66</v>
      </c>
      <c r="D24" s="160" t="s">
        <v>15</v>
      </c>
      <c r="E24" s="160"/>
      <c r="F24" s="160"/>
      <c r="G24" s="161">
        <v>45940</v>
      </c>
      <c r="H24" s="161"/>
      <c r="I24" s="162">
        <v>45971</v>
      </c>
      <c r="J24" s="40"/>
      <c r="K24" s="40"/>
      <c r="L24" s="40"/>
      <c r="M24" s="40"/>
      <c r="N24" s="40"/>
      <c r="O24" s="40"/>
      <c r="P24" s="40"/>
      <c r="Q24" s="40"/>
      <c r="R24" s="40"/>
    </row>
    <row r="25" spans="1:18" s="164" customFormat="1" ht="24.75" customHeight="1">
      <c r="A25" s="54"/>
      <c r="B25" s="243" t="s">
        <v>67</v>
      </c>
      <c r="C25" s="44" t="s">
        <v>68</v>
      </c>
      <c r="D25" s="44" t="s">
        <v>44</v>
      </c>
      <c r="E25" s="44"/>
      <c r="F25" s="44"/>
      <c r="G25" s="91">
        <v>45758</v>
      </c>
      <c r="H25" s="91"/>
      <c r="I25" s="88">
        <v>45972</v>
      </c>
      <c r="J25" s="86"/>
      <c r="K25" s="40"/>
      <c r="L25" s="40"/>
      <c r="M25" s="40"/>
      <c r="N25" s="40"/>
      <c r="O25" s="40"/>
      <c r="P25" s="40"/>
      <c r="Q25" s="40"/>
      <c r="R25" s="40"/>
    </row>
    <row r="26" spans="1:18" s="164" customFormat="1" ht="30" customHeight="1">
      <c r="A26" s="46"/>
      <c r="B26" s="31" t="s">
        <v>69</v>
      </c>
      <c r="C26" s="16" t="s">
        <v>70</v>
      </c>
      <c r="D26" s="54" t="s">
        <v>71</v>
      </c>
      <c r="E26" s="44"/>
      <c r="F26" s="31"/>
      <c r="G26" s="93"/>
      <c r="H26" s="93" t="s">
        <v>72</v>
      </c>
      <c r="I26" s="88">
        <v>45972</v>
      </c>
    </row>
    <row r="27" spans="1:18" s="164" customFormat="1" ht="24.75" customHeight="1">
      <c r="A27" s="159"/>
      <c r="B27" s="159" t="s">
        <v>73</v>
      </c>
      <c r="C27" s="160" t="s">
        <v>74</v>
      </c>
      <c r="D27" s="160" t="s">
        <v>44</v>
      </c>
      <c r="E27" s="160"/>
      <c r="F27" s="160"/>
      <c r="G27" s="161">
        <v>45913</v>
      </c>
      <c r="H27" s="161"/>
      <c r="I27" s="162">
        <v>45974</v>
      </c>
      <c r="J27" s="40"/>
      <c r="K27" s="40"/>
      <c r="L27" s="40"/>
      <c r="M27" s="40"/>
      <c r="N27" s="40"/>
      <c r="O27" s="40"/>
      <c r="P27" s="40"/>
      <c r="Q27" s="40"/>
      <c r="R27" s="40"/>
    </row>
    <row r="28" spans="1:18" s="164" customFormat="1" ht="24.75" customHeight="1">
      <c r="A28" s="46"/>
      <c r="B28" s="31" t="s">
        <v>75</v>
      </c>
      <c r="C28" s="16" t="s">
        <v>76</v>
      </c>
      <c r="D28" s="54" t="s">
        <v>54</v>
      </c>
      <c r="E28" s="44"/>
      <c r="F28" s="31"/>
      <c r="G28" s="93" t="s">
        <v>77</v>
      </c>
      <c r="H28" s="93"/>
      <c r="I28" s="88">
        <v>45975</v>
      </c>
      <c r="J28" s="40"/>
      <c r="K28" s="40"/>
      <c r="L28" s="40"/>
      <c r="M28" s="40"/>
      <c r="N28" s="40"/>
      <c r="O28" s="40"/>
      <c r="P28" s="40"/>
      <c r="Q28" s="40"/>
      <c r="R28" s="40"/>
    </row>
    <row r="29" spans="1:18" ht="24.75" customHeight="1">
      <c r="A29" s="54"/>
      <c r="B29" s="54" t="s">
        <v>78</v>
      </c>
      <c r="C29" s="44" t="s">
        <v>79</v>
      </c>
      <c r="D29" s="44" t="s">
        <v>80</v>
      </c>
      <c r="E29" s="44"/>
      <c r="F29" s="44"/>
      <c r="G29" s="91">
        <v>45183</v>
      </c>
      <c r="H29" s="91"/>
      <c r="I29" s="88">
        <v>45975</v>
      </c>
    </row>
    <row r="30" spans="1:18" ht="24.75" customHeight="1">
      <c r="A30" s="159"/>
      <c r="B30" s="159" t="s">
        <v>81</v>
      </c>
      <c r="C30" s="160" t="s">
        <v>82</v>
      </c>
      <c r="D30" s="160" t="s">
        <v>18</v>
      </c>
      <c r="E30" s="160"/>
      <c r="F30" s="160"/>
      <c r="G30" s="161">
        <v>45852</v>
      </c>
      <c r="H30" s="161"/>
      <c r="I30" s="162">
        <v>45975</v>
      </c>
    </row>
    <row r="31" spans="1:18" ht="24.75" customHeight="1">
      <c r="A31" s="54"/>
      <c r="B31" s="54" t="s">
        <v>83</v>
      </c>
      <c r="C31" s="44" t="s">
        <v>84</v>
      </c>
      <c r="D31" s="44" t="s">
        <v>44</v>
      </c>
      <c r="E31" s="44"/>
      <c r="F31" s="44"/>
      <c r="G31" s="91">
        <v>45610</v>
      </c>
      <c r="H31" s="91"/>
      <c r="I31" s="88">
        <v>45975</v>
      </c>
      <c r="Q31" s="77"/>
    </row>
    <row r="32" spans="1:18" ht="24.75" customHeight="1">
      <c r="A32" s="54"/>
      <c r="B32" s="54" t="s">
        <v>85</v>
      </c>
      <c r="C32" s="44" t="s">
        <v>86</v>
      </c>
      <c r="D32" s="44" t="s">
        <v>15</v>
      </c>
      <c r="E32" s="44"/>
      <c r="F32" s="44"/>
      <c r="G32" s="91">
        <v>45610</v>
      </c>
      <c r="H32" s="91"/>
      <c r="I32" s="88">
        <v>45975</v>
      </c>
    </row>
    <row r="33" spans="1:18" ht="24.75" customHeight="1">
      <c r="A33" s="44"/>
      <c r="B33" s="31" t="s">
        <v>87</v>
      </c>
      <c r="C33" s="16" t="s">
        <v>88</v>
      </c>
      <c r="D33" s="54" t="s">
        <v>89</v>
      </c>
      <c r="E33" s="44" t="s">
        <v>89</v>
      </c>
      <c r="F33" s="31"/>
      <c r="G33" s="93">
        <v>43966</v>
      </c>
      <c r="H33" s="93"/>
      <c r="I33" s="88">
        <v>45976</v>
      </c>
    </row>
    <row r="34" spans="1:18" ht="24.75" customHeight="1">
      <c r="A34" s="159"/>
      <c r="B34" s="159" t="s">
        <v>90</v>
      </c>
      <c r="C34" s="160" t="s">
        <v>91</v>
      </c>
      <c r="D34" s="160" t="s">
        <v>89</v>
      </c>
      <c r="E34" s="160"/>
      <c r="F34" s="160"/>
      <c r="G34" s="161">
        <v>45916</v>
      </c>
      <c r="H34" s="161"/>
      <c r="I34" s="162">
        <v>45977</v>
      </c>
    </row>
    <row r="35" spans="1:18" ht="24.75" customHeight="1">
      <c r="A35" s="54"/>
      <c r="B35" s="54" t="s">
        <v>92</v>
      </c>
      <c r="C35" s="44" t="s">
        <v>93</v>
      </c>
      <c r="D35" s="44" t="s">
        <v>44</v>
      </c>
      <c r="E35" s="44"/>
      <c r="F35" s="44"/>
      <c r="G35" s="91">
        <v>45916</v>
      </c>
      <c r="H35" s="91"/>
      <c r="I35" s="88">
        <v>45977</v>
      </c>
      <c r="J35" s="86"/>
    </row>
    <row r="36" spans="1:18" ht="24.75" customHeight="1">
      <c r="A36" s="46"/>
      <c r="B36" s="31" t="s">
        <v>33</v>
      </c>
      <c r="C36" s="16" t="s">
        <v>94</v>
      </c>
      <c r="D36" s="54" t="s">
        <v>95</v>
      </c>
      <c r="E36" s="44"/>
      <c r="F36" s="31"/>
      <c r="G36" s="93">
        <v>45215</v>
      </c>
      <c r="H36" s="93"/>
      <c r="I36" s="88">
        <v>45977</v>
      </c>
    </row>
    <row r="37" spans="1:18" ht="24.75" customHeight="1">
      <c r="A37" s="54"/>
      <c r="B37" s="54" t="s">
        <v>96</v>
      </c>
      <c r="C37" s="44" t="s">
        <v>97</v>
      </c>
      <c r="D37" s="44" t="s">
        <v>44</v>
      </c>
      <c r="E37" s="44"/>
      <c r="F37" s="44"/>
      <c r="G37" s="91">
        <v>45916</v>
      </c>
      <c r="H37" s="91"/>
      <c r="I37" s="88">
        <v>45977</v>
      </c>
      <c r="J37" s="86"/>
    </row>
    <row r="38" spans="1:18" ht="24.75" customHeight="1">
      <c r="A38" s="159"/>
      <c r="B38" s="159" t="s">
        <v>98</v>
      </c>
      <c r="C38" s="160" t="s">
        <v>99</v>
      </c>
      <c r="D38" s="160" t="s">
        <v>15</v>
      </c>
      <c r="E38" s="160"/>
      <c r="F38" s="160"/>
      <c r="G38" s="161">
        <v>45825</v>
      </c>
      <c r="H38" s="161"/>
      <c r="I38" s="162">
        <v>45978</v>
      </c>
    </row>
    <row r="39" spans="1:18" ht="24.75" customHeight="1">
      <c r="A39" s="44"/>
      <c r="B39" s="54" t="s">
        <v>100</v>
      </c>
      <c r="C39" s="44" t="s">
        <v>101</v>
      </c>
      <c r="D39" s="44" t="s">
        <v>102</v>
      </c>
      <c r="E39" s="44"/>
      <c r="F39" s="44"/>
      <c r="G39" s="91">
        <v>45120</v>
      </c>
      <c r="H39" s="91">
        <v>45826</v>
      </c>
      <c r="I39" s="88">
        <v>45978</v>
      </c>
    </row>
    <row r="40" spans="1:18" ht="24.75" customHeight="1">
      <c r="A40" s="54"/>
      <c r="B40" s="54" t="s">
        <v>103</v>
      </c>
      <c r="C40" s="44" t="s">
        <v>104</v>
      </c>
      <c r="D40" s="44" t="s">
        <v>15</v>
      </c>
      <c r="E40" s="44"/>
      <c r="F40" s="44"/>
      <c r="G40" s="91">
        <v>45490</v>
      </c>
      <c r="H40" s="91"/>
      <c r="I40" s="88">
        <v>45978</v>
      </c>
    </row>
    <row r="41" spans="1:18" ht="24.75" customHeight="1">
      <c r="A41" s="159"/>
      <c r="B41" s="159" t="s">
        <v>105</v>
      </c>
      <c r="C41" s="160" t="s">
        <v>106</v>
      </c>
      <c r="D41" s="160" t="s">
        <v>44</v>
      </c>
      <c r="E41" s="160"/>
      <c r="F41" s="160"/>
      <c r="G41" s="161">
        <v>45947</v>
      </c>
      <c r="H41" s="161"/>
      <c r="I41" s="162">
        <v>45978</v>
      </c>
    </row>
    <row r="42" spans="1:18" ht="24.75" customHeight="1">
      <c r="A42" s="46"/>
      <c r="B42" s="31" t="s">
        <v>107</v>
      </c>
      <c r="C42" s="16" t="s">
        <v>108</v>
      </c>
      <c r="D42" s="54" t="s">
        <v>109</v>
      </c>
      <c r="E42" s="44"/>
      <c r="F42" s="31"/>
      <c r="G42" s="93">
        <v>45278</v>
      </c>
      <c r="H42" s="93"/>
      <c r="I42" s="88">
        <v>45979</v>
      </c>
    </row>
    <row r="43" spans="1:18" ht="24.75" customHeight="1">
      <c r="A43" s="159"/>
      <c r="B43" s="159" t="s">
        <v>110</v>
      </c>
      <c r="C43" s="160" t="s">
        <v>111</v>
      </c>
      <c r="D43" s="160" t="s">
        <v>44</v>
      </c>
      <c r="E43" s="160"/>
      <c r="F43" s="160"/>
      <c r="G43" s="161">
        <v>45856</v>
      </c>
      <c r="H43" s="161"/>
      <c r="I43" s="162">
        <v>45979</v>
      </c>
    </row>
    <row r="44" spans="1:18" ht="24.75" customHeight="1">
      <c r="A44" s="159"/>
      <c r="B44" s="159" t="s">
        <v>112</v>
      </c>
      <c r="C44" s="160" t="s">
        <v>113</v>
      </c>
      <c r="D44" s="160" t="s">
        <v>44</v>
      </c>
      <c r="E44" s="160"/>
      <c r="F44" s="160"/>
      <c r="G44" s="161">
        <v>45887</v>
      </c>
      <c r="H44" s="161"/>
      <c r="I44" s="162">
        <v>45979</v>
      </c>
    </row>
    <row r="45" spans="1:18" ht="24.75" customHeight="1">
      <c r="A45" s="46"/>
      <c r="B45" s="16" t="s">
        <v>114</v>
      </c>
      <c r="C45" s="15" t="s">
        <v>115</v>
      </c>
      <c r="D45" s="44" t="s">
        <v>116</v>
      </c>
      <c r="E45" s="44" t="s">
        <v>116</v>
      </c>
      <c r="F45" s="16"/>
      <c r="G45" s="92">
        <v>45735</v>
      </c>
      <c r="H45" s="41" t="s">
        <v>117</v>
      </c>
      <c r="I45" s="88">
        <v>45980</v>
      </c>
      <c r="J45"/>
      <c r="K45"/>
      <c r="L45"/>
      <c r="M45"/>
      <c r="N45"/>
      <c r="O45"/>
      <c r="P45"/>
      <c r="Q45"/>
      <c r="R45"/>
    </row>
    <row r="46" spans="1:18" ht="24.75" customHeight="1">
      <c r="A46" s="44"/>
      <c r="B46" s="54" t="s">
        <v>118</v>
      </c>
      <c r="C46" s="44" t="s">
        <v>119</v>
      </c>
      <c r="D46" s="44" t="s">
        <v>120</v>
      </c>
      <c r="E46" s="44"/>
      <c r="F46" s="44"/>
      <c r="G46" s="91">
        <v>45708</v>
      </c>
      <c r="H46" s="91"/>
      <c r="I46" s="88">
        <v>45981</v>
      </c>
    </row>
    <row r="47" spans="1:18" ht="24.75" customHeight="1">
      <c r="A47" s="159"/>
      <c r="B47" s="159" t="s">
        <v>24</v>
      </c>
      <c r="C47" s="160" t="s">
        <v>121</v>
      </c>
      <c r="D47" s="160" t="s">
        <v>15</v>
      </c>
      <c r="E47" s="160"/>
      <c r="F47" s="160"/>
      <c r="G47" s="161">
        <v>45797</v>
      </c>
      <c r="H47" s="161"/>
      <c r="I47" s="162">
        <v>45981</v>
      </c>
    </row>
    <row r="48" spans="1:18" ht="24.75" customHeight="1">
      <c r="A48" s="54"/>
      <c r="B48" s="54" t="s">
        <v>122</v>
      </c>
      <c r="C48" s="44" t="s">
        <v>123</v>
      </c>
      <c r="D48" s="44" t="s">
        <v>44</v>
      </c>
      <c r="E48" s="44"/>
      <c r="F48" s="44"/>
      <c r="G48" s="91">
        <v>45920</v>
      </c>
      <c r="H48" s="91"/>
      <c r="I48" s="88">
        <v>45981</v>
      </c>
      <c r="J48" s="86"/>
    </row>
    <row r="49" spans="1:18" ht="24.75" customHeight="1">
      <c r="A49" s="159"/>
      <c r="B49" s="159" t="s">
        <v>124</v>
      </c>
      <c r="C49" s="160" t="s">
        <v>125</v>
      </c>
      <c r="D49" s="160" t="s">
        <v>15</v>
      </c>
      <c r="E49" s="160"/>
      <c r="F49" s="160"/>
      <c r="G49" s="161">
        <v>45839</v>
      </c>
      <c r="H49" s="161"/>
      <c r="I49" s="162">
        <v>45981</v>
      </c>
    </row>
    <row r="50" spans="1:18" ht="24.75" customHeight="1">
      <c r="A50" s="46"/>
      <c r="B50" s="31" t="s">
        <v>126</v>
      </c>
      <c r="C50" s="16" t="s">
        <v>127</v>
      </c>
      <c r="D50" s="44" t="s">
        <v>15</v>
      </c>
      <c r="E50" s="52" t="s">
        <v>15</v>
      </c>
      <c r="F50" s="31"/>
      <c r="G50" s="92">
        <v>43820</v>
      </c>
      <c r="H50" s="92"/>
      <c r="I50" s="88">
        <v>45982</v>
      </c>
    </row>
    <row r="51" spans="1:18" ht="24.75" customHeight="1">
      <c r="A51" s="159"/>
      <c r="B51" s="159" t="s">
        <v>128</v>
      </c>
      <c r="C51" s="160" t="s">
        <v>129</v>
      </c>
      <c r="D51" s="160" t="s">
        <v>44</v>
      </c>
      <c r="E51" s="160"/>
      <c r="F51" s="160"/>
      <c r="G51" s="161">
        <v>45679</v>
      </c>
      <c r="H51" s="161"/>
      <c r="I51" s="162">
        <v>45982</v>
      </c>
      <c r="J51" s="164"/>
      <c r="K51" s="164"/>
      <c r="L51" s="164"/>
      <c r="M51" s="164"/>
      <c r="N51" s="164"/>
      <c r="O51" s="164"/>
      <c r="P51" s="164"/>
      <c r="Q51" s="164"/>
      <c r="R51" s="164"/>
    </row>
    <row r="52" spans="1:18" ht="24.75" customHeight="1">
      <c r="A52" s="159"/>
      <c r="B52" s="159" t="s">
        <v>130</v>
      </c>
      <c r="C52" s="160" t="s">
        <v>131</v>
      </c>
      <c r="D52" s="160" t="s">
        <v>44</v>
      </c>
      <c r="E52" s="160"/>
      <c r="F52" s="160"/>
      <c r="G52" s="161">
        <v>45859</v>
      </c>
      <c r="H52" s="161"/>
      <c r="I52" s="162">
        <v>45982</v>
      </c>
    </row>
    <row r="53" spans="1:18" ht="24.75" customHeight="1">
      <c r="A53" s="46"/>
      <c r="B53" s="31" t="s">
        <v>50</v>
      </c>
      <c r="C53" s="16" t="s">
        <v>132</v>
      </c>
      <c r="D53" s="54" t="s">
        <v>15</v>
      </c>
      <c r="E53" s="44"/>
      <c r="F53" s="31"/>
      <c r="G53" s="93">
        <v>45737</v>
      </c>
      <c r="H53" s="93"/>
      <c r="I53" s="88">
        <v>45982</v>
      </c>
    </row>
    <row r="54" spans="1:18" ht="24.75" customHeight="1">
      <c r="A54" s="44"/>
      <c r="B54" s="54" t="s">
        <v>133</v>
      </c>
      <c r="C54" s="44" t="s">
        <v>134</v>
      </c>
      <c r="D54" s="44" t="s">
        <v>135</v>
      </c>
      <c r="E54" s="44"/>
      <c r="F54" s="44"/>
      <c r="G54" s="91">
        <v>45128</v>
      </c>
      <c r="H54" s="91" t="s">
        <v>136</v>
      </c>
      <c r="I54" s="88">
        <v>45983</v>
      </c>
      <c r="J54" s="164"/>
      <c r="K54" s="164"/>
      <c r="L54" s="164"/>
      <c r="M54" s="164"/>
      <c r="N54" s="164"/>
      <c r="O54" s="164"/>
      <c r="P54" s="164"/>
      <c r="Q54" s="164"/>
      <c r="R54" s="164"/>
    </row>
    <row r="55" spans="1:18" ht="24.75" customHeight="1">
      <c r="A55" s="54"/>
      <c r="B55" s="54" t="s">
        <v>107</v>
      </c>
      <c r="C55" s="44" t="s">
        <v>137</v>
      </c>
      <c r="D55" s="44" t="s">
        <v>89</v>
      </c>
      <c r="E55" s="44"/>
      <c r="F55" s="44"/>
      <c r="G55" s="91">
        <v>45618</v>
      </c>
      <c r="H55" s="91"/>
      <c r="I55" s="88">
        <v>45983</v>
      </c>
      <c r="J55" s="164"/>
      <c r="K55" s="164"/>
      <c r="L55" s="164"/>
      <c r="M55" s="164"/>
      <c r="N55" s="164"/>
      <c r="O55" s="164"/>
      <c r="P55" s="164"/>
      <c r="Q55" s="164"/>
      <c r="R55" s="164"/>
    </row>
    <row r="56" spans="1:18" ht="24.75" customHeight="1">
      <c r="A56" s="54"/>
      <c r="B56" s="54" t="s">
        <v>24</v>
      </c>
      <c r="C56" s="44" t="s">
        <v>138</v>
      </c>
      <c r="D56" s="44" t="s">
        <v>44</v>
      </c>
      <c r="E56" s="44"/>
      <c r="F56" s="44"/>
      <c r="G56" s="91">
        <v>45922</v>
      </c>
      <c r="H56" s="91"/>
      <c r="I56" s="88">
        <v>45983</v>
      </c>
      <c r="J56" s="86"/>
    </row>
    <row r="57" spans="1:18" ht="24.75" customHeight="1">
      <c r="A57" s="159"/>
      <c r="B57" s="159" t="s">
        <v>139</v>
      </c>
      <c r="C57" s="160" t="s">
        <v>140</v>
      </c>
      <c r="D57" s="160" t="s">
        <v>15</v>
      </c>
      <c r="E57" s="160"/>
      <c r="F57" s="160"/>
      <c r="G57" s="161">
        <v>45891</v>
      </c>
      <c r="H57" s="161"/>
      <c r="I57" s="162">
        <v>45983</v>
      </c>
    </row>
    <row r="58" spans="1:18" ht="24.75" customHeight="1">
      <c r="A58" s="54"/>
      <c r="B58" s="54" t="s">
        <v>141</v>
      </c>
      <c r="C58" s="44" t="s">
        <v>142</v>
      </c>
      <c r="D58" s="44" t="s">
        <v>44</v>
      </c>
      <c r="E58" s="44"/>
      <c r="F58" s="44"/>
      <c r="G58" s="91">
        <v>45923</v>
      </c>
      <c r="H58" s="91"/>
      <c r="I58" s="88">
        <v>45984</v>
      </c>
      <c r="J58" s="86"/>
    </row>
    <row r="59" spans="1:18" ht="24.75" customHeight="1">
      <c r="A59" s="159"/>
      <c r="B59" s="159" t="s">
        <v>143</v>
      </c>
      <c r="C59" s="160" t="s">
        <v>144</v>
      </c>
      <c r="D59" s="160" t="s">
        <v>15</v>
      </c>
      <c r="E59" s="160"/>
      <c r="F59" s="160"/>
      <c r="G59" s="161">
        <v>45862</v>
      </c>
      <c r="H59" s="161"/>
      <c r="I59" s="162">
        <v>45985</v>
      </c>
    </row>
    <row r="60" spans="1:18" ht="24.75" customHeight="1">
      <c r="A60" s="54"/>
      <c r="B60" s="54" t="s">
        <v>145</v>
      </c>
      <c r="C60" s="44" t="s">
        <v>146</v>
      </c>
      <c r="D60" s="44" t="s">
        <v>18</v>
      </c>
      <c r="E60" s="44"/>
      <c r="F60" s="44"/>
      <c r="G60" s="91">
        <v>45862</v>
      </c>
      <c r="H60" s="91"/>
      <c r="I60" s="88">
        <v>45985</v>
      </c>
      <c r="J60" s="86"/>
    </row>
    <row r="61" spans="1:18" ht="24.75" customHeight="1">
      <c r="A61" s="44"/>
      <c r="B61" s="54" t="s">
        <v>147</v>
      </c>
      <c r="C61" s="44" t="s">
        <v>148</v>
      </c>
      <c r="D61" s="44" t="s">
        <v>149</v>
      </c>
      <c r="E61" s="44"/>
      <c r="F61" s="44"/>
      <c r="G61" s="91">
        <v>45621</v>
      </c>
      <c r="H61" s="91"/>
      <c r="I61" s="88">
        <v>45986</v>
      </c>
    </row>
    <row r="62" spans="1:18" ht="24.75" customHeight="1">
      <c r="A62" s="159"/>
      <c r="B62" s="159" t="s">
        <v>150</v>
      </c>
      <c r="C62" s="160" t="s">
        <v>151</v>
      </c>
      <c r="D62" s="160" t="s">
        <v>15</v>
      </c>
      <c r="E62" s="160"/>
      <c r="F62" s="160"/>
      <c r="G62" s="161">
        <v>45863</v>
      </c>
      <c r="H62" s="161"/>
      <c r="I62" s="162">
        <v>45986</v>
      </c>
    </row>
    <row r="63" spans="1:18" ht="24.75" customHeight="1">
      <c r="A63" s="54"/>
      <c r="B63" s="54" t="s">
        <v>152</v>
      </c>
      <c r="C63" s="44" t="s">
        <v>153</v>
      </c>
      <c r="D63" s="44" t="s">
        <v>44</v>
      </c>
      <c r="E63" s="44"/>
      <c r="F63" s="44"/>
      <c r="G63" s="91">
        <v>45621</v>
      </c>
      <c r="H63" s="91"/>
      <c r="I63" s="88">
        <v>45986</v>
      </c>
    </row>
    <row r="64" spans="1:18" ht="24.75" customHeight="1">
      <c r="A64" s="46"/>
      <c r="B64" s="31" t="s">
        <v>33</v>
      </c>
      <c r="C64" s="16" t="s">
        <v>154</v>
      </c>
      <c r="D64" s="54" t="s">
        <v>15</v>
      </c>
      <c r="E64" s="44"/>
      <c r="F64" s="31"/>
      <c r="G64" s="93">
        <v>45225</v>
      </c>
      <c r="H64" s="93"/>
      <c r="I64" s="88">
        <v>45987</v>
      </c>
    </row>
    <row r="65" spans="1:10" ht="24.75" customHeight="1">
      <c r="A65" s="46"/>
      <c r="B65" s="31" t="s">
        <v>155</v>
      </c>
      <c r="C65" s="16" t="s">
        <v>156</v>
      </c>
      <c r="D65" s="54" t="s">
        <v>157</v>
      </c>
      <c r="E65" s="44"/>
      <c r="F65" s="31"/>
      <c r="G65" s="93">
        <v>44594</v>
      </c>
      <c r="H65" s="93"/>
      <c r="I65" s="88">
        <v>45987</v>
      </c>
    </row>
    <row r="66" spans="1:10" ht="24.75" customHeight="1">
      <c r="A66" s="46"/>
      <c r="B66" s="31" t="s">
        <v>141</v>
      </c>
      <c r="C66" s="16" t="s">
        <v>158</v>
      </c>
      <c r="D66" s="54" t="s">
        <v>15</v>
      </c>
      <c r="E66" s="44"/>
      <c r="F66" s="31"/>
      <c r="G66" s="93">
        <v>45257</v>
      </c>
      <c r="H66" s="93"/>
      <c r="I66" s="88">
        <v>45988</v>
      </c>
    </row>
    <row r="67" spans="1:10" ht="24.75" customHeight="1">
      <c r="A67" s="159"/>
      <c r="B67" s="159" t="s">
        <v>92</v>
      </c>
      <c r="C67" s="160" t="s">
        <v>159</v>
      </c>
      <c r="D67" s="160" t="s">
        <v>15</v>
      </c>
      <c r="E67" s="160"/>
      <c r="F67" s="160"/>
      <c r="G67" s="161">
        <v>45835</v>
      </c>
      <c r="H67" s="161"/>
      <c r="I67" s="162">
        <v>45988</v>
      </c>
    </row>
    <row r="68" spans="1:10" ht="24.75" customHeight="1">
      <c r="A68" s="159"/>
      <c r="B68" s="159" t="s">
        <v>24</v>
      </c>
      <c r="C68" s="160" t="s">
        <v>160</v>
      </c>
      <c r="D68" s="160" t="s">
        <v>15</v>
      </c>
      <c r="E68" s="160"/>
      <c r="F68" s="160"/>
      <c r="G68" s="161">
        <v>45804</v>
      </c>
      <c r="H68" s="161"/>
      <c r="I68" s="162">
        <v>45988</v>
      </c>
    </row>
    <row r="69" spans="1:10" ht="24.75" customHeight="1">
      <c r="A69" s="159"/>
      <c r="B69" s="159" t="s">
        <v>161</v>
      </c>
      <c r="C69" s="160" t="s">
        <v>162</v>
      </c>
      <c r="D69" s="160" t="s">
        <v>44</v>
      </c>
      <c r="E69" s="160"/>
      <c r="F69" s="160"/>
      <c r="G69" s="161">
        <v>45944</v>
      </c>
      <c r="H69" s="161"/>
      <c r="I69" s="162">
        <v>45988</v>
      </c>
    </row>
    <row r="70" spans="1:10" ht="24.75" customHeight="1">
      <c r="A70" s="46"/>
      <c r="B70" s="31" t="s">
        <v>163</v>
      </c>
      <c r="C70" s="16" t="s">
        <v>164</v>
      </c>
      <c r="D70" s="54" t="s">
        <v>165</v>
      </c>
      <c r="E70" s="44"/>
      <c r="F70" s="31"/>
      <c r="G70" s="93">
        <v>45744</v>
      </c>
      <c r="H70" s="93"/>
      <c r="I70" s="88">
        <v>45989</v>
      </c>
    </row>
    <row r="71" spans="1:10" ht="24.75" customHeight="1">
      <c r="A71" s="46"/>
      <c r="B71" s="31" t="s">
        <v>161</v>
      </c>
      <c r="C71" s="16" t="s">
        <v>166</v>
      </c>
      <c r="D71" s="54" t="s">
        <v>167</v>
      </c>
      <c r="E71" s="44"/>
      <c r="F71" s="31"/>
      <c r="G71" s="93">
        <v>45716</v>
      </c>
      <c r="H71" s="93"/>
      <c r="I71" s="88">
        <v>45989</v>
      </c>
    </row>
    <row r="72" spans="1:10" ht="24.75" customHeight="1">
      <c r="A72" s="159"/>
      <c r="B72" s="159" t="s">
        <v>168</v>
      </c>
      <c r="C72" s="160" t="s">
        <v>169</v>
      </c>
      <c r="D72" s="160" t="s">
        <v>170</v>
      </c>
      <c r="E72" s="160"/>
      <c r="F72" s="160"/>
      <c r="G72" s="161">
        <v>45744</v>
      </c>
      <c r="H72" s="161"/>
      <c r="I72" s="162">
        <v>45989</v>
      </c>
    </row>
    <row r="73" spans="1:10" ht="24.75" customHeight="1">
      <c r="A73" s="159"/>
      <c r="B73" s="159" t="s">
        <v>171</v>
      </c>
      <c r="C73" s="160" t="s">
        <v>172</v>
      </c>
      <c r="D73" s="160" t="s">
        <v>15</v>
      </c>
      <c r="E73" s="160"/>
      <c r="F73" s="160"/>
      <c r="G73" s="161">
        <v>45824</v>
      </c>
      <c r="H73" s="161"/>
      <c r="I73" s="162">
        <v>45989</v>
      </c>
    </row>
    <row r="74" spans="1:10" ht="24.75" customHeight="1">
      <c r="A74" s="46"/>
      <c r="B74" s="31" t="s">
        <v>152</v>
      </c>
      <c r="C74" s="16" t="s">
        <v>173</v>
      </c>
      <c r="D74" s="54" t="s">
        <v>44</v>
      </c>
      <c r="E74" s="44"/>
      <c r="F74" s="31"/>
      <c r="G74" s="93">
        <v>45352</v>
      </c>
      <c r="H74" s="93"/>
      <c r="I74" s="88">
        <v>45990</v>
      </c>
    </row>
    <row r="75" spans="1:10" ht="24.75" customHeight="1">
      <c r="A75" s="159"/>
      <c r="B75" s="159" t="s">
        <v>174</v>
      </c>
      <c r="C75" s="160" t="s">
        <v>175</v>
      </c>
      <c r="D75" s="160" t="s">
        <v>176</v>
      </c>
      <c r="E75" s="160"/>
      <c r="F75" s="160"/>
      <c r="G75" s="161">
        <v>45929</v>
      </c>
      <c r="H75" s="161"/>
      <c r="I75" s="162">
        <v>45990</v>
      </c>
    </row>
    <row r="76" spans="1:10" ht="24.75" customHeight="1">
      <c r="A76" s="159"/>
      <c r="B76" s="159" t="s">
        <v>177</v>
      </c>
      <c r="C76" s="160" t="s">
        <v>178</v>
      </c>
      <c r="D76" s="160" t="s">
        <v>44</v>
      </c>
      <c r="E76" s="160"/>
      <c r="F76" s="160"/>
      <c r="G76" s="161">
        <v>45959</v>
      </c>
      <c r="H76" s="161"/>
      <c r="I76" s="162">
        <v>45990</v>
      </c>
    </row>
    <row r="77" spans="1:10" ht="24.75" customHeight="1">
      <c r="A77" s="44"/>
      <c r="B77" s="54" t="s">
        <v>179</v>
      </c>
      <c r="C77" s="44" t="s">
        <v>180</v>
      </c>
      <c r="D77" s="44" t="s">
        <v>15</v>
      </c>
      <c r="E77" s="44"/>
      <c r="F77" s="44"/>
      <c r="G77" s="91" t="s">
        <v>181</v>
      </c>
      <c r="H77" s="91"/>
      <c r="I77" s="88">
        <v>45991</v>
      </c>
    </row>
    <row r="78" spans="1:10" ht="24.75" customHeight="1">
      <c r="A78" s="54"/>
      <c r="B78" s="54" t="s">
        <v>182</v>
      </c>
      <c r="C78" s="44" t="s">
        <v>183</v>
      </c>
      <c r="D78" s="44" t="s">
        <v>44</v>
      </c>
      <c r="E78" s="44"/>
      <c r="F78" s="44"/>
      <c r="G78" s="91">
        <v>45778</v>
      </c>
      <c r="H78" s="91"/>
      <c r="I78" s="88">
        <v>45991</v>
      </c>
      <c r="J78" s="86"/>
    </row>
    <row r="79" spans="1:10" ht="24.75" customHeight="1">
      <c r="A79" s="46"/>
      <c r="B79" s="31" t="s">
        <v>184</v>
      </c>
      <c r="C79" s="16" t="s">
        <v>185</v>
      </c>
      <c r="D79" s="54" t="s">
        <v>186</v>
      </c>
      <c r="E79" s="44"/>
      <c r="F79" s="31"/>
      <c r="G79" s="93" t="s">
        <v>187</v>
      </c>
      <c r="H79" s="93" t="s">
        <v>188</v>
      </c>
      <c r="I79" s="88">
        <v>45991</v>
      </c>
    </row>
    <row r="80" spans="1:10" ht="24.75" customHeight="1">
      <c r="A80" s="159"/>
      <c r="B80" s="159" t="s">
        <v>189</v>
      </c>
      <c r="C80" s="160" t="s">
        <v>190</v>
      </c>
      <c r="D80" s="160" t="s">
        <v>54</v>
      </c>
      <c r="E80" s="160"/>
      <c r="F80" s="160"/>
      <c r="G80" s="161">
        <v>45870</v>
      </c>
      <c r="H80" s="161"/>
      <c r="I80" s="162">
        <v>45991</v>
      </c>
    </row>
    <row r="81" spans="1:11" ht="24.75" customHeight="1">
      <c r="A81" s="159"/>
      <c r="B81" s="159" t="s">
        <v>191</v>
      </c>
      <c r="C81" s="160" t="s">
        <v>192</v>
      </c>
      <c r="D81" s="160" t="s">
        <v>44</v>
      </c>
      <c r="E81" s="160"/>
      <c r="F81" s="160"/>
      <c r="G81" s="161">
        <v>45756</v>
      </c>
      <c r="H81" s="161"/>
      <c r="I81" s="162">
        <v>45991</v>
      </c>
    </row>
    <row r="82" spans="1:11" ht="24.75" customHeight="1">
      <c r="A82" s="46"/>
      <c r="B82" s="31" t="s">
        <v>193</v>
      </c>
      <c r="C82" s="16" t="s">
        <v>194</v>
      </c>
      <c r="D82" s="44" t="s">
        <v>44</v>
      </c>
      <c r="E82" s="44"/>
      <c r="F82" s="16"/>
      <c r="G82" s="91">
        <v>44866</v>
      </c>
      <c r="H82" s="119"/>
      <c r="I82" s="88">
        <v>45991</v>
      </c>
    </row>
    <row r="83" spans="1:11" ht="24.75" customHeight="1">
      <c r="A83" s="159"/>
      <c r="B83" s="159" t="s">
        <v>195</v>
      </c>
      <c r="C83" s="160" t="s">
        <v>196</v>
      </c>
      <c r="D83" s="160" t="s">
        <v>15</v>
      </c>
      <c r="E83" s="160"/>
      <c r="F83" s="160"/>
      <c r="G83" s="161">
        <v>45868</v>
      </c>
      <c r="H83" s="161"/>
      <c r="I83" s="162">
        <v>45991</v>
      </c>
    </row>
    <row r="84" spans="1:11" ht="24.75" customHeight="1">
      <c r="A84" s="159"/>
      <c r="B84" s="159" t="s">
        <v>85</v>
      </c>
      <c r="C84" s="160" t="s">
        <v>197</v>
      </c>
      <c r="D84" s="160" t="s">
        <v>44</v>
      </c>
      <c r="E84" s="160"/>
      <c r="F84" s="160"/>
      <c r="G84" s="161">
        <v>45573</v>
      </c>
      <c r="H84" s="161"/>
      <c r="I84" s="162">
        <v>45991</v>
      </c>
    </row>
    <row r="85" spans="1:11" ht="24.75" customHeight="1">
      <c r="A85" s="46"/>
      <c r="B85" s="31" t="s">
        <v>198</v>
      </c>
      <c r="C85" s="16" t="s">
        <v>199</v>
      </c>
      <c r="D85" s="54" t="s">
        <v>54</v>
      </c>
      <c r="E85" s="44"/>
      <c r="F85" s="31"/>
      <c r="G85" s="93" t="s">
        <v>200</v>
      </c>
      <c r="H85" s="93"/>
      <c r="I85" s="88">
        <v>45991</v>
      </c>
    </row>
    <row r="86" spans="1:11" ht="24.75" customHeight="1">
      <c r="A86" s="159"/>
      <c r="B86" s="159" t="s">
        <v>201</v>
      </c>
      <c r="C86" s="160" t="s">
        <v>202</v>
      </c>
      <c r="D86" s="160" t="s">
        <v>15</v>
      </c>
      <c r="E86" s="160"/>
      <c r="F86" s="160"/>
      <c r="G86" s="161">
        <v>45810</v>
      </c>
      <c r="H86" s="161"/>
      <c r="I86" s="162">
        <v>45991</v>
      </c>
    </row>
    <row r="87" spans="1:11" ht="24.75" customHeight="1">
      <c r="A87" s="46"/>
      <c r="B87" s="31" t="s">
        <v>203</v>
      </c>
      <c r="C87" s="16" t="s">
        <v>204</v>
      </c>
      <c r="D87" s="54" t="s">
        <v>15</v>
      </c>
      <c r="E87" s="44"/>
      <c r="F87" s="31"/>
      <c r="G87" s="93">
        <v>45297</v>
      </c>
      <c r="H87" s="93"/>
      <c r="I87" s="88">
        <v>45991</v>
      </c>
    </row>
    <row r="88" spans="1:11" ht="24.75" customHeight="1">
      <c r="A88" s="44"/>
      <c r="B88" s="54" t="s">
        <v>205</v>
      </c>
      <c r="C88" s="44" t="s">
        <v>206</v>
      </c>
      <c r="D88" s="44" t="s">
        <v>207</v>
      </c>
      <c r="E88" s="44"/>
      <c r="F88" s="44"/>
      <c r="G88" s="91">
        <v>45733</v>
      </c>
      <c r="H88" s="91"/>
      <c r="I88" s="88">
        <v>45991</v>
      </c>
    </row>
    <row r="89" spans="1:11" ht="24.75" customHeight="1">
      <c r="A89" s="159"/>
      <c r="B89" s="159" t="s">
        <v>208</v>
      </c>
      <c r="C89" s="160" t="s">
        <v>209</v>
      </c>
      <c r="D89" s="160" t="s">
        <v>15</v>
      </c>
      <c r="E89" s="160"/>
      <c r="F89" s="160"/>
      <c r="G89" s="161">
        <v>45190</v>
      </c>
      <c r="H89" s="161"/>
      <c r="I89" s="162">
        <v>45991</v>
      </c>
    </row>
    <row r="90" spans="1:11" ht="24.75" customHeight="1">
      <c r="A90" s="159"/>
      <c r="B90" s="159" t="s">
        <v>205</v>
      </c>
      <c r="C90" s="160" t="s">
        <v>210</v>
      </c>
      <c r="D90" s="160" t="s">
        <v>18</v>
      </c>
      <c r="E90" s="160"/>
      <c r="F90" s="160"/>
      <c r="G90" s="161">
        <v>45903</v>
      </c>
      <c r="H90" s="161"/>
      <c r="I90" s="162">
        <v>45991</v>
      </c>
      <c r="K90" s="40">
        <v>11162.8</v>
      </c>
    </row>
    <row r="91" spans="1:11" ht="24.75" customHeight="1">
      <c r="A91" s="54"/>
      <c r="B91" s="54" t="s">
        <v>211</v>
      </c>
      <c r="C91" s="44" t="s">
        <v>212</v>
      </c>
      <c r="D91" s="44" t="s">
        <v>213</v>
      </c>
      <c r="E91" s="44"/>
      <c r="F91" s="44"/>
      <c r="G91" s="91">
        <v>45901</v>
      </c>
      <c r="H91" s="91"/>
      <c r="I91" s="88">
        <v>45991</v>
      </c>
      <c r="J91" s="86"/>
    </row>
    <row r="92" spans="1:11" ht="24.75" customHeight="1">
      <c r="A92" s="159"/>
      <c r="B92" s="159" t="s">
        <v>45</v>
      </c>
      <c r="C92" s="160" t="s">
        <v>214</v>
      </c>
      <c r="D92" s="160" t="s">
        <v>44</v>
      </c>
      <c r="E92" s="160"/>
      <c r="F92" s="160"/>
      <c r="G92" s="161">
        <v>45931</v>
      </c>
      <c r="H92" s="161"/>
      <c r="I92" s="162">
        <v>45991</v>
      </c>
    </row>
    <row r="93" spans="1:11" ht="24.75" customHeight="1">
      <c r="A93" s="44"/>
      <c r="B93" s="54" t="s">
        <v>215</v>
      </c>
      <c r="C93" s="44" t="s">
        <v>216</v>
      </c>
      <c r="D93" s="44" t="s">
        <v>15</v>
      </c>
      <c r="E93" s="44"/>
      <c r="F93" s="44"/>
      <c r="G93" s="91">
        <v>45041</v>
      </c>
      <c r="H93" s="91"/>
      <c r="I93" s="88">
        <v>45991</v>
      </c>
    </row>
    <row r="94" spans="1:11" ht="24.75" customHeight="1">
      <c r="A94" s="159"/>
      <c r="B94" s="159" t="s">
        <v>152</v>
      </c>
      <c r="C94" s="160" t="s">
        <v>217</v>
      </c>
      <c r="D94" s="160" t="s">
        <v>44</v>
      </c>
      <c r="E94" s="160"/>
      <c r="F94" s="160"/>
      <c r="G94" s="161">
        <v>45961</v>
      </c>
      <c r="H94" s="161"/>
      <c r="I94" s="162">
        <v>45991</v>
      </c>
    </row>
    <row r="95" spans="1:11" ht="24.75" customHeight="1">
      <c r="A95" s="159"/>
      <c r="B95" s="159" t="s">
        <v>205</v>
      </c>
      <c r="C95" s="160" t="s">
        <v>218</v>
      </c>
      <c r="D95" s="160" t="s">
        <v>44</v>
      </c>
      <c r="E95" s="160"/>
      <c r="F95" s="160"/>
      <c r="G95" s="161"/>
      <c r="H95" s="161"/>
      <c r="I95" s="162">
        <v>45991</v>
      </c>
    </row>
    <row r="96" spans="1:11" ht="24.75" customHeight="1">
      <c r="A96" s="44"/>
      <c r="B96" s="54" t="s">
        <v>219</v>
      </c>
      <c r="C96" s="44" t="s">
        <v>220</v>
      </c>
      <c r="D96" s="44" t="s">
        <v>221</v>
      </c>
      <c r="E96" s="44"/>
      <c r="F96" s="44"/>
      <c r="G96" s="91">
        <v>44684</v>
      </c>
      <c r="H96" s="91"/>
      <c r="I96" s="88">
        <v>45994</v>
      </c>
    </row>
    <row r="97" spans="1:13" ht="24.75" customHeight="1">
      <c r="A97" s="159"/>
      <c r="B97" s="159" t="s">
        <v>222</v>
      </c>
      <c r="C97" s="160" t="s">
        <v>223</v>
      </c>
      <c r="D97" s="160" t="s">
        <v>44</v>
      </c>
      <c r="E97" s="160"/>
      <c r="F97" s="160"/>
      <c r="G97" s="161">
        <v>45964</v>
      </c>
      <c r="H97" s="161"/>
      <c r="I97" s="162">
        <v>45994</v>
      </c>
    </row>
    <row r="98" spans="1:13" ht="24.75" customHeight="1">
      <c r="A98" s="159"/>
      <c r="B98" s="159" t="s">
        <v>50</v>
      </c>
      <c r="C98" s="160" t="s">
        <v>224</v>
      </c>
      <c r="D98" s="160" t="s">
        <v>44</v>
      </c>
      <c r="E98" s="160"/>
      <c r="F98" s="160"/>
      <c r="G98" s="161">
        <v>45964</v>
      </c>
      <c r="H98" s="161"/>
      <c r="I98" s="162">
        <v>45994</v>
      </c>
    </row>
    <row r="99" spans="1:13" ht="24.75" customHeight="1">
      <c r="A99" s="159"/>
      <c r="B99" s="159" t="s">
        <v>225</v>
      </c>
      <c r="C99" s="160" t="s">
        <v>226</v>
      </c>
      <c r="D99" s="160" t="s">
        <v>18</v>
      </c>
      <c r="E99" s="160"/>
      <c r="F99" s="160"/>
      <c r="G99" s="161"/>
      <c r="H99" s="161">
        <v>45873</v>
      </c>
      <c r="I99" s="162">
        <v>45995</v>
      </c>
    </row>
    <row r="100" spans="1:13" ht="24.75" customHeight="1">
      <c r="A100" s="159"/>
      <c r="B100" s="159" t="s">
        <v>227</v>
      </c>
      <c r="C100" s="160" t="s">
        <v>228</v>
      </c>
      <c r="D100" s="160" t="s">
        <v>15</v>
      </c>
      <c r="E100" s="160"/>
      <c r="F100" s="160"/>
      <c r="G100" s="161">
        <v>45751</v>
      </c>
      <c r="H100" s="161"/>
      <c r="I100" s="162">
        <v>45995</v>
      </c>
    </row>
    <row r="101" spans="1:13" ht="24.75" customHeight="1">
      <c r="A101" s="159"/>
      <c r="B101" s="159" t="s">
        <v>163</v>
      </c>
      <c r="C101" s="160" t="s">
        <v>229</v>
      </c>
      <c r="D101" s="160" t="s">
        <v>44</v>
      </c>
      <c r="E101" s="160"/>
      <c r="F101" s="160"/>
      <c r="G101" s="161">
        <v>45873</v>
      </c>
      <c r="H101" s="161"/>
      <c r="I101" s="162">
        <v>45995</v>
      </c>
    </row>
    <row r="102" spans="1:13" ht="24.75" customHeight="1">
      <c r="A102" s="54"/>
      <c r="B102" s="54" t="s">
        <v>230</v>
      </c>
      <c r="C102" s="44" t="s">
        <v>231</v>
      </c>
      <c r="D102" s="44" t="s">
        <v>232</v>
      </c>
      <c r="E102" s="44"/>
      <c r="F102" s="44"/>
      <c r="G102" s="91">
        <v>45539</v>
      </c>
      <c r="H102" s="91"/>
      <c r="I102" s="88">
        <v>45995</v>
      </c>
      <c r="J102" s="164"/>
      <c r="K102" s="164"/>
      <c r="L102" s="164"/>
      <c r="M102" s="164"/>
    </row>
    <row r="103" spans="1:13" ht="24.75" customHeight="1">
      <c r="A103" s="46"/>
      <c r="B103" s="31" t="s">
        <v>195</v>
      </c>
      <c r="C103" s="16" t="s">
        <v>233</v>
      </c>
      <c r="D103" s="44" t="s">
        <v>44</v>
      </c>
      <c r="E103" s="44"/>
      <c r="F103" s="16"/>
      <c r="G103" s="91">
        <v>45509</v>
      </c>
      <c r="H103" s="119"/>
      <c r="I103" s="88">
        <v>45996</v>
      </c>
    </row>
    <row r="104" spans="1:13" ht="24.75" customHeight="1">
      <c r="A104" s="46"/>
      <c r="B104" s="31" t="s">
        <v>234</v>
      </c>
      <c r="C104" s="16" t="s">
        <v>235</v>
      </c>
      <c r="D104" s="54" t="s">
        <v>15</v>
      </c>
      <c r="E104" s="44"/>
      <c r="F104" s="31"/>
      <c r="G104" s="93">
        <v>44963</v>
      </c>
      <c r="H104" s="93"/>
      <c r="I104" s="88">
        <v>45997</v>
      </c>
    </row>
    <row r="105" spans="1:13" ht="24.75" customHeight="1">
      <c r="A105" s="46"/>
      <c r="B105" s="1" t="s">
        <v>222</v>
      </c>
      <c r="C105" s="1" t="s">
        <v>236</v>
      </c>
      <c r="D105" s="160" t="s">
        <v>15</v>
      </c>
      <c r="E105" s="160"/>
      <c r="F105" s="160"/>
      <c r="G105" s="161">
        <v>45936</v>
      </c>
      <c r="H105" s="160"/>
      <c r="I105" s="89">
        <v>45997</v>
      </c>
    </row>
    <row r="106" spans="1:13" ht="24.75" customHeight="1">
      <c r="A106" s="46"/>
      <c r="B106" s="31" t="s">
        <v>237</v>
      </c>
      <c r="C106" s="16" t="s">
        <v>238</v>
      </c>
      <c r="D106" s="54" t="s">
        <v>239</v>
      </c>
      <c r="E106" s="44"/>
      <c r="F106" s="31"/>
      <c r="G106" s="93" t="s">
        <v>240</v>
      </c>
      <c r="H106" s="93"/>
      <c r="I106" s="88">
        <v>46002</v>
      </c>
    </row>
    <row r="107" spans="1:13" ht="24.75" customHeight="1">
      <c r="A107" s="159"/>
      <c r="B107" s="159" t="s">
        <v>241</v>
      </c>
      <c r="C107" s="160" t="s">
        <v>242</v>
      </c>
      <c r="D107" s="160" t="s">
        <v>44</v>
      </c>
      <c r="E107" s="160"/>
      <c r="F107" s="160"/>
      <c r="G107" s="161">
        <v>45911</v>
      </c>
      <c r="H107" s="161"/>
      <c r="I107" s="162">
        <v>46002</v>
      </c>
    </row>
    <row r="108" spans="1:13" ht="24.75" customHeight="1">
      <c r="A108" s="159"/>
      <c r="B108" s="159" t="s">
        <v>222</v>
      </c>
      <c r="C108" s="160" t="s">
        <v>243</v>
      </c>
      <c r="D108" s="160" t="s">
        <v>44</v>
      </c>
      <c r="E108" s="160"/>
      <c r="F108" s="160"/>
      <c r="G108" s="161">
        <v>45972</v>
      </c>
      <c r="H108" s="161"/>
      <c r="I108" s="162">
        <v>46002</v>
      </c>
    </row>
    <row r="109" spans="1:13" ht="24.75" customHeight="1">
      <c r="A109" s="159"/>
      <c r="B109" s="159" t="s">
        <v>150</v>
      </c>
      <c r="C109" s="160" t="s">
        <v>244</v>
      </c>
      <c r="D109" s="160" t="s">
        <v>245</v>
      </c>
      <c r="E109" s="160"/>
      <c r="F109" s="160"/>
      <c r="G109" s="161">
        <v>45973</v>
      </c>
      <c r="H109" s="161"/>
      <c r="I109" s="162">
        <v>46003</v>
      </c>
    </row>
    <row r="110" spans="1:13" ht="24.75" customHeight="1">
      <c r="A110" s="159"/>
      <c r="B110" s="159" t="s">
        <v>246</v>
      </c>
      <c r="C110" s="160" t="s">
        <v>247</v>
      </c>
      <c r="D110" s="160" t="s">
        <v>44</v>
      </c>
      <c r="E110" s="160"/>
      <c r="F110" s="160"/>
      <c r="G110" s="161">
        <v>45943</v>
      </c>
      <c r="H110" s="161"/>
      <c r="I110" s="162">
        <v>46004</v>
      </c>
    </row>
    <row r="111" spans="1:13" ht="24.75" customHeight="1">
      <c r="A111" s="159"/>
      <c r="B111" s="159" t="s">
        <v>222</v>
      </c>
      <c r="C111" s="160" t="s">
        <v>223</v>
      </c>
      <c r="D111" s="160" t="s">
        <v>167</v>
      </c>
      <c r="E111" s="160"/>
      <c r="F111" s="160"/>
      <c r="G111" s="161">
        <v>45975</v>
      </c>
      <c r="H111" s="161"/>
      <c r="I111" s="162">
        <v>46005</v>
      </c>
    </row>
    <row r="112" spans="1:13" ht="24.75" customHeight="1">
      <c r="A112" s="46"/>
      <c r="B112" s="31" t="s">
        <v>248</v>
      </c>
      <c r="C112" s="16" t="s">
        <v>249</v>
      </c>
      <c r="D112" s="54" t="s">
        <v>250</v>
      </c>
      <c r="E112" s="44"/>
      <c r="F112" s="31"/>
      <c r="G112" s="93">
        <v>45427</v>
      </c>
      <c r="H112" s="93"/>
      <c r="I112" s="88">
        <v>46006</v>
      </c>
    </row>
    <row r="113" spans="1:18" ht="24.75" customHeight="1">
      <c r="A113" s="54"/>
      <c r="B113" s="54" t="s">
        <v>251</v>
      </c>
      <c r="C113" s="44" t="s">
        <v>252</v>
      </c>
      <c r="D113" s="44" t="s">
        <v>44</v>
      </c>
      <c r="E113" s="44"/>
      <c r="F113" s="44"/>
      <c r="G113" s="91">
        <v>45915</v>
      </c>
      <c r="H113" s="91"/>
      <c r="I113" s="88">
        <v>46006</v>
      </c>
      <c r="J113" s="86"/>
    </row>
    <row r="114" spans="1:18" ht="24.75" customHeight="1">
      <c r="A114" s="159"/>
      <c r="B114" s="159" t="s">
        <v>253</v>
      </c>
      <c r="C114" s="160" t="s">
        <v>254</v>
      </c>
      <c r="D114" s="160" t="s">
        <v>18</v>
      </c>
      <c r="E114" s="160"/>
      <c r="F114" s="160"/>
      <c r="G114" s="161">
        <v>45854</v>
      </c>
      <c r="H114" s="161"/>
      <c r="I114" s="162">
        <v>46007</v>
      </c>
      <c r="K114" s="40">
        <f>SUM(K111:K113)</f>
        <v>0</v>
      </c>
    </row>
    <row r="115" spans="1:18" ht="24.75" customHeight="1">
      <c r="A115" s="44"/>
      <c r="B115" s="54" t="s">
        <v>255</v>
      </c>
      <c r="C115" s="44" t="s">
        <v>256</v>
      </c>
      <c r="D115" s="44" t="s">
        <v>15</v>
      </c>
      <c r="E115" s="44"/>
      <c r="F115" s="44"/>
      <c r="G115" s="91">
        <v>45704</v>
      </c>
      <c r="H115" s="91"/>
      <c r="I115" s="88">
        <v>46007</v>
      </c>
    </row>
    <row r="116" spans="1:18" ht="24.75" customHeight="1">
      <c r="A116" s="159"/>
      <c r="B116" s="159" t="s">
        <v>257</v>
      </c>
      <c r="C116" s="160" t="s">
        <v>258</v>
      </c>
      <c r="D116" s="160" t="s">
        <v>149</v>
      </c>
      <c r="E116" s="160"/>
      <c r="F116" s="160"/>
      <c r="G116" s="161">
        <v>45887</v>
      </c>
      <c r="H116" s="161"/>
      <c r="I116" s="162">
        <v>46009</v>
      </c>
    </row>
    <row r="117" spans="1:18" ht="24.75" customHeight="1">
      <c r="A117" s="46"/>
      <c r="B117" s="31" t="s">
        <v>259</v>
      </c>
      <c r="C117" s="16" t="s">
        <v>260</v>
      </c>
      <c r="D117" s="54" t="s">
        <v>15</v>
      </c>
      <c r="E117" s="44"/>
      <c r="F117" s="31"/>
      <c r="G117" s="93">
        <v>44365</v>
      </c>
      <c r="H117" s="93"/>
      <c r="I117" s="88">
        <v>46009</v>
      </c>
      <c r="J117" s="164"/>
      <c r="K117" s="164"/>
      <c r="L117" s="164"/>
      <c r="M117" s="164"/>
      <c r="N117" s="164"/>
      <c r="O117" s="164"/>
      <c r="P117" s="164"/>
      <c r="Q117" s="164"/>
      <c r="R117" s="164"/>
    </row>
    <row r="118" spans="1:18" ht="24.75" customHeight="1">
      <c r="A118" s="46"/>
      <c r="B118" s="31" t="s">
        <v>261</v>
      </c>
      <c r="C118" s="16" t="s">
        <v>262</v>
      </c>
      <c r="D118" s="54" t="s">
        <v>15</v>
      </c>
      <c r="E118" s="44"/>
      <c r="F118" s="31"/>
      <c r="G118" s="93">
        <v>45734</v>
      </c>
      <c r="H118" s="93"/>
      <c r="I118" s="88">
        <v>46009</v>
      </c>
    </row>
    <row r="119" spans="1:18" ht="24.75" customHeight="1">
      <c r="A119" s="46"/>
      <c r="B119" s="1" t="s">
        <v>263</v>
      </c>
      <c r="C119" s="1" t="s">
        <v>264</v>
      </c>
      <c r="D119" s="160" t="s">
        <v>44</v>
      </c>
      <c r="E119" s="160"/>
      <c r="F119" s="160"/>
      <c r="G119" s="161">
        <v>45979</v>
      </c>
      <c r="H119" s="160"/>
      <c r="I119" s="89">
        <v>46009</v>
      </c>
    </row>
    <row r="120" spans="1:18" ht="24.75" customHeight="1">
      <c r="A120" s="159"/>
      <c r="B120" s="159" t="s">
        <v>265</v>
      </c>
      <c r="C120" s="160" t="s">
        <v>266</v>
      </c>
      <c r="D120" s="160" t="s">
        <v>44</v>
      </c>
      <c r="E120" s="160"/>
      <c r="F120" s="160"/>
      <c r="G120" s="161">
        <v>45888</v>
      </c>
      <c r="H120" s="161"/>
      <c r="I120" s="162">
        <v>46010</v>
      </c>
    </row>
    <row r="121" spans="1:18" ht="24.75" customHeight="1">
      <c r="A121" s="54"/>
      <c r="B121" s="54" t="s">
        <v>267</v>
      </c>
      <c r="C121" s="44" t="s">
        <v>268</v>
      </c>
      <c r="D121" s="44" t="s">
        <v>15</v>
      </c>
      <c r="E121" s="44"/>
      <c r="F121" s="44"/>
      <c r="G121" s="91">
        <v>45920</v>
      </c>
      <c r="H121" s="91"/>
      <c r="I121" s="88">
        <v>46011</v>
      </c>
      <c r="J121" s="86"/>
    </row>
    <row r="122" spans="1:18" ht="24.75" customHeight="1">
      <c r="A122" s="159"/>
      <c r="B122" s="159" t="s">
        <v>267</v>
      </c>
      <c r="C122" s="160" t="s">
        <v>269</v>
      </c>
      <c r="D122" s="160" t="s">
        <v>270</v>
      </c>
      <c r="E122" s="160"/>
      <c r="F122" s="160"/>
      <c r="G122" s="161">
        <v>45890</v>
      </c>
      <c r="H122" s="161"/>
      <c r="I122" s="162">
        <v>46012</v>
      </c>
      <c r="K122" s="40">
        <v>1831.21</v>
      </c>
    </row>
    <row r="123" spans="1:18" ht="24.75" customHeight="1">
      <c r="A123" s="46"/>
      <c r="B123" s="1" t="s">
        <v>271</v>
      </c>
      <c r="C123" s="1" t="s">
        <v>272</v>
      </c>
      <c r="D123" s="160" t="s">
        <v>44</v>
      </c>
      <c r="E123" s="160"/>
      <c r="F123" s="160"/>
      <c r="G123" s="161">
        <v>45982</v>
      </c>
      <c r="H123" s="160"/>
      <c r="I123" s="89">
        <v>46012</v>
      </c>
    </row>
    <row r="124" spans="1:18" ht="24.75" customHeight="1">
      <c r="A124" s="46"/>
      <c r="B124" s="1" t="s">
        <v>50</v>
      </c>
      <c r="C124" s="1" t="s">
        <v>273</v>
      </c>
      <c r="D124" s="160" t="s">
        <v>44</v>
      </c>
      <c r="E124" s="160"/>
      <c r="F124" s="160"/>
      <c r="G124" s="161">
        <v>45985</v>
      </c>
      <c r="H124" s="160"/>
      <c r="I124" s="89">
        <v>46015</v>
      </c>
    </row>
    <row r="125" spans="1:18" ht="24.75" customHeight="1">
      <c r="A125" s="46"/>
      <c r="B125" s="1" t="s">
        <v>274</v>
      </c>
      <c r="C125" s="1" t="s">
        <v>275</v>
      </c>
      <c r="D125" s="160" t="s">
        <v>44</v>
      </c>
      <c r="E125" s="160"/>
      <c r="F125" s="160"/>
      <c r="G125" s="161">
        <v>45985</v>
      </c>
      <c r="H125" s="160"/>
      <c r="I125" s="89">
        <v>46015</v>
      </c>
    </row>
    <row r="126" spans="1:18" ht="24.75" customHeight="1">
      <c r="A126" s="159"/>
      <c r="B126" s="159" t="s">
        <v>83</v>
      </c>
      <c r="C126" s="160" t="s">
        <v>276</v>
      </c>
      <c r="D126" s="160" t="s">
        <v>15</v>
      </c>
      <c r="E126" s="160"/>
      <c r="F126" s="160"/>
      <c r="G126" s="161">
        <v>45833</v>
      </c>
      <c r="H126" s="161"/>
      <c r="I126" s="162">
        <v>46016</v>
      </c>
    </row>
    <row r="127" spans="1:18" ht="24.75" customHeight="1">
      <c r="A127" s="241"/>
      <c r="B127" s="54" t="s">
        <v>277</v>
      </c>
      <c r="C127" s="44" t="s">
        <v>278</v>
      </c>
      <c r="D127" s="44" t="s">
        <v>80</v>
      </c>
      <c r="E127" s="44"/>
      <c r="F127" s="44"/>
      <c r="G127" s="91">
        <v>45133</v>
      </c>
      <c r="H127" s="91"/>
      <c r="I127" s="88">
        <v>46017</v>
      </c>
    </row>
    <row r="128" spans="1:18" ht="24.75" customHeight="1">
      <c r="A128" s="238"/>
      <c r="B128" s="239" t="s">
        <v>279</v>
      </c>
      <c r="C128" s="160" t="s">
        <v>280</v>
      </c>
      <c r="D128" s="160" t="s">
        <v>44</v>
      </c>
      <c r="E128" s="160"/>
      <c r="F128" s="160"/>
      <c r="G128" s="161"/>
      <c r="H128" s="161"/>
      <c r="I128" s="237">
        <v>46018</v>
      </c>
    </row>
    <row r="129" spans="1:9" ht="24.75" customHeight="1">
      <c r="A129" s="240"/>
      <c r="B129" s="242" t="s">
        <v>75</v>
      </c>
      <c r="C129" s="44" t="s">
        <v>281</v>
      </c>
      <c r="D129" s="44" t="s">
        <v>95</v>
      </c>
      <c r="E129" s="44"/>
      <c r="F129" s="44"/>
      <c r="G129" s="91">
        <v>45686</v>
      </c>
      <c r="H129" s="91"/>
      <c r="I129" s="245">
        <v>46020</v>
      </c>
    </row>
    <row r="130" spans="1:9" ht="24.75" customHeight="1">
      <c r="A130" s="238"/>
      <c r="B130" s="239" t="s">
        <v>222</v>
      </c>
      <c r="C130" s="160" t="s">
        <v>282</v>
      </c>
      <c r="D130" s="160" t="s">
        <v>44</v>
      </c>
      <c r="E130" s="160"/>
      <c r="F130" s="160"/>
      <c r="G130" s="161">
        <v>45887</v>
      </c>
      <c r="H130" s="161"/>
      <c r="I130" s="237">
        <v>46071</v>
      </c>
    </row>
    <row r="131" spans="1:9" ht="24.75" customHeight="1">
      <c r="A131" s="238"/>
      <c r="B131" s="239" t="s">
        <v>283</v>
      </c>
      <c r="C131" s="160" t="s">
        <v>284</v>
      </c>
      <c r="D131" s="160" t="s">
        <v>15</v>
      </c>
      <c r="E131" s="160"/>
      <c r="F131" s="160"/>
      <c r="G131" s="161">
        <v>45892</v>
      </c>
      <c r="H131" s="161"/>
      <c r="I131" s="237">
        <v>46076</v>
      </c>
    </row>
    <row r="132" spans="1:9" ht="24.75" customHeight="1">
      <c r="A132" s="238"/>
      <c r="B132" s="239" t="s">
        <v>189</v>
      </c>
      <c r="C132" s="160" t="s">
        <v>190</v>
      </c>
      <c r="D132" s="160" t="s">
        <v>44</v>
      </c>
      <c r="E132" s="160"/>
      <c r="F132" s="160"/>
      <c r="G132" s="161">
        <v>45915</v>
      </c>
      <c r="H132" s="161"/>
      <c r="I132" s="237">
        <v>46096</v>
      </c>
    </row>
    <row r="133" spans="1:9" ht="24.75" customHeight="1">
      <c r="A133" s="238"/>
      <c r="B133" s="239" t="s">
        <v>16</v>
      </c>
      <c r="C133" s="160" t="s">
        <v>285</v>
      </c>
      <c r="D133" s="160" t="s">
        <v>15</v>
      </c>
      <c r="E133" s="160"/>
      <c r="F133" s="160"/>
      <c r="G133" s="161">
        <v>45875</v>
      </c>
      <c r="H133" s="161"/>
      <c r="I133" s="237">
        <v>46240</v>
      </c>
    </row>
  </sheetData>
  <sortState xmlns:xlrd2="http://schemas.microsoft.com/office/spreadsheetml/2017/richdata2" ref="A2:R133">
    <sortCondition ref="I2:I133"/>
  </sortState>
  <customSheetViews>
    <customSheetView guid="{6FE888E1-B358-42BC-B224-1A6E12FDD154}" topLeftCell="A19">
      <selection activeCell="A24" sqref="A24:XFD25"/>
      <pageMargins left="0" right="0" top="0" bottom="0" header="0" footer="0"/>
      <pageSetup orientation="portrait" r:id="rId1"/>
    </customSheetView>
    <customSheetView guid="{B833ECD0-B2EA-4563-BF52-8F4997DD5865}" showPageBreaks="1">
      <pane xSplit="7" ySplit="1" topLeftCell="L5" activePane="bottomRight" state="frozen"/>
      <selection pane="bottomRight" activeCell="Z7" sqref="Z7"/>
      <pageMargins left="0" right="0" top="0" bottom="0" header="0" footer="0"/>
      <pageSetup orientation="portrait" r:id="rId2"/>
    </customSheetView>
    <customSheetView guid="{5BED333D-6C00-4AE4-BC7B-E591817DA915}" showRuler="0">
      <selection activeCell="A13" sqref="A13:IV14"/>
      <pageMargins left="0" right="0" top="0" bottom="0" header="0" footer="0"/>
      <pageSetup orientation="portrait" r:id="rId3"/>
      <headerFooter alignWithMargins="0"/>
    </customSheetView>
    <customSheetView guid="{C1601B07-5C84-4A16-9026-E7B825653351}" topLeftCell="A10">
      <selection activeCell="X20" sqref="X20"/>
      <pageMargins left="0" right="0" top="0" bottom="0" header="0" footer="0"/>
      <pageSetup orientation="portrait" r:id="rId4"/>
    </customSheetView>
    <customSheetView guid="{AEB051F6-B0CA-4117-9317-6B4705DAB9AC}" showRuler="0" topLeftCell="C1">
      <selection activeCell="C12" sqref="C12"/>
      <pageMargins left="0" right="0" top="0" bottom="0" header="0" footer="0"/>
      <headerFooter alignWithMargins="0"/>
    </customSheetView>
    <customSheetView guid="{0461DA79-A79C-4DEB-8769-F97B764E69E8}" showRuler="0">
      <selection activeCell="D12" sqref="D12"/>
      <pageMargins left="0" right="0" top="0" bottom="0" header="0" footer="0"/>
      <pageSetup orientation="portrait" r:id="rId5"/>
      <headerFooter alignWithMargins="0"/>
    </customSheetView>
    <customSheetView guid="{3A237827-5B6E-4817-B1C4-2B7124C81893}" topLeftCell="A19">
      <selection activeCell="A7" sqref="A7:XFD7"/>
      <pageMargins left="0" right="0" top="0" bottom="0" header="0" footer="0"/>
      <pageSetup orientation="portrait" r:id="rId6"/>
    </customSheetView>
    <customSheetView guid="{27819D09-F639-4E44-9C23-9CF52369D613}" showPageBreaks="1">
      <pane xSplit="7" ySplit="1" topLeftCell="N2" activePane="bottomRight" state="frozen"/>
      <selection pane="bottomRight" activeCell="AE12" sqref="AE12"/>
      <pageMargins left="0" right="0" top="0" bottom="0" header="0" footer="0"/>
      <pageSetup orientation="portrait" r:id="rId7"/>
    </customSheetView>
    <customSheetView guid="{E6E302D9-C5A5-43AB-853B-E6387C419824}">
      <pane xSplit="3" ySplit="1" topLeftCell="D2" activePane="bottomRight" state="frozen"/>
      <selection pane="bottomRight" activeCell="F10" sqref="F10"/>
      <pageMargins left="0" right="0" top="0" bottom="0" header="0" footer="0"/>
      <pageSetup orientation="portrait" r:id="rId8"/>
    </customSheetView>
    <customSheetView guid="{B8A8DD2B-571A-4307-9865-DA42A7D24AA5}" showPageBreaks="1">
      <pane xSplit="3" ySplit="1" topLeftCell="D2" activePane="bottomRight" state="frozen"/>
      <selection pane="bottomRight" activeCell="D12" sqref="D12"/>
      <pageMargins left="0" right="0" top="0" bottom="0" header="0" footer="0"/>
      <pageSetup orientation="portrait" r:id="rId9"/>
    </customSheetView>
  </customSheetViews>
  <phoneticPr fontId="5" type="noConversion"/>
  <pageMargins left="0.7" right="0.7" top="0.75" bottom="0.75" header="0.3" footer="0.3"/>
  <pageSetup orientation="landscape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07"/>
  <sheetViews>
    <sheetView workbookViewId="0">
      <pane ySplit="1" topLeftCell="A1192" activePane="bottomLeft" state="frozen"/>
      <selection pane="bottomLeft" activeCell="A1207" sqref="A1207"/>
    </sheetView>
  </sheetViews>
  <sheetFormatPr defaultRowHeight="12.75"/>
  <cols>
    <col min="2" max="2" width="18.5703125" customWidth="1"/>
    <col min="3" max="3" width="23.5703125" customWidth="1"/>
    <col min="4" max="4" width="17.5703125" customWidth="1"/>
    <col min="5" max="5" width="14.42578125" customWidth="1"/>
    <col min="7" max="7" width="19" customWidth="1"/>
    <col min="8" max="8" width="17.42578125" bestFit="1" customWidth="1"/>
    <col min="9" max="9" width="20.5703125" customWidth="1"/>
  </cols>
  <sheetData>
    <row r="1" spans="1:11" ht="25.5">
      <c r="A1" s="114" t="s">
        <v>0</v>
      </c>
      <c r="B1" s="114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5" t="s">
        <v>7</v>
      </c>
      <c r="I1" s="116" t="s">
        <v>8</v>
      </c>
      <c r="J1" s="14"/>
      <c r="K1" s="14"/>
    </row>
    <row r="2" spans="1:11">
      <c r="A2" s="5"/>
      <c r="B2" s="3" t="s">
        <v>286</v>
      </c>
      <c r="C2" s="3" t="s">
        <v>287</v>
      </c>
      <c r="D2" s="6" t="s">
        <v>288</v>
      </c>
      <c r="E2" s="1"/>
      <c r="F2" s="16"/>
      <c r="G2" s="3" t="s">
        <v>289</v>
      </c>
      <c r="H2" s="13"/>
      <c r="I2" s="8" t="s">
        <v>290</v>
      </c>
      <c r="J2" s="3"/>
      <c r="K2" s="1"/>
    </row>
    <row r="3" spans="1:11" ht="74.25" customHeight="1">
      <c r="A3" s="5"/>
      <c r="B3" s="3" t="s">
        <v>291</v>
      </c>
      <c r="C3" s="17" t="s">
        <v>292</v>
      </c>
      <c r="D3" s="6" t="s">
        <v>293</v>
      </c>
      <c r="E3" s="1"/>
      <c r="F3" s="16"/>
      <c r="G3" s="16"/>
      <c r="H3" s="2"/>
      <c r="I3" s="12" t="s">
        <v>294</v>
      </c>
      <c r="J3" s="4"/>
    </row>
    <row r="4" spans="1:11" ht="21.75">
      <c r="A4" s="5"/>
      <c r="B4" s="3" t="s">
        <v>295</v>
      </c>
      <c r="C4" s="17" t="s">
        <v>296</v>
      </c>
      <c r="D4" s="6" t="s">
        <v>297</v>
      </c>
      <c r="E4" s="1"/>
      <c r="F4" s="16"/>
      <c r="G4" s="16"/>
      <c r="H4" s="2"/>
      <c r="I4" s="12" t="s">
        <v>298</v>
      </c>
      <c r="J4" s="4"/>
    </row>
    <row r="5" spans="1:11" ht="102">
      <c r="A5" s="5" t="s">
        <v>299</v>
      </c>
      <c r="B5" s="16" t="s">
        <v>300</v>
      </c>
      <c r="C5" s="16" t="s">
        <v>301</v>
      </c>
      <c r="D5" s="28" t="s">
        <v>302</v>
      </c>
      <c r="E5" s="1"/>
      <c r="F5" s="3" t="s">
        <v>303</v>
      </c>
      <c r="G5" s="16" t="s">
        <v>304</v>
      </c>
      <c r="H5" s="2">
        <v>40897</v>
      </c>
      <c r="I5" s="12" t="s">
        <v>305</v>
      </c>
      <c r="J5" s="4"/>
    </row>
    <row r="6" spans="1:11" ht="51" customHeight="1">
      <c r="A6" s="5" t="s">
        <v>299</v>
      </c>
      <c r="B6" s="16" t="s">
        <v>19</v>
      </c>
      <c r="C6" s="16" t="s">
        <v>306</v>
      </c>
      <c r="D6" s="6" t="s">
        <v>307</v>
      </c>
      <c r="E6" s="1"/>
      <c r="F6" s="3"/>
      <c r="G6" s="16" t="s">
        <v>308</v>
      </c>
      <c r="H6" s="2">
        <v>40681</v>
      </c>
      <c r="I6" s="12" t="s">
        <v>309</v>
      </c>
    </row>
    <row r="7" spans="1:11" ht="62.25" customHeight="1">
      <c r="A7" s="5" t="s">
        <v>299</v>
      </c>
      <c r="B7" s="16" t="s">
        <v>19</v>
      </c>
      <c r="C7" s="3" t="s">
        <v>310</v>
      </c>
      <c r="D7" s="6" t="s">
        <v>311</v>
      </c>
      <c r="E7" s="1"/>
      <c r="F7" s="3"/>
      <c r="G7" s="23">
        <v>425</v>
      </c>
      <c r="H7" s="2">
        <v>40763</v>
      </c>
      <c r="I7" s="12" t="s">
        <v>312</v>
      </c>
    </row>
    <row r="8" spans="1:11" ht="48.75" customHeight="1">
      <c r="A8" s="5" t="s">
        <v>299</v>
      </c>
      <c r="B8" s="16" t="s">
        <v>30</v>
      </c>
      <c r="C8" s="16" t="s">
        <v>313</v>
      </c>
      <c r="D8" s="6" t="s">
        <v>314</v>
      </c>
      <c r="E8" s="1"/>
      <c r="F8" s="3"/>
      <c r="G8" s="23" t="s">
        <v>315</v>
      </c>
      <c r="H8" s="2">
        <v>40898</v>
      </c>
      <c r="I8" s="12" t="s">
        <v>316</v>
      </c>
      <c r="J8" s="4"/>
    </row>
    <row r="9" spans="1:11" ht="51">
      <c r="A9" s="5" t="s">
        <v>299</v>
      </c>
      <c r="B9" s="16" t="s">
        <v>317</v>
      </c>
      <c r="C9" s="16" t="s">
        <v>318</v>
      </c>
      <c r="D9" s="6" t="s">
        <v>319</v>
      </c>
      <c r="E9" s="1"/>
      <c r="F9" s="3"/>
      <c r="G9" s="3" t="s">
        <v>320</v>
      </c>
      <c r="H9" s="2">
        <v>40794</v>
      </c>
      <c r="I9" s="12" t="s">
        <v>321</v>
      </c>
      <c r="J9" s="4"/>
    </row>
    <row r="10" spans="1:11" ht="25.5">
      <c r="A10" s="19"/>
      <c r="B10" s="16" t="s">
        <v>322</v>
      </c>
      <c r="C10" s="16" t="s">
        <v>323</v>
      </c>
      <c r="D10" s="6" t="s">
        <v>324</v>
      </c>
      <c r="E10" s="15"/>
      <c r="F10" s="3"/>
      <c r="G10" s="29" t="s">
        <v>325</v>
      </c>
      <c r="H10" s="13" t="s">
        <v>326</v>
      </c>
      <c r="I10" s="8"/>
      <c r="J10" s="4"/>
    </row>
    <row r="11" spans="1:11" ht="24.75" customHeight="1">
      <c r="A11" s="5" t="s">
        <v>299</v>
      </c>
      <c r="B11" s="16" t="s">
        <v>327</v>
      </c>
      <c r="C11" s="3" t="s">
        <v>328</v>
      </c>
      <c r="D11" s="6" t="s">
        <v>329</v>
      </c>
      <c r="E11" s="1"/>
      <c r="F11" s="3" t="s">
        <v>330</v>
      </c>
      <c r="G11" s="23" t="s">
        <v>331</v>
      </c>
      <c r="H11" s="2">
        <v>40882</v>
      </c>
      <c r="I11" s="12" t="s">
        <v>332</v>
      </c>
      <c r="J11" s="4"/>
    </row>
    <row r="12" spans="1:11" ht="42.75">
      <c r="A12" s="5" t="s">
        <v>299</v>
      </c>
      <c r="B12" s="3" t="s">
        <v>333</v>
      </c>
      <c r="C12" s="3" t="s">
        <v>334</v>
      </c>
      <c r="D12" s="6" t="s">
        <v>335</v>
      </c>
      <c r="E12" s="15" t="s">
        <v>336</v>
      </c>
      <c r="F12" s="18" t="s">
        <v>337</v>
      </c>
      <c r="G12" s="16" t="s">
        <v>338</v>
      </c>
      <c r="H12" s="2">
        <v>40676</v>
      </c>
      <c r="I12" s="12" t="s">
        <v>339</v>
      </c>
    </row>
    <row r="13" spans="1:11" ht="21" customHeight="1">
      <c r="A13" s="19"/>
      <c r="B13" s="16" t="s">
        <v>322</v>
      </c>
      <c r="C13" s="16" t="s">
        <v>323</v>
      </c>
      <c r="D13" s="6" t="s">
        <v>340</v>
      </c>
      <c r="E13" s="15" t="s">
        <v>18</v>
      </c>
      <c r="F13" s="3"/>
      <c r="G13" s="21">
        <v>350</v>
      </c>
      <c r="H13" s="13">
        <v>40758</v>
      </c>
      <c r="I13" s="8" t="s">
        <v>341</v>
      </c>
      <c r="J13" s="4"/>
    </row>
    <row r="14" spans="1:11" ht="63.75">
      <c r="A14" s="5" t="s">
        <v>299</v>
      </c>
      <c r="B14" s="3" t="s">
        <v>342</v>
      </c>
      <c r="C14" s="3" t="s">
        <v>343</v>
      </c>
      <c r="D14" s="6" t="s">
        <v>344</v>
      </c>
      <c r="E14" s="1" t="s">
        <v>336</v>
      </c>
      <c r="F14" s="18" t="s">
        <v>337</v>
      </c>
      <c r="G14" s="3" t="s">
        <v>345</v>
      </c>
      <c r="H14" s="13">
        <v>40319</v>
      </c>
      <c r="I14" s="8" t="s">
        <v>346</v>
      </c>
    </row>
    <row r="15" spans="1:11" ht="69" customHeight="1">
      <c r="A15" s="5"/>
      <c r="B15" s="16" t="s">
        <v>347</v>
      </c>
      <c r="C15" s="3" t="s">
        <v>348</v>
      </c>
      <c r="D15" s="6" t="s">
        <v>349</v>
      </c>
      <c r="E15" s="1"/>
      <c r="F15" s="16"/>
      <c r="G15" s="24" t="s">
        <v>350</v>
      </c>
      <c r="H15" s="2">
        <v>40942</v>
      </c>
      <c r="I15" s="12" t="s">
        <v>351</v>
      </c>
      <c r="J15" s="4"/>
    </row>
    <row r="16" spans="1:11" ht="25.5">
      <c r="A16" s="5"/>
      <c r="B16" s="16" t="s">
        <v>352</v>
      </c>
      <c r="C16" s="16" t="s">
        <v>353</v>
      </c>
      <c r="D16" s="6" t="s">
        <v>354</v>
      </c>
      <c r="E16" s="1"/>
      <c r="F16" s="3"/>
      <c r="G16" s="3"/>
      <c r="H16" s="2">
        <v>40983</v>
      </c>
      <c r="I16" s="12" t="s">
        <v>355</v>
      </c>
      <c r="J16" s="4"/>
    </row>
    <row r="17" spans="1:10" ht="25.5">
      <c r="A17" s="5"/>
      <c r="B17" s="16" t="s">
        <v>356</v>
      </c>
      <c r="C17" s="16" t="s">
        <v>357</v>
      </c>
      <c r="D17" s="6" t="s">
        <v>358</v>
      </c>
      <c r="E17" s="1"/>
      <c r="F17" s="3"/>
      <c r="G17" s="24" t="s">
        <v>359</v>
      </c>
      <c r="H17" s="2">
        <v>40960</v>
      </c>
      <c r="I17" s="12" t="s">
        <v>360</v>
      </c>
      <c r="J17" s="4"/>
    </row>
    <row r="18" spans="1:10" ht="25.5">
      <c r="A18" s="5" t="s">
        <v>299</v>
      </c>
      <c r="B18" s="16" t="s">
        <v>342</v>
      </c>
      <c r="C18" s="16" t="s">
        <v>361</v>
      </c>
      <c r="D18" s="6" t="s">
        <v>362</v>
      </c>
      <c r="E18" s="15" t="s">
        <v>363</v>
      </c>
      <c r="F18" s="18" t="s">
        <v>337</v>
      </c>
      <c r="G18" s="16" t="s">
        <v>364</v>
      </c>
      <c r="H18" s="2">
        <v>40768</v>
      </c>
      <c r="I18" s="12" t="s">
        <v>365</v>
      </c>
    </row>
    <row r="19" spans="1:10" ht="22.5" customHeight="1">
      <c r="A19" s="5"/>
      <c r="B19" s="16" t="s">
        <v>300</v>
      </c>
      <c r="C19" s="16" t="s">
        <v>366</v>
      </c>
      <c r="D19" s="26" t="s">
        <v>367</v>
      </c>
      <c r="E19" s="1"/>
      <c r="F19" s="3"/>
      <c r="G19" s="16"/>
      <c r="H19" s="2"/>
      <c r="I19" s="12" t="s">
        <v>368</v>
      </c>
      <c r="J19" s="4"/>
    </row>
    <row r="20" spans="1:10" ht="37.5" customHeight="1">
      <c r="A20" s="5"/>
      <c r="B20" s="3" t="s">
        <v>145</v>
      </c>
      <c r="C20" s="3" t="s">
        <v>369</v>
      </c>
      <c r="D20" s="6" t="s">
        <v>370</v>
      </c>
      <c r="E20" s="1"/>
      <c r="F20" s="16"/>
      <c r="G20" s="3" t="s">
        <v>359</v>
      </c>
      <c r="H20" s="13">
        <v>41033</v>
      </c>
      <c r="I20" s="8" t="s">
        <v>371</v>
      </c>
      <c r="J20" s="4"/>
    </row>
    <row r="21" spans="1:10" ht="27" customHeight="1">
      <c r="A21" s="5"/>
      <c r="B21" s="3" t="s">
        <v>372</v>
      </c>
      <c r="C21" s="3" t="s">
        <v>373</v>
      </c>
      <c r="D21" s="6" t="s">
        <v>374</v>
      </c>
      <c r="E21" s="1"/>
      <c r="F21" s="16"/>
      <c r="G21" s="3"/>
      <c r="H21" s="13"/>
      <c r="I21" s="8" t="s">
        <v>375</v>
      </c>
      <c r="J21" s="4"/>
    </row>
    <row r="22" spans="1:10" ht="27" customHeight="1">
      <c r="A22" s="5"/>
      <c r="B22" s="3" t="s">
        <v>376</v>
      </c>
      <c r="C22" s="3" t="s">
        <v>377</v>
      </c>
      <c r="D22" s="6" t="s">
        <v>378</v>
      </c>
      <c r="E22" s="1"/>
      <c r="F22" s="16"/>
      <c r="G22" s="3"/>
      <c r="H22" s="13"/>
      <c r="I22" s="8" t="s">
        <v>379</v>
      </c>
      <c r="J22" s="4"/>
    </row>
    <row r="23" spans="1:10" ht="24.75" customHeight="1">
      <c r="A23" s="5"/>
      <c r="B23" s="3" t="s">
        <v>380</v>
      </c>
      <c r="C23" s="16" t="s">
        <v>381</v>
      </c>
      <c r="D23" s="6" t="s">
        <v>382</v>
      </c>
      <c r="E23" s="1"/>
      <c r="F23" s="16"/>
      <c r="G23" s="16"/>
      <c r="H23" s="2">
        <v>41107</v>
      </c>
      <c r="I23" s="12" t="s">
        <v>383</v>
      </c>
      <c r="J23" s="4"/>
    </row>
    <row r="24" spans="1:10" ht="24.75" customHeight="1">
      <c r="A24" s="5"/>
      <c r="B24" s="3" t="s">
        <v>384</v>
      </c>
      <c r="C24" s="16" t="s">
        <v>385</v>
      </c>
      <c r="D24" s="6" t="s">
        <v>386</v>
      </c>
      <c r="E24" s="1"/>
      <c r="F24" s="16"/>
      <c r="G24" s="16"/>
      <c r="H24" s="2"/>
      <c r="I24" s="12" t="s">
        <v>387</v>
      </c>
      <c r="J24" s="4"/>
    </row>
    <row r="25" spans="1:10" ht="32.25" customHeight="1">
      <c r="A25" s="5"/>
      <c r="B25" s="3" t="s">
        <v>295</v>
      </c>
      <c r="C25" s="16" t="s">
        <v>388</v>
      </c>
      <c r="D25" s="6" t="s">
        <v>389</v>
      </c>
      <c r="E25" s="1"/>
      <c r="F25" s="16"/>
      <c r="G25" s="16"/>
      <c r="H25" s="2"/>
      <c r="I25" s="12" t="s">
        <v>390</v>
      </c>
      <c r="J25" s="4"/>
    </row>
    <row r="26" spans="1:10" ht="33" customHeight="1">
      <c r="A26" s="27"/>
      <c r="B26" s="3" t="s">
        <v>391</v>
      </c>
      <c r="C26" s="3" t="s">
        <v>392</v>
      </c>
      <c r="D26" s="6" t="s">
        <v>393</v>
      </c>
      <c r="E26" s="1"/>
      <c r="F26" s="3"/>
      <c r="G26" s="3" t="s">
        <v>359</v>
      </c>
      <c r="H26" s="2">
        <v>40995</v>
      </c>
      <c r="I26" s="12" t="s">
        <v>394</v>
      </c>
      <c r="J26" s="4"/>
    </row>
    <row r="27" spans="1:10" ht="25.5">
      <c r="A27" s="5"/>
      <c r="B27" s="16" t="s">
        <v>30</v>
      </c>
      <c r="C27" s="3" t="s">
        <v>395</v>
      </c>
      <c r="D27" s="6" t="s">
        <v>396</v>
      </c>
      <c r="E27" s="1"/>
      <c r="F27" s="3"/>
      <c r="G27" s="23"/>
      <c r="H27" s="2">
        <v>40939</v>
      </c>
      <c r="I27" s="12" t="s">
        <v>397</v>
      </c>
      <c r="J27" s="4"/>
    </row>
    <row r="28" spans="1:10" ht="25.5">
      <c r="A28" s="5"/>
      <c r="B28" s="16" t="s">
        <v>30</v>
      </c>
      <c r="C28" s="3" t="s">
        <v>395</v>
      </c>
      <c r="D28" s="6" t="s">
        <v>396</v>
      </c>
      <c r="E28" s="1"/>
      <c r="F28" s="3"/>
      <c r="G28" s="23"/>
      <c r="H28" s="2">
        <v>40939</v>
      </c>
      <c r="I28" s="12" t="s">
        <v>398</v>
      </c>
      <c r="J28" s="4"/>
    </row>
    <row r="29" spans="1:10" ht="32.25">
      <c r="A29" s="5"/>
      <c r="B29" s="16" t="s">
        <v>30</v>
      </c>
      <c r="C29" s="3" t="s">
        <v>399</v>
      </c>
      <c r="D29" s="6" t="s">
        <v>400</v>
      </c>
      <c r="E29" s="1"/>
      <c r="F29" s="3"/>
      <c r="G29" s="23" t="s">
        <v>401</v>
      </c>
      <c r="H29" s="2">
        <v>41064</v>
      </c>
      <c r="I29" s="12" t="s">
        <v>402</v>
      </c>
      <c r="J29" s="4"/>
    </row>
    <row r="30" spans="1:10" ht="46.5" customHeight="1">
      <c r="A30" s="5"/>
      <c r="B30" s="16" t="s">
        <v>403</v>
      </c>
      <c r="C30" s="16" t="s">
        <v>404</v>
      </c>
      <c r="D30" s="6" t="s">
        <v>405</v>
      </c>
      <c r="E30" s="1"/>
      <c r="F30" s="3"/>
      <c r="G30" s="10"/>
      <c r="H30" s="2"/>
      <c r="I30" s="12" t="s">
        <v>406</v>
      </c>
      <c r="J30" s="4"/>
    </row>
    <row r="31" spans="1:10" ht="27" customHeight="1">
      <c r="A31" s="9"/>
      <c r="B31" s="3" t="s">
        <v>407</v>
      </c>
      <c r="C31" s="1" t="s">
        <v>408</v>
      </c>
      <c r="D31" s="6" t="s">
        <v>409</v>
      </c>
      <c r="E31" s="1" t="s">
        <v>18</v>
      </c>
      <c r="F31" s="16"/>
      <c r="G31" s="3" t="s">
        <v>410</v>
      </c>
      <c r="H31" s="13">
        <v>41142</v>
      </c>
      <c r="I31" s="8" t="s">
        <v>411</v>
      </c>
      <c r="J31" s="4"/>
    </row>
    <row r="32" spans="1:10" ht="24.75" customHeight="1">
      <c r="A32" s="7"/>
      <c r="B32" s="3" t="s">
        <v>412</v>
      </c>
      <c r="C32" s="16" t="s">
        <v>413</v>
      </c>
      <c r="D32" s="6" t="s">
        <v>414</v>
      </c>
      <c r="E32" s="1" t="s">
        <v>336</v>
      </c>
      <c r="F32" s="16"/>
      <c r="G32" s="16"/>
      <c r="H32" s="2"/>
      <c r="I32" s="12" t="s">
        <v>415</v>
      </c>
      <c r="J32" s="4"/>
    </row>
    <row r="33" spans="1:11" ht="40.5" customHeight="1">
      <c r="A33" s="7"/>
      <c r="B33" s="16" t="s">
        <v>416</v>
      </c>
      <c r="C33" s="16" t="s">
        <v>417</v>
      </c>
      <c r="D33" s="6" t="s">
        <v>418</v>
      </c>
      <c r="E33" s="15" t="s">
        <v>15</v>
      </c>
      <c r="F33" s="3"/>
      <c r="G33" s="10"/>
      <c r="H33" s="32" t="s">
        <v>419</v>
      </c>
      <c r="I33" s="12" t="s">
        <v>420</v>
      </c>
      <c r="J33" s="4"/>
    </row>
    <row r="34" spans="1:11" ht="32.25">
      <c r="A34" s="7"/>
      <c r="B34" s="16" t="s">
        <v>30</v>
      </c>
      <c r="C34" s="16" t="s">
        <v>421</v>
      </c>
      <c r="D34" s="6" t="s">
        <v>422</v>
      </c>
      <c r="E34" s="15" t="s">
        <v>15</v>
      </c>
      <c r="F34" s="3"/>
      <c r="G34" s="24" t="s">
        <v>423</v>
      </c>
      <c r="H34" s="2">
        <v>41120</v>
      </c>
      <c r="I34" s="12" t="s">
        <v>424</v>
      </c>
      <c r="J34" s="4"/>
    </row>
    <row r="35" spans="1:11" ht="31.5" customHeight="1">
      <c r="A35" s="7"/>
      <c r="B35" s="3" t="s">
        <v>384</v>
      </c>
      <c r="C35" s="30" t="s">
        <v>425</v>
      </c>
      <c r="D35" s="6" t="s">
        <v>426</v>
      </c>
      <c r="E35" s="15" t="s">
        <v>18</v>
      </c>
      <c r="F35" s="16"/>
      <c r="G35" s="16"/>
      <c r="H35" s="2">
        <v>40970</v>
      </c>
      <c r="I35" s="12" t="s">
        <v>427</v>
      </c>
      <c r="J35" s="4"/>
    </row>
    <row r="36" spans="1:11" ht="27" customHeight="1">
      <c r="A36" s="9"/>
      <c r="B36" s="3" t="s">
        <v>428</v>
      </c>
      <c r="C36" s="3" t="s">
        <v>429</v>
      </c>
      <c r="D36" s="6" t="s">
        <v>430</v>
      </c>
      <c r="E36" s="1" t="s">
        <v>18</v>
      </c>
      <c r="F36" s="16"/>
      <c r="G36" s="21" t="s">
        <v>431</v>
      </c>
      <c r="H36" s="13">
        <v>40927</v>
      </c>
      <c r="I36" s="8" t="s">
        <v>432</v>
      </c>
      <c r="J36" s="4"/>
    </row>
    <row r="37" spans="1:11" ht="34.5" customHeight="1">
      <c r="A37" s="7"/>
      <c r="B37" s="3" t="s">
        <v>433</v>
      </c>
      <c r="C37" s="16" t="s">
        <v>434</v>
      </c>
      <c r="D37" s="6" t="s">
        <v>435</v>
      </c>
      <c r="E37" s="1" t="s">
        <v>336</v>
      </c>
      <c r="F37" s="16"/>
      <c r="G37" s="16"/>
      <c r="H37" s="2"/>
      <c r="I37" s="12" t="s">
        <v>436</v>
      </c>
      <c r="J37" s="4"/>
    </row>
    <row r="38" spans="1:11" ht="24.75" customHeight="1">
      <c r="A38" s="7"/>
      <c r="B38" s="16" t="s">
        <v>437</v>
      </c>
      <c r="C38" s="16" t="s">
        <v>438</v>
      </c>
      <c r="D38" s="6" t="s">
        <v>439</v>
      </c>
      <c r="E38" s="15" t="s">
        <v>336</v>
      </c>
      <c r="F38" s="16"/>
      <c r="G38" s="16"/>
      <c r="H38" s="2">
        <v>41152</v>
      </c>
      <c r="I38" s="12" t="s">
        <v>440</v>
      </c>
      <c r="J38" s="4"/>
    </row>
    <row r="39" spans="1:11" ht="18" customHeight="1">
      <c r="A39" s="7"/>
      <c r="B39" s="16" t="s">
        <v>30</v>
      </c>
      <c r="C39" s="3" t="s">
        <v>441</v>
      </c>
      <c r="D39" s="6" t="s">
        <v>442</v>
      </c>
      <c r="E39" s="15" t="s">
        <v>18</v>
      </c>
      <c r="F39" s="3"/>
      <c r="G39" s="23" t="s">
        <v>443</v>
      </c>
      <c r="H39" s="2">
        <v>40973</v>
      </c>
      <c r="I39" s="12" t="s">
        <v>444</v>
      </c>
      <c r="J39" s="4"/>
    </row>
    <row r="40" spans="1:11" ht="37.5" customHeight="1">
      <c r="A40" s="7"/>
      <c r="B40" s="16" t="s">
        <v>30</v>
      </c>
      <c r="C40" s="3" t="s">
        <v>441</v>
      </c>
      <c r="D40" s="6" t="s">
        <v>445</v>
      </c>
      <c r="E40" s="15" t="s">
        <v>15</v>
      </c>
      <c r="F40" s="3"/>
      <c r="G40" s="23" t="s">
        <v>446</v>
      </c>
      <c r="H40" s="2">
        <v>40963</v>
      </c>
      <c r="I40" s="12" t="s">
        <v>447</v>
      </c>
      <c r="J40" s="4"/>
    </row>
    <row r="41" spans="1:11" ht="50.25" customHeight="1">
      <c r="A41" s="7"/>
      <c r="B41" s="3" t="s">
        <v>342</v>
      </c>
      <c r="C41" s="16" t="s">
        <v>448</v>
      </c>
      <c r="D41" s="6" t="s">
        <v>449</v>
      </c>
      <c r="E41" s="1"/>
      <c r="F41" s="18" t="s">
        <v>337</v>
      </c>
      <c r="G41" s="3" t="s">
        <v>450</v>
      </c>
      <c r="H41" s="13">
        <v>40770</v>
      </c>
      <c r="I41" s="8" t="s">
        <v>451</v>
      </c>
      <c r="K41" s="1"/>
    </row>
    <row r="42" spans="1:11" ht="81.75" customHeight="1">
      <c r="A42" s="7"/>
      <c r="B42" s="16" t="s">
        <v>30</v>
      </c>
      <c r="C42" s="16" t="s">
        <v>452</v>
      </c>
      <c r="D42" s="6" t="s">
        <v>453</v>
      </c>
      <c r="E42" s="15" t="s">
        <v>15</v>
      </c>
      <c r="F42" s="3"/>
      <c r="G42" s="24" t="s">
        <v>454</v>
      </c>
      <c r="H42" s="2">
        <v>41086</v>
      </c>
      <c r="I42" s="12" t="s">
        <v>455</v>
      </c>
      <c r="J42" s="4"/>
    </row>
    <row r="43" spans="1:11" ht="31.5" customHeight="1">
      <c r="A43" s="7"/>
      <c r="B43" s="16" t="s">
        <v>456</v>
      </c>
      <c r="C43" s="16" t="s">
        <v>457</v>
      </c>
      <c r="D43" s="6" t="s">
        <v>458</v>
      </c>
      <c r="E43" s="1"/>
      <c r="F43" s="16"/>
      <c r="G43" s="16"/>
      <c r="H43" s="2"/>
      <c r="I43" s="12" t="s">
        <v>459</v>
      </c>
      <c r="J43" s="4"/>
    </row>
    <row r="44" spans="1:11" ht="24.75" customHeight="1">
      <c r="A44" s="7"/>
      <c r="B44" s="16" t="s">
        <v>437</v>
      </c>
      <c r="C44" s="16" t="s">
        <v>460</v>
      </c>
      <c r="D44" s="6" t="s">
        <v>461</v>
      </c>
      <c r="E44" s="15" t="s">
        <v>336</v>
      </c>
      <c r="F44" s="16"/>
      <c r="G44" s="16"/>
      <c r="H44" s="2">
        <v>41179</v>
      </c>
      <c r="I44" s="12" t="s">
        <v>462</v>
      </c>
      <c r="J44" s="4"/>
    </row>
    <row r="45" spans="1:11" ht="18" customHeight="1">
      <c r="A45" s="7"/>
      <c r="B45" s="16" t="s">
        <v>30</v>
      </c>
      <c r="C45" s="16" t="s">
        <v>441</v>
      </c>
      <c r="D45" s="6" t="s">
        <v>463</v>
      </c>
      <c r="E45" s="15" t="s">
        <v>464</v>
      </c>
      <c r="F45" s="3"/>
      <c r="G45" s="24" t="s">
        <v>465</v>
      </c>
      <c r="H45" s="2">
        <v>41010</v>
      </c>
      <c r="I45" s="12" t="s">
        <v>466</v>
      </c>
      <c r="J45" s="4"/>
    </row>
    <row r="46" spans="1:11" ht="33" customHeight="1">
      <c r="A46" s="7"/>
      <c r="B46" s="16" t="s">
        <v>467</v>
      </c>
      <c r="C46" s="16" t="s">
        <v>468</v>
      </c>
      <c r="D46" s="6" t="s">
        <v>469</v>
      </c>
      <c r="E46" s="15" t="s">
        <v>15</v>
      </c>
      <c r="F46" s="3"/>
      <c r="G46" s="16" t="s">
        <v>446</v>
      </c>
      <c r="H46" s="2">
        <v>41074</v>
      </c>
      <c r="I46" s="12" t="s">
        <v>470</v>
      </c>
      <c r="J46" s="4"/>
    </row>
    <row r="47" spans="1:11" ht="28.5" customHeight="1">
      <c r="A47" s="7"/>
      <c r="B47" s="16" t="s">
        <v>19</v>
      </c>
      <c r="C47" s="16" t="s">
        <v>471</v>
      </c>
      <c r="D47" s="6" t="s">
        <v>472</v>
      </c>
      <c r="E47" s="15" t="s">
        <v>18</v>
      </c>
      <c r="F47" s="3"/>
      <c r="G47" s="24" t="s">
        <v>359</v>
      </c>
      <c r="H47" s="2">
        <v>41040</v>
      </c>
      <c r="I47" s="12" t="s">
        <v>473</v>
      </c>
      <c r="J47" s="4"/>
    </row>
    <row r="48" spans="1:11" ht="43.5" customHeight="1">
      <c r="A48" s="9"/>
      <c r="B48" s="3" t="s">
        <v>372</v>
      </c>
      <c r="C48" s="3" t="s">
        <v>373</v>
      </c>
      <c r="D48" s="6" t="s">
        <v>474</v>
      </c>
      <c r="E48" s="1" t="s">
        <v>15</v>
      </c>
      <c r="F48" s="16"/>
      <c r="G48" s="3"/>
      <c r="H48" s="13">
        <v>41011</v>
      </c>
      <c r="I48" s="8" t="s">
        <v>475</v>
      </c>
      <c r="J48" s="4"/>
    </row>
    <row r="49" spans="1:10" ht="27" customHeight="1">
      <c r="A49" s="9"/>
      <c r="B49" s="16" t="s">
        <v>476</v>
      </c>
      <c r="C49" s="3" t="s">
        <v>477</v>
      </c>
      <c r="D49" s="6" t="s">
        <v>478</v>
      </c>
      <c r="E49" s="1"/>
      <c r="F49" s="31"/>
      <c r="G49" s="3" t="s">
        <v>479</v>
      </c>
      <c r="H49" s="13">
        <v>41225</v>
      </c>
      <c r="I49" s="8" t="s">
        <v>480</v>
      </c>
      <c r="J49" s="4"/>
    </row>
    <row r="50" spans="1:10" ht="27" customHeight="1">
      <c r="A50" s="9"/>
      <c r="B50" s="16" t="s">
        <v>481</v>
      </c>
      <c r="C50" s="16" t="s">
        <v>482</v>
      </c>
      <c r="D50" s="6" t="s">
        <v>483</v>
      </c>
      <c r="E50" s="15" t="s">
        <v>484</v>
      </c>
      <c r="F50" s="16"/>
      <c r="G50" s="21" t="s">
        <v>485</v>
      </c>
      <c r="H50" s="13">
        <v>41229</v>
      </c>
      <c r="I50" s="8" t="s">
        <v>486</v>
      </c>
      <c r="J50" s="4"/>
    </row>
    <row r="51" spans="1:10" ht="24.75" customHeight="1">
      <c r="A51" s="7"/>
      <c r="B51" s="16" t="s">
        <v>487</v>
      </c>
      <c r="C51" s="16" t="s">
        <v>488</v>
      </c>
      <c r="D51" s="6" t="s">
        <v>489</v>
      </c>
      <c r="E51" s="15" t="s">
        <v>18</v>
      </c>
      <c r="F51" s="16" t="s">
        <v>490</v>
      </c>
      <c r="G51" s="16"/>
      <c r="H51" s="2">
        <v>41134</v>
      </c>
      <c r="I51" s="12" t="s">
        <v>491</v>
      </c>
      <c r="J51" s="4"/>
    </row>
    <row r="52" spans="1:10">
      <c r="A52" s="7"/>
      <c r="B52" s="3" t="s">
        <v>30</v>
      </c>
      <c r="C52" s="3" t="s">
        <v>492</v>
      </c>
      <c r="D52" s="1" t="s">
        <v>493</v>
      </c>
      <c r="E52" s="1" t="s">
        <v>15</v>
      </c>
      <c r="F52" s="3"/>
      <c r="G52" s="3"/>
      <c r="H52" s="2">
        <v>41277</v>
      </c>
      <c r="I52" s="12" t="s">
        <v>494</v>
      </c>
      <c r="J52" s="4"/>
    </row>
    <row r="53" spans="1:10" ht="27" customHeight="1">
      <c r="A53" s="9"/>
      <c r="B53" s="16" t="s">
        <v>495</v>
      </c>
      <c r="C53" s="16" t="s">
        <v>496</v>
      </c>
      <c r="D53" s="6" t="s">
        <v>497</v>
      </c>
      <c r="E53" s="15" t="s">
        <v>498</v>
      </c>
      <c r="F53" s="16"/>
      <c r="G53" s="21"/>
      <c r="H53" s="13">
        <v>41276</v>
      </c>
      <c r="I53" s="8" t="s">
        <v>499</v>
      </c>
      <c r="J53" s="4"/>
    </row>
    <row r="54" spans="1:10" ht="27" customHeight="1">
      <c r="A54" s="9"/>
      <c r="B54" s="16" t="s">
        <v>500</v>
      </c>
      <c r="C54" s="16" t="s">
        <v>501</v>
      </c>
      <c r="D54" s="6" t="s">
        <v>502</v>
      </c>
      <c r="E54" s="15" t="s">
        <v>498</v>
      </c>
      <c r="F54" s="16"/>
      <c r="G54" s="21"/>
      <c r="H54" s="13">
        <v>41276</v>
      </c>
      <c r="I54" s="8" t="s">
        <v>499</v>
      </c>
      <c r="J54" s="4"/>
    </row>
    <row r="55" spans="1:10" ht="35.25" customHeight="1">
      <c r="A55" s="7"/>
      <c r="B55" s="3" t="s">
        <v>19</v>
      </c>
      <c r="C55" s="16" t="s">
        <v>503</v>
      </c>
      <c r="D55" s="6" t="s">
        <v>504</v>
      </c>
      <c r="E55" s="1" t="s">
        <v>18</v>
      </c>
      <c r="F55" s="16"/>
      <c r="G55" s="3"/>
      <c r="H55" s="13">
        <v>41159</v>
      </c>
      <c r="I55" s="8" t="s">
        <v>505</v>
      </c>
    </row>
    <row r="56" spans="1:10" ht="32.25" customHeight="1">
      <c r="A56" s="7"/>
      <c r="B56" s="16" t="s">
        <v>506</v>
      </c>
      <c r="C56" s="16" t="s">
        <v>507</v>
      </c>
      <c r="D56" s="6" t="s">
        <v>508</v>
      </c>
      <c r="E56" s="15" t="s">
        <v>15</v>
      </c>
      <c r="F56" s="3"/>
      <c r="G56" s="10"/>
      <c r="H56" s="2">
        <v>41103</v>
      </c>
      <c r="I56" s="12" t="s">
        <v>509</v>
      </c>
      <c r="J56" s="4"/>
    </row>
    <row r="57" spans="1:10" ht="18" customHeight="1">
      <c r="A57" s="7"/>
      <c r="B57" s="3" t="s">
        <v>30</v>
      </c>
      <c r="C57" s="3" t="s">
        <v>510</v>
      </c>
      <c r="D57" s="1" t="s">
        <v>511</v>
      </c>
      <c r="E57" s="1" t="s">
        <v>15</v>
      </c>
      <c r="F57" s="3"/>
      <c r="G57" s="3"/>
      <c r="H57" s="2">
        <v>41269</v>
      </c>
      <c r="I57" s="12" t="s">
        <v>512</v>
      </c>
      <c r="J57" s="4"/>
    </row>
    <row r="58" spans="1:10" ht="24.75" customHeight="1">
      <c r="A58" s="7"/>
      <c r="B58" s="3" t="s">
        <v>380</v>
      </c>
      <c r="C58" s="16" t="s">
        <v>513</v>
      </c>
      <c r="D58" s="6" t="s">
        <v>514</v>
      </c>
      <c r="E58" s="1" t="s">
        <v>336</v>
      </c>
      <c r="F58" s="16"/>
      <c r="G58" s="16" t="s">
        <v>515</v>
      </c>
      <c r="H58" s="2">
        <v>41178</v>
      </c>
      <c r="I58" s="12" t="s">
        <v>509</v>
      </c>
      <c r="J58" s="4"/>
    </row>
    <row r="59" spans="1:10" ht="50.25" customHeight="1">
      <c r="A59" s="7"/>
      <c r="B59" s="3" t="s">
        <v>19</v>
      </c>
      <c r="C59" s="16" t="s">
        <v>503</v>
      </c>
      <c r="D59" s="6" t="s">
        <v>516</v>
      </c>
      <c r="E59" s="1" t="s">
        <v>517</v>
      </c>
      <c r="F59" s="16"/>
      <c r="G59" s="3"/>
      <c r="H59" s="13">
        <v>41159</v>
      </c>
      <c r="I59" s="8" t="s">
        <v>505</v>
      </c>
    </row>
    <row r="60" spans="1:10" ht="20.25" customHeight="1">
      <c r="A60" s="7"/>
      <c r="B60" s="16" t="s">
        <v>30</v>
      </c>
      <c r="C60" s="16" t="s">
        <v>518</v>
      </c>
      <c r="D60" s="34" t="s">
        <v>519</v>
      </c>
      <c r="E60" s="15" t="s">
        <v>15</v>
      </c>
      <c r="F60" s="3"/>
      <c r="G60" s="24" t="s">
        <v>520</v>
      </c>
      <c r="H60" s="2">
        <v>41254</v>
      </c>
      <c r="I60" s="12" t="s">
        <v>521</v>
      </c>
      <c r="J60" s="4"/>
    </row>
    <row r="61" spans="1:10" ht="33" customHeight="1">
      <c r="A61" s="7"/>
      <c r="B61" s="16" t="s">
        <v>317</v>
      </c>
      <c r="C61" s="16" t="s">
        <v>522</v>
      </c>
      <c r="D61" s="6" t="s">
        <v>523</v>
      </c>
      <c r="E61" s="15" t="s">
        <v>18</v>
      </c>
      <c r="F61" s="3"/>
      <c r="G61" s="16" t="s">
        <v>359</v>
      </c>
      <c r="H61" s="2">
        <v>41116</v>
      </c>
      <c r="I61" s="12" t="s">
        <v>524</v>
      </c>
      <c r="J61" s="4"/>
    </row>
    <row r="62" spans="1:10" ht="27" customHeight="1">
      <c r="A62" s="9"/>
      <c r="B62" s="16" t="s">
        <v>525</v>
      </c>
      <c r="C62" s="3"/>
      <c r="D62" s="6" t="s">
        <v>526</v>
      </c>
      <c r="E62" s="1" t="s">
        <v>527</v>
      </c>
      <c r="F62" s="31"/>
      <c r="G62" s="3" t="s">
        <v>528</v>
      </c>
      <c r="H62" s="13">
        <v>41274</v>
      </c>
      <c r="I62" s="8" t="s">
        <v>529</v>
      </c>
      <c r="J62" s="4"/>
    </row>
    <row r="63" spans="1:10" ht="27" customHeight="1">
      <c r="A63" s="9"/>
      <c r="B63" s="16" t="s">
        <v>530</v>
      </c>
      <c r="C63" s="16" t="s">
        <v>531</v>
      </c>
      <c r="D63" s="6" t="s">
        <v>532</v>
      </c>
      <c r="E63" s="15" t="s">
        <v>18</v>
      </c>
      <c r="F63" s="31" t="s">
        <v>533</v>
      </c>
      <c r="G63" s="3"/>
      <c r="H63" s="13">
        <v>41220</v>
      </c>
      <c r="I63" s="8" t="s">
        <v>534</v>
      </c>
      <c r="J63" s="4"/>
    </row>
    <row r="64" spans="1:10" ht="50.25" customHeight="1">
      <c r="A64" s="7"/>
      <c r="B64" s="3" t="s">
        <v>535</v>
      </c>
      <c r="C64" s="16" t="s">
        <v>536</v>
      </c>
      <c r="D64" s="6" t="s">
        <v>537</v>
      </c>
      <c r="E64" s="1" t="s">
        <v>15</v>
      </c>
      <c r="F64" s="16"/>
      <c r="G64" s="16" t="s">
        <v>538</v>
      </c>
      <c r="H64" s="2">
        <v>41246</v>
      </c>
      <c r="I64" s="12" t="s">
        <v>539</v>
      </c>
      <c r="J64" s="4"/>
    </row>
    <row r="65" spans="1:13" ht="30.75" customHeight="1">
      <c r="A65" s="7"/>
      <c r="B65" s="3" t="s">
        <v>380</v>
      </c>
      <c r="C65" s="16" t="s">
        <v>540</v>
      </c>
      <c r="D65" s="6" t="s">
        <v>541</v>
      </c>
      <c r="E65" s="1" t="s">
        <v>336</v>
      </c>
      <c r="F65" s="16"/>
      <c r="G65" s="16"/>
      <c r="H65" s="2">
        <v>41138</v>
      </c>
      <c r="I65" s="12" t="s">
        <v>542</v>
      </c>
      <c r="J65" s="4"/>
    </row>
    <row r="66" spans="1:13" ht="27" customHeight="1">
      <c r="A66" s="9"/>
      <c r="B66" s="16" t="s">
        <v>481</v>
      </c>
      <c r="C66" s="16" t="s">
        <v>543</v>
      </c>
      <c r="D66" s="6" t="s">
        <v>544</v>
      </c>
      <c r="E66" s="15" t="s">
        <v>18</v>
      </c>
      <c r="F66" s="16"/>
      <c r="G66" s="21" t="s">
        <v>545</v>
      </c>
      <c r="H66" s="13">
        <v>41193</v>
      </c>
      <c r="I66" s="8" t="s">
        <v>546</v>
      </c>
      <c r="J66" s="4"/>
    </row>
    <row r="67" spans="1:13" ht="50.25" customHeight="1">
      <c r="A67" s="7"/>
      <c r="B67" s="3" t="s">
        <v>547</v>
      </c>
      <c r="C67" s="16" t="s">
        <v>548</v>
      </c>
      <c r="D67" s="6" t="s">
        <v>549</v>
      </c>
      <c r="E67" s="1" t="s">
        <v>550</v>
      </c>
      <c r="F67" s="31"/>
      <c r="G67" s="3"/>
      <c r="H67" s="13">
        <v>41178</v>
      </c>
      <c r="I67" s="8" t="s">
        <v>551</v>
      </c>
    </row>
    <row r="68" spans="1:13" ht="28.5" customHeight="1">
      <c r="A68" s="7"/>
      <c r="B68" s="3" t="s">
        <v>19</v>
      </c>
      <c r="C68" s="16" t="s">
        <v>552</v>
      </c>
      <c r="D68" s="6" t="s">
        <v>553</v>
      </c>
      <c r="E68" s="1" t="s">
        <v>18</v>
      </c>
      <c r="F68" s="31"/>
      <c r="G68" s="3"/>
      <c r="H68" s="13"/>
      <c r="I68" s="8" t="s">
        <v>554</v>
      </c>
      <c r="M68" t="s">
        <v>555</v>
      </c>
    </row>
    <row r="69" spans="1:13" ht="38.25">
      <c r="A69" s="7"/>
      <c r="B69" s="3" t="s">
        <v>19</v>
      </c>
      <c r="C69" s="16" t="s">
        <v>552</v>
      </c>
      <c r="D69" s="6" t="s">
        <v>556</v>
      </c>
      <c r="E69" s="3" t="s">
        <v>557</v>
      </c>
      <c r="F69" s="31"/>
      <c r="G69" s="3"/>
      <c r="H69" s="13">
        <v>41165</v>
      </c>
      <c r="I69" s="8" t="s">
        <v>558</v>
      </c>
    </row>
    <row r="70" spans="1:13" ht="50.25" customHeight="1">
      <c r="A70" s="7"/>
      <c r="B70" s="3" t="s">
        <v>19</v>
      </c>
      <c r="C70" s="16" t="s">
        <v>503</v>
      </c>
      <c r="D70" s="6" t="s">
        <v>559</v>
      </c>
      <c r="E70" s="3" t="s">
        <v>557</v>
      </c>
      <c r="F70" s="16"/>
      <c r="G70" s="3"/>
      <c r="H70" s="13">
        <v>41162</v>
      </c>
      <c r="I70" s="8" t="s">
        <v>560</v>
      </c>
    </row>
    <row r="71" spans="1:13" ht="24.75" customHeight="1">
      <c r="A71" s="7"/>
      <c r="B71" s="3" t="s">
        <v>561</v>
      </c>
      <c r="C71" s="16" t="s">
        <v>562</v>
      </c>
      <c r="D71" s="6" t="s">
        <v>563</v>
      </c>
      <c r="E71" s="1" t="s">
        <v>15</v>
      </c>
      <c r="F71" s="16"/>
      <c r="G71" s="16" t="s">
        <v>564</v>
      </c>
      <c r="H71" s="2"/>
      <c r="I71" s="12" t="s">
        <v>565</v>
      </c>
      <c r="J71" s="4"/>
    </row>
    <row r="72" spans="1:13" ht="27" customHeight="1">
      <c r="A72" s="9"/>
      <c r="B72" s="16" t="s">
        <v>566</v>
      </c>
      <c r="C72" s="3" t="s">
        <v>567</v>
      </c>
      <c r="D72" s="6" t="s">
        <v>568</v>
      </c>
      <c r="E72" s="1" t="s">
        <v>18</v>
      </c>
      <c r="F72" s="31"/>
      <c r="G72" s="3" t="s">
        <v>443</v>
      </c>
      <c r="H72" s="13">
        <v>41149</v>
      </c>
      <c r="I72" s="8" t="s">
        <v>569</v>
      </c>
      <c r="J72" s="4"/>
    </row>
    <row r="73" spans="1:13" ht="24.75" customHeight="1">
      <c r="A73" s="7"/>
      <c r="B73" s="3" t="s">
        <v>570</v>
      </c>
      <c r="C73" s="16" t="s">
        <v>571</v>
      </c>
      <c r="D73" s="6" t="s">
        <v>572</v>
      </c>
      <c r="E73" s="1" t="s">
        <v>15</v>
      </c>
      <c r="F73" s="16"/>
      <c r="G73" s="16"/>
      <c r="H73" s="2"/>
      <c r="I73" s="12" t="s">
        <v>573</v>
      </c>
      <c r="J73" s="4"/>
    </row>
    <row r="74" spans="1:13" ht="27" customHeight="1">
      <c r="A74" s="9"/>
      <c r="B74" s="16" t="s">
        <v>566</v>
      </c>
      <c r="C74" s="3" t="s">
        <v>567</v>
      </c>
      <c r="D74" s="6" t="s">
        <v>574</v>
      </c>
      <c r="E74" s="246" t="s">
        <v>575</v>
      </c>
      <c r="F74" s="247"/>
      <c r="G74" s="3" t="s">
        <v>576</v>
      </c>
      <c r="H74" s="13">
        <v>41191</v>
      </c>
      <c r="I74" s="8" t="s">
        <v>565</v>
      </c>
      <c r="J74" s="25"/>
    </row>
    <row r="75" spans="1:13" ht="24.75" customHeight="1">
      <c r="A75" s="7"/>
      <c r="B75" s="3" t="s">
        <v>570</v>
      </c>
      <c r="C75" s="16" t="s">
        <v>571</v>
      </c>
      <c r="D75" s="6" t="s">
        <v>577</v>
      </c>
      <c r="E75" s="1" t="s">
        <v>15</v>
      </c>
      <c r="F75" s="16"/>
      <c r="G75" s="16"/>
      <c r="H75" s="2"/>
      <c r="I75" s="12" t="s">
        <v>578</v>
      </c>
      <c r="J75" s="25"/>
    </row>
    <row r="76" spans="1:13" ht="24.75" customHeight="1">
      <c r="A76" s="7"/>
      <c r="B76" s="16" t="s">
        <v>579</v>
      </c>
      <c r="C76" s="16" t="s">
        <v>580</v>
      </c>
      <c r="D76" s="6" t="s">
        <v>581</v>
      </c>
      <c r="E76" s="15" t="s">
        <v>18</v>
      </c>
      <c r="F76" s="16"/>
      <c r="G76" s="16"/>
      <c r="H76" s="2">
        <v>41079</v>
      </c>
      <c r="I76" s="12" t="s">
        <v>582</v>
      </c>
      <c r="J76" s="4"/>
    </row>
    <row r="77" spans="1:13">
      <c r="A77" s="37" t="s">
        <v>583</v>
      </c>
      <c r="B77" s="3" t="s">
        <v>30</v>
      </c>
      <c r="C77" s="3" t="s">
        <v>584</v>
      </c>
      <c r="D77" s="1" t="s">
        <v>585</v>
      </c>
      <c r="E77" s="1" t="s">
        <v>15</v>
      </c>
      <c r="F77" s="3"/>
      <c r="G77" s="3"/>
      <c r="H77" s="2">
        <v>41330</v>
      </c>
      <c r="I77" s="12" t="s">
        <v>586</v>
      </c>
      <c r="J77" s="4"/>
    </row>
    <row r="78" spans="1:13" ht="31.5" customHeight="1">
      <c r="A78" s="7"/>
      <c r="B78" s="3" t="s">
        <v>587</v>
      </c>
      <c r="C78" s="3" t="s">
        <v>588</v>
      </c>
      <c r="D78" s="6" t="s">
        <v>589</v>
      </c>
      <c r="E78" s="15" t="s">
        <v>15</v>
      </c>
      <c r="F78" s="3"/>
      <c r="G78" s="3"/>
      <c r="H78" s="2">
        <v>41296</v>
      </c>
      <c r="I78" s="12" t="s">
        <v>590</v>
      </c>
      <c r="J78" s="4"/>
    </row>
    <row r="79" spans="1:13" ht="27" customHeight="1">
      <c r="A79" s="9"/>
      <c r="B79" s="16" t="s">
        <v>481</v>
      </c>
      <c r="C79" s="16" t="s">
        <v>482</v>
      </c>
      <c r="D79" s="6" t="s">
        <v>591</v>
      </c>
      <c r="E79" s="15" t="s">
        <v>18</v>
      </c>
      <c r="F79" s="16"/>
      <c r="G79" s="21" t="s">
        <v>443</v>
      </c>
      <c r="H79" s="13">
        <v>41226</v>
      </c>
      <c r="I79" s="8" t="s">
        <v>592</v>
      </c>
      <c r="J79" s="4"/>
    </row>
    <row r="80" spans="1:13" ht="31.5" customHeight="1">
      <c r="A80" s="7"/>
      <c r="B80" s="16" t="s">
        <v>593</v>
      </c>
      <c r="C80" s="16" t="s">
        <v>594</v>
      </c>
      <c r="D80" s="6" t="s">
        <v>595</v>
      </c>
      <c r="E80" s="15" t="s">
        <v>15</v>
      </c>
      <c r="F80" s="3"/>
      <c r="G80" s="3"/>
      <c r="H80" s="2">
        <v>41305</v>
      </c>
      <c r="I80" s="12" t="s">
        <v>596</v>
      </c>
      <c r="J80" s="4"/>
    </row>
    <row r="81" spans="1:11" ht="24.75" customHeight="1">
      <c r="A81" s="7"/>
      <c r="B81" s="16" t="s">
        <v>380</v>
      </c>
      <c r="C81" s="15" t="s">
        <v>597</v>
      </c>
      <c r="D81" s="6" t="s">
        <v>598</v>
      </c>
      <c r="E81" s="15" t="s">
        <v>15</v>
      </c>
      <c r="F81" s="16"/>
      <c r="G81" s="16"/>
      <c r="H81" s="2">
        <v>41373</v>
      </c>
      <c r="I81" s="12" t="s">
        <v>599</v>
      </c>
      <c r="J81" s="4"/>
    </row>
    <row r="82" spans="1:11" ht="21.75">
      <c r="A82" s="7"/>
      <c r="B82" s="16" t="s">
        <v>30</v>
      </c>
      <c r="C82" s="16" t="s">
        <v>600</v>
      </c>
      <c r="D82" s="6" t="s">
        <v>601</v>
      </c>
      <c r="E82" s="15" t="s">
        <v>602</v>
      </c>
      <c r="F82" s="3"/>
      <c r="G82" s="23" t="s">
        <v>603</v>
      </c>
      <c r="H82" s="2">
        <v>40948</v>
      </c>
      <c r="I82" s="12" t="s">
        <v>604</v>
      </c>
      <c r="J82" s="4"/>
    </row>
    <row r="83" spans="1:11" ht="32.25">
      <c r="A83" s="7"/>
      <c r="B83" s="16" t="s">
        <v>30</v>
      </c>
      <c r="C83" s="16" t="s">
        <v>600</v>
      </c>
      <c r="D83" s="6" t="s">
        <v>605</v>
      </c>
      <c r="E83" s="15" t="s">
        <v>15</v>
      </c>
      <c r="F83" s="3"/>
      <c r="G83" s="23" t="s">
        <v>603</v>
      </c>
      <c r="H83" s="2">
        <v>41110</v>
      </c>
      <c r="I83" s="12" t="s">
        <v>606</v>
      </c>
      <c r="J83" s="4"/>
    </row>
    <row r="84" spans="1:11" ht="52.5" customHeight="1">
      <c r="A84" s="7"/>
      <c r="B84" s="16" t="s">
        <v>30</v>
      </c>
      <c r="C84" s="16" t="s">
        <v>607</v>
      </c>
      <c r="D84" s="6" t="s">
        <v>608</v>
      </c>
      <c r="E84" s="15" t="s">
        <v>336</v>
      </c>
      <c r="F84" s="3"/>
      <c r="G84" s="23" t="s">
        <v>609</v>
      </c>
      <c r="H84" s="2">
        <v>40949</v>
      </c>
      <c r="I84" s="12" t="s">
        <v>610</v>
      </c>
      <c r="J84" s="4"/>
    </row>
    <row r="85" spans="1:11" ht="42.75">
      <c r="A85" s="7"/>
      <c r="B85" s="16" t="s">
        <v>30</v>
      </c>
      <c r="C85" s="15" t="s">
        <v>611</v>
      </c>
      <c r="D85" s="6" t="s">
        <v>612</v>
      </c>
      <c r="E85" s="1" t="s">
        <v>15</v>
      </c>
      <c r="F85" s="3"/>
      <c r="G85" s="3"/>
      <c r="H85" s="2">
        <v>41374</v>
      </c>
      <c r="I85" s="12" t="s">
        <v>613</v>
      </c>
      <c r="J85" s="4"/>
    </row>
    <row r="86" spans="1:11" ht="24.75" customHeight="1">
      <c r="A86" s="7"/>
      <c r="B86" s="16" t="s">
        <v>614</v>
      </c>
      <c r="C86" s="16" t="s">
        <v>615</v>
      </c>
      <c r="D86" s="6" t="s">
        <v>616</v>
      </c>
      <c r="E86" s="15"/>
      <c r="F86" s="16"/>
      <c r="G86" s="16"/>
      <c r="H86" s="2">
        <v>41416</v>
      </c>
      <c r="I86" s="20">
        <v>41447</v>
      </c>
      <c r="J86" s="4"/>
    </row>
    <row r="87" spans="1:11" ht="21.75">
      <c r="A87" s="7"/>
      <c r="B87" s="16" t="s">
        <v>30</v>
      </c>
      <c r="C87" s="16" t="s">
        <v>600</v>
      </c>
      <c r="D87" s="6" t="s">
        <v>617</v>
      </c>
      <c r="E87" s="15" t="s">
        <v>18</v>
      </c>
      <c r="F87" s="3"/>
      <c r="G87" s="23" t="s">
        <v>618</v>
      </c>
      <c r="H87" s="2">
        <v>41110</v>
      </c>
      <c r="I87" s="12" t="s">
        <v>606</v>
      </c>
      <c r="J87" s="4"/>
    </row>
    <row r="88" spans="1:11" ht="24.75" customHeight="1">
      <c r="A88" s="7"/>
      <c r="B88" s="3" t="s">
        <v>619</v>
      </c>
      <c r="C88" s="3" t="s">
        <v>620</v>
      </c>
      <c r="D88" s="6" t="s">
        <v>621</v>
      </c>
      <c r="E88" s="1" t="s">
        <v>498</v>
      </c>
      <c r="F88" s="3"/>
      <c r="G88" s="3"/>
      <c r="H88" s="2">
        <v>41296</v>
      </c>
      <c r="I88" s="12" t="s">
        <v>622</v>
      </c>
      <c r="J88" s="4"/>
    </row>
    <row r="89" spans="1:11" ht="27" customHeight="1">
      <c r="A89" s="9"/>
      <c r="B89" s="16" t="s">
        <v>623</v>
      </c>
      <c r="C89" s="16" t="s">
        <v>624</v>
      </c>
      <c r="D89" s="6" t="s">
        <v>625</v>
      </c>
      <c r="E89" s="15" t="s">
        <v>18</v>
      </c>
      <c r="F89" s="16"/>
      <c r="G89" s="21" t="s">
        <v>443</v>
      </c>
      <c r="H89" s="13">
        <v>41059</v>
      </c>
      <c r="I89" s="8" t="s">
        <v>626</v>
      </c>
      <c r="J89" s="4"/>
    </row>
    <row r="90" spans="1:11" ht="27" customHeight="1">
      <c r="A90" s="9"/>
      <c r="B90" s="16" t="s">
        <v>623</v>
      </c>
      <c r="C90" s="16" t="s">
        <v>624</v>
      </c>
      <c r="D90" s="6" t="s">
        <v>627</v>
      </c>
      <c r="E90" s="15" t="s">
        <v>18</v>
      </c>
      <c r="F90" s="16"/>
      <c r="G90" s="21" t="s">
        <v>443</v>
      </c>
      <c r="H90" s="13">
        <v>41113</v>
      </c>
      <c r="I90" s="8" t="s">
        <v>626</v>
      </c>
      <c r="J90" s="4"/>
    </row>
    <row r="91" spans="1:11" ht="27" customHeight="1">
      <c r="A91" s="9"/>
      <c r="B91" s="16" t="s">
        <v>628</v>
      </c>
      <c r="C91" s="16" t="s">
        <v>629</v>
      </c>
      <c r="D91" s="6" t="s">
        <v>630</v>
      </c>
      <c r="E91" s="15" t="s">
        <v>15</v>
      </c>
      <c r="F91" s="31"/>
      <c r="G91" s="3" t="s">
        <v>631</v>
      </c>
      <c r="H91" s="13">
        <v>41276</v>
      </c>
      <c r="I91" s="8" t="s">
        <v>632</v>
      </c>
      <c r="J91" s="4"/>
    </row>
    <row r="92" spans="1:11" ht="27" customHeight="1">
      <c r="A92" s="9"/>
      <c r="B92" s="16" t="s">
        <v>628</v>
      </c>
      <c r="C92" s="16" t="s">
        <v>629</v>
      </c>
      <c r="D92" s="6" t="s">
        <v>633</v>
      </c>
      <c r="E92" s="15" t="s">
        <v>15</v>
      </c>
      <c r="F92" s="31"/>
      <c r="G92" s="3" t="s">
        <v>634</v>
      </c>
      <c r="H92" s="13">
        <v>41276</v>
      </c>
      <c r="I92" s="8" t="s">
        <v>632</v>
      </c>
      <c r="J92" s="4"/>
      <c r="K92" s="1"/>
    </row>
    <row r="93" spans="1:11" ht="33" customHeight="1">
      <c r="A93" s="7"/>
      <c r="B93" s="16" t="s">
        <v>635</v>
      </c>
      <c r="C93" s="16" t="s">
        <v>636</v>
      </c>
      <c r="D93" s="6" t="s">
        <v>637</v>
      </c>
      <c r="E93" s="15" t="s">
        <v>638</v>
      </c>
      <c r="F93" s="3"/>
      <c r="G93" s="16"/>
      <c r="H93" s="2">
        <v>41200</v>
      </c>
      <c r="I93" s="12" t="s">
        <v>639</v>
      </c>
      <c r="J93" s="4"/>
    </row>
    <row r="94" spans="1:11" ht="21.75" customHeight="1">
      <c r="A94" s="7"/>
      <c r="B94" s="16" t="s">
        <v>30</v>
      </c>
      <c r="C94" s="16" t="s">
        <v>600</v>
      </c>
      <c r="D94" s="6" t="s">
        <v>640</v>
      </c>
      <c r="E94" s="15" t="s">
        <v>641</v>
      </c>
      <c r="F94" s="3"/>
      <c r="G94" s="23" t="s">
        <v>603</v>
      </c>
      <c r="H94" s="2">
        <v>40962</v>
      </c>
      <c r="I94" s="12" t="s">
        <v>642</v>
      </c>
      <c r="J94" s="4"/>
    </row>
    <row r="95" spans="1:11" ht="44.25" customHeight="1">
      <c r="A95" s="7"/>
      <c r="B95" s="16" t="s">
        <v>19</v>
      </c>
      <c r="C95" s="16" t="s">
        <v>643</v>
      </c>
      <c r="D95" s="34" t="s">
        <v>644</v>
      </c>
      <c r="E95" s="15" t="s">
        <v>18</v>
      </c>
      <c r="F95" s="3"/>
      <c r="G95" s="24" t="s">
        <v>645</v>
      </c>
      <c r="H95" s="2">
        <v>41205</v>
      </c>
      <c r="I95" s="12" t="s">
        <v>646</v>
      </c>
      <c r="J95" s="4"/>
    </row>
    <row r="96" spans="1:11" ht="89.25">
      <c r="A96" s="7"/>
      <c r="B96" s="16" t="s">
        <v>647</v>
      </c>
      <c r="C96" s="16" t="s">
        <v>648</v>
      </c>
      <c r="D96" s="6" t="s">
        <v>649</v>
      </c>
      <c r="E96" s="15" t="s">
        <v>15</v>
      </c>
      <c r="F96" s="3"/>
      <c r="G96" s="16" t="s">
        <v>650</v>
      </c>
      <c r="H96" s="2">
        <v>41622</v>
      </c>
      <c r="I96" s="12" t="s">
        <v>651</v>
      </c>
      <c r="J96" s="4"/>
    </row>
    <row r="97" spans="1:10" ht="24.75" customHeight="1">
      <c r="A97" s="7"/>
      <c r="B97" s="16" t="s">
        <v>579</v>
      </c>
      <c r="C97" s="16" t="s">
        <v>580</v>
      </c>
      <c r="D97" s="6" t="s">
        <v>652</v>
      </c>
      <c r="E97" s="15" t="s">
        <v>653</v>
      </c>
      <c r="F97" s="16"/>
      <c r="G97" s="16"/>
      <c r="H97" s="2"/>
      <c r="I97" s="12" t="s">
        <v>651</v>
      </c>
      <c r="J97" s="4"/>
    </row>
    <row r="98" spans="1:10" ht="24.75" customHeight="1">
      <c r="A98" s="7"/>
      <c r="B98" s="16" t="s">
        <v>579</v>
      </c>
      <c r="C98" s="16" t="s">
        <v>580</v>
      </c>
      <c r="D98" s="6" t="s">
        <v>654</v>
      </c>
      <c r="E98" s="15" t="s">
        <v>655</v>
      </c>
      <c r="F98" s="16"/>
      <c r="G98" s="16"/>
      <c r="H98" s="2"/>
      <c r="I98" s="12" t="s">
        <v>656</v>
      </c>
      <c r="J98" s="4"/>
    </row>
    <row r="99" spans="1:10" ht="49.5" customHeight="1">
      <c r="A99" s="9"/>
      <c r="B99" s="16" t="s">
        <v>657</v>
      </c>
      <c r="C99" s="16" t="s">
        <v>658</v>
      </c>
      <c r="D99" s="6" t="s">
        <v>659</v>
      </c>
      <c r="E99" s="15" t="s">
        <v>15</v>
      </c>
      <c r="F99" s="16"/>
      <c r="G99" s="21" t="s">
        <v>454</v>
      </c>
      <c r="H99" s="13">
        <v>41225</v>
      </c>
      <c r="I99" s="8" t="s">
        <v>660</v>
      </c>
      <c r="J99" s="4"/>
    </row>
    <row r="100" spans="1:10" ht="27" customHeight="1">
      <c r="A100" s="9"/>
      <c r="B100" s="16" t="s">
        <v>661</v>
      </c>
      <c r="C100" s="3" t="s">
        <v>567</v>
      </c>
      <c r="D100" s="6" t="s">
        <v>662</v>
      </c>
      <c r="E100" s="1" t="s">
        <v>663</v>
      </c>
      <c r="F100" s="31"/>
      <c r="G100" s="3" t="s">
        <v>576</v>
      </c>
      <c r="H100" s="13">
        <v>41191</v>
      </c>
      <c r="I100" s="8" t="s">
        <v>664</v>
      </c>
      <c r="J100" s="25"/>
    </row>
    <row r="101" spans="1:10" ht="27" customHeight="1">
      <c r="A101" s="9"/>
      <c r="B101" s="16" t="s">
        <v>481</v>
      </c>
      <c r="C101" s="16" t="s">
        <v>665</v>
      </c>
      <c r="D101" s="6" t="s">
        <v>666</v>
      </c>
      <c r="E101" s="15" t="s">
        <v>18</v>
      </c>
      <c r="F101" s="16"/>
      <c r="G101" s="21" t="s">
        <v>667</v>
      </c>
      <c r="H101" s="13">
        <v>41401</v>
      </c>
      <c r="I101" s="8" t="s">
        <v>668</v>
      </c>
      <c r="J101" s="1"/>
    </row>
    <row r="102" spans="1:10" ht="24.75" customHeight="1">
      <c r="A102" s="7"/>
      <c r="B102" s="16" t="s">
        <v>669</v>
      </c>
      <c r="C102" s="16" t="s">
        <v>670</v>
      </c>
      <c r="D102" s="6" t="s">
        <v>671</v>
      </c>
      <c r="E102" s="15" t="s">
        <v>672</v>
      </c>
      <c r="F102" s="16"/>
      <c r="G102" s="16"/>
      <c r="H102" s="2">
        <v>41298</v>
      </c>
      <c r="I102" s="12" t="s">
        <v>673</v>
      </c>
      <c r="J102" s="4"/>
    </row>
    <row r="103" spans="1:10" ht="45.75" customHeight="1">
      <c r="A103" s="9"/>
      <c r="B103" s="16" t="s">
        <v>674</v>
      </c>
      <c r="C103" s="3" t="s">
        <v>675</v>
      </c>
      <c r="D103" s="6" t="s">
        <v>676</v>
      </c>
      <c r="E103" s="1"/>
      <c r="F103" s="18"/>
      <c r="G103" s="16" t="s">
        <v>677</v>
      </c>
      <c r="H103" s="13">
        <v>41414</v>
      </c>
      <c r="I103" s="8" t="s">
        <v>678</v>
      </c>
      <c r="J103" s="4"/>
    </row>
    <row r="104" spans="1:10" ht="24.75" customHeight="1">
      <c r="A104" s="7"/>
      <c r="B104" s="16" t="s">
        <v>437</v>
      </c>
      <c r="C104" s="16" t="s">
        <v>679</v>
      </c>
      <c r="D104" s="6" t="s">
        <v>680</v>
      </c>
      <c r="E104" s="15"/>
      <c r="F104" s="16"/>
      <c r="G104" s="16" t="s">
        <v>681</v>
      </c>
      <c r="H104" s="2">
        <v>41451</v>
      </c>
      <c r="I104" s="12" t="s">
        <v>682</v>
      </c>
      <c r="J104" s="4"/>
    </row>
    <row r="105" spans="1:10" ht="27" customHeight="1">
      <c r="A105" s="9"/>
      <c r="B105" s="16" t="s">
        <v>683</v>
      </c>
      <c r="C105" s="3" t="s">
        <v>684</v>
      </c>
      <c r="D105" s="6" t="s">
        <v>685</v>
      </c>
      <c r="E105" s="1"/>
      <c r="F105" s="31"/>
      <c r="G105" s="3"/>
      <c r="H105" s="13">
        <v>41530</v>
      </c>
      <c r="I105" s="8" t="s">
        <v>686</v>
      </c>
      <c r="J105" s="4"/>
    </row>
    <row r="106" spans="1:10" ht="24.75" customHeight="1">
      <c r="A106" s="7"/>
      <c r="B106" s="3" t="s">
        <v>687</v>
      </c>
      <c r="C106" s="3" t="s">
        <v>688</v>
      </c>
      <c r="D106" s="6" t="s">
        <v>689</v>
      </c>
      <c r="E106" s="1" t="s">
        <v>690</v>
      </c>
      <c r="F106" s="3"/>
      <c r="G106" s="3"/>
      <c r="H106" s="2">
        <v>41316</v>
      </c>
      <c r="I106" s="12" t="s">
        <v>691</v>
      </c>
      <c r="J106" s="4"/>
    </row>
    <row r="107" spans="1:10" ht="24.75" customHeight="1">
      <c r="A107" s="7"/>
      <c r="B107" s="16" t="s">
        <v>437</v>
      </c>
      <c r="C107" s="16" t="s">
        <v>692</v>
      </c>
      <c r="D107" s="6" t="s">
        <v>693</v>
      </c>
      <c r="E107" s="15"/>
      <c r="F107" s="16"/>
      <c r="G107" s="16"/>
      <c r="H107" s="2">
        <v>41528</v>
      </c>
      <c r="I107" s="12" t="s">
        <v>694</v>
      </c>
      <c r="J107" s="4"/>
    </row>
    <row r="108" spans="1:10" ht="27.75" customHeight="1">
      <c r="A108" s="7"/>
      <c r="B108" s="3" t="s">
        <v>19</v>
      </c>
      <c r="C108" s="3" t="s">
        <v>695</v>
      </c>
      <c r="D108" s="15" t="s">
        <v>696</v>
      </c>
      <c r="E108" s="1" t="s">
        <v>167</v>
      </c>
      <c r="F108" s="3"/>
      <c r="G108" s="3" t="s">
        <v>697</v>
      </c>
      <c r="H108" s="2">
        <v>41499</v>
      </c>
      <c r="I108" s="12" t="s">
        <v>698</v>
      </c>
      <c r="J108" s="4"/>
    </row>
    <row r="109" spans="1:10" ht="26.25" customHeight="1">
      <c r="A109" s="9"/>
      <c r="B109" s="16" t="s">
        <v>145</v>
      </c>
      <c r="C109" s="3" t="s">
        <v>699</v>
      </c>
      <c r="D109" s="6" t="s">
        <v>700</v>
      </c>
      <c r="E109" s="1" t="s">
        <v>498</v>
      </c>
      <c r="F109" s="31"/>
      <c r="G109" s="3"/>
      <c r="H109" s="13"/>
      <c r="I109" s="8" t="s">
        <v>701</v>
      </c>
      <c r="J109" s="4"/>
    </row>
    <row r="110" spans="1:10" ht="26.25" customHeight="1">
      <c r="A110" s="9"/>
      <c r="B110" s="16" t="s">
        <v>145</v>
      </c>
      <c r="C110" s="3" t="s">
        <v>699</v>
      </c>
      <c r="D110" s="6" t="s">
        <v>700</v>
      </c>
      <c r="E110" s="1" t="s">
        <v>702</v>
      </c>
      <c r="F110" s="31"/>
      <c r="G110" s="3"/>
      <c r="H110" s="13"/>
      <c r="I110" s="8" t="s">
        <v>701</v>
      </c>
      <c r="J110" s="4"/>
    </row>
    <row r="111" spans="1:10" ht="31.5" customHeight="1">
      <c r="A111" s="7"/>
      <c r="B111" s="3" t="s">
        <v>703</v>
      </c>
      <c r="C111" s="3" t="s">
        <v>704</v>
      </c>
      <c r="D111" s="6" t="s">
        <v>15</v>
      </c>
      <c r="E111" s="15"/>
      <c r="F111" s="3"/>
      <c r="G111" s="3"/>
      <c r="H111" s="2" t="s">
        <v>705</v>
      </c>
      <c r="I111" s="12" t="s">
        <v>706</v>
      </c>
      <c r="J111" s="4"/>
    </row>
    <row r="112" spans="1:10" ht="33" customHeight="1">
      <c r="A112" s="7"/>
      <c r="B112" s="16" t="s">
        <v>707</v>
      </c>
      <c r="C112" s="16" t="s">
        <v>708</v>
      </c>
      <c r="D112" s="6"/>
      <c r="E112" s="15" t="s">
        <v>15</v>
      </c>
      <c r="F112" s="3"/>
      <c r="G112" s="16" t="s">
        <v>697</v>
      </c>
      <c r="H112" s="2">
        <v>41505</v>
      </c>
      <c r="I112" s="12" t="s">
        <v>709</v>
      </c>
      <c r="J112" s="4"/>
    </row>
    <row r="113" spans="1:10" ht="31.5" customHeight="1">
      <c r="A113" s="7"/>
      <c r="B113" s="16" t="s">
        <v>710</v>
      </c>
      <c r="C113" s="33" t="s">
        <v>711</v>
      </c>
      <c r="D113" s="6" t="s">
        <v>712</v>
      </c>
      <c r="E113" s="15"/>
      <c r="F113" s="3"/>
      <c r="G113" s="16" t="s">
        <v>713</v>
      </c>
      <c r="H113" s="2">
        <v>41402</v>
      </c>
      <c r="I113" s="12" t="s">
        <v>714</v>
      </c>
      <c r="J113" s="4"/>
    </row>
    <row r="114" spans="1:10" ht="27" customHeight="1">
      <c r="A114" s="9"/>
      <c r="B114" s="16" t="s">
        <v>683</v>
      </c>
      <c r="C114" s="3" t="s">
        <v>715</v>
      </c>
      <c r="D114" s="6" t="s">
        <v>716</v>
      </c>
      <c r="E114" s="1" t="s">
        <v>663</v>
      </c>
      <c r="F114" s="31"/>
      <c r="G114" s="16" t="s">
        <v>717</v>
      </c>
      <c r="H114" s="13"/>
      <c r="I114" s="8" t="s">
        <v>718</v>
      </c>
      <c r="J114" s="4"/>
    </row>
    <row r="115" spans="1:10" ht="27" customHeight="1">
      <c r="A115" s="9"/>
      <c r="B115" s="16" t="s">
        <v>683</v>
      </c>
      <c r="C115" s="3" t="s">
        <v>715</v>
      </c>
      <c r="D115" s="6" t="s">
        <v>165</v>
      </c>
      <c r="E115" s="1"/>
      <c r="F115" s="31"/>
      <c r="G115" s="16" t="s">
        <v>719</v>
      </c>
      <c r="H115" s="13"/>
      <c r="I115" s="8" t="s">
        <v>720</v>
      </c>
      <c r="J115" s="4"/>
    </row>
    <row r="116" spans="1:10" ht="33" customHeight="1">
      <c r="A116" s="7"/>
      <c r="B116" s="16" t="s">
        <v>721</v>
      </c>
      <c r="C116" s="16" t="s">
        <v>722</v>
      </c>
      <c r="D116" s="6" t="s">
        <v>723</v>
      </c>
      <c r="E116" s="15" t="s">
        <v>724</v>
      </c>
      <c r="F116" s="3"/>
      <c r="G116" s="16"/>
      <c r="H116" s="2">
        <v>41409</v>
      </c>
      <c r="I116" s="12" t="s">
        <v>709</v>
      </c>
      <c r="J116" s="4"/>
    </row>
    <row r="117" spans="1:10" ht="33" customHeight="1">
      <c r="A117" s="7"/>
      <c r="B117" s="16" t="s">
        <v>707</v>
      </c>
      <c r="C117" s="16" t="s">
        <v>725</v>
      </c>
      <c r="D117" s="6"/>
      <c r="E117" s="15" t="s">
        <v>15</v>
      </c>
      <c r="F117" s="3"/>
      <c r="G117" s="16"/>
      <c r="H117" s="2"/>
      <c r="I117" s="12" t="s">
        <v>726</v>
      </c>
      <c r="J117" s="4"/>
    </row>
    <row r="118" spans="1:10" ht="24.75" customHeight="1">
      <c r="A118" s="7"/>
      <c r="B118" s="3" t="s">
        <v>727</v>
      </c>
      <c r="C118" s="3" t="s">
        <v>728</v>
      </c>
      <c r="D118" s="6" t="s">
        <v>729</v>
      </c>
      <c r="E118" s="1"/>
      <c r="F118" s="3"/>
      <c r="G118" s="3"/>
      <c r="H118" s="2">
        <v>41422</v>
      </c>
      <c r="I118" s="12" t="s">
        <v>730</v>
      </c>
      <c r="J118" s="4"/>
    </row>
    <row r="119" spans="1:10" ht="24.75" customHeight="1">
      <c r="A119" s="7"/>
      <c r="B119" s="3" t="s">
        <v>727</v>
      </c>
      <c r="C119" s="3" t="s">
        <v>728</v>
      </c>
      <c r="D119" s="6" t="s">
        <v>729</v>
      </c>
      <c r="E119" s="1"/>
      <c r="F119" s="3"/>
      <c r="G119" s="3"/>
      <c r="H119" s="2">
        <v>41431</v>
      </c>
      <c r="I119" s="12" t="s">
        <v>730</v>
      </c>
      <c r="J119" s="4"/>
    </row>
    <row r="120" spans="1:10" ht="39" customHeight="1">
      <c r="A120" s="7"/>
      <c r="B120" s="16" t="s">
        <v>731</v>
      </c>
      <c r="C120" s="15" t="s">
        <v>732</v>
      </c>
      <c r="D120" s="6" t="s">
        <v>733</v>
      </c>
      <c r="E120" s="15" t="s">
        <v>734</v>
      </c>
      <c r="F120" s="16"/>
      <c r="G120" s="16"/>
      <c r="H120" s="2">
        <v>41387</v>
      </c>
      <c r="I120" s="12" t="s">
        <v>735</v>
      </c>
      <c r="J120" s="4"/>
    </row>
    <row r="121" spans="1:10" ht="26.25" customHeight="1">
      <c r="A121" s="9"/>
      <c r="B121" s="16" t="s">
        <v>736</v>
      </c>
      <c r="C121" s="3" t="s">
        <v>737</v>
      </c>
      <c r="D121" s="6" t="s">
        <v>738</v>
      </c>
      <c r="E121" s="1" t="s">
        <v>724</v>
      </c>
      <c r="F121" s="31"/>
      <c r="G121" s="3"/>
      <c r="H121" s="13" t="s">
        <v>739</v>
      </c>
      <c r="I121" s="8" t="s">
        <v>740</v>
      </c>
      <c r="J121" s="4"/>
    </row>
    <row r="122" spans="1:10" ht="33.6" customHeight="1">
      <c r="A122" s="9"/>
      <c r="B122" s="16" t="s">
        <v>741</v>
      </c>
      <c r="C122" s="3" t="s">
        <v>742</v>
      </c>
      <c r="D122" s="6" t="s">
        <v>743</v>
      </c>
      <c r="E122" s="1"/>
      <c r="F122" s="31"/>
      <c r="G122" s="3" t="s">
        <v>744</v>
      </c>
      <c r="H122" s="13"/>
      <c r="I122" s="8" t="s">
        <v>686</v>
      </c>
      <c r="J122" s="4"/>
    </row>
    <row r="123" spans="1:10" ht="24.75" customHeight="1">
      <c r="A123" s="7"/>
      <c r="B123" s="16" t="s">
        <v>669</v>
      </c>
      <c r="C123" s="16" t="s">
        <v>670</v>
      </c>
      <c r="D123" s="6" t="s">
        <v>745</v>
      </c>
      <c r="E123" s="15" t="s">
        <v>746</v>
      </c>
      <c r="F123" s="16"/>
      <c r="G123" s="36">
        <v>125</v>
      </c>
      <c r="H123" s="2">
        <v>41270</v>
      </c>
      <c r="I123" s="12" t="s">
        <v>747</v>
      </c>
      <c r="J123" s="4"/>
    </row>
    <row r="124" spans="1:10" ht="24.75" customHeight="1">
      <c r="A124" s="7"/>
      <c r="B124" s="16" t="s">
        <v>669</v>
      </c>
      <c r="C124" s="16" t="s">
        <v>670</v>
      </c>
      <c r="D124" s="6" t="s">
        <v>748</v>
      </c>
      <c r="E124" s="15" t="s">
        <v>696</v>
      </c>
      <c r="F124" s="16"/>
      <c r="G124" s="16"/>
      <c r="H124" s="2">
        <v>41256</v>
      </c>
      <c r="I124" s="12" t="s">
        <v>698</v>
      </c>
      <c r="J124" s="4"/>
    </row>
    <row r="125" spans="1:10" ht="24.75" customHeight="1">
      <c r="A125" s="7"/>
      <c r="B125" s="16" t="s">
        <v>749</v>
      </c>
      <c r="C125" s="16" t="s">
        <v>750</v>
      </c>
      <c r="D125" s="6" t="s">
        <v>751</v>
      </c>
      <c r="E125" s="15" t="s">
        <v>752</v>
      </c>
      <c r="F125" s="16"/>
      <c r="G125" s="16"/>
      <c r="H125" s="2">
        <v>41433</v>
      </c>
      <c r="I125" s="12" t="s">
        <v>753</v>
      </c>
      <c r="J125" s="4"/>
    </row>
    <row r="126" spans="1:10" ht="24.75" customHeight="1">
      <c r="A126" s="7"/>
      <c r="B126" s="16" t="s">
        <v>754</v>
      </c>
      <c r="C126" s="16" t="s">
        <v>755</v>
      </c>
      <c r="D126" s="6" t="s">
        <v>756</v>
      </c>
      <c r="E126" s="1"/>
      <c r="F126" s="31"/>
      <c r="G126" s="3"/>
      <c r="H126" s="13"/>
      <c r="I126" s="8" t="s">
        <v>757</v>
      </c>
    </row>
    <row r="127" spans="1:10" ht="26.25" customHeight="1">
      <c r="A127" s="9"/>
      <c r="B127" s="16" t="s">
        <v>758</v>
      </c>
      <c r="C127" s="3" t="s">
        <v>759</v>
      </c>
      <c r="D127" s="6" t="s">
        <v>760</v>
      </c>
      <c r="E127" s="1" t="s">
        <v>149</v>
      </c>
      <c r="F127" s="31"/>
      <c r="G127" s="3"/>
      <c r="H127" s="13"/>
      <c r="I127" s="8" t="s">
        <v>761</v>
      </c>
      <c r="J127" s="4"/>
    </row>
    <row r="128" spans="1:10" ht="27" customHeight="1">
      <c r="A128" s="9" t="s">
        <v>762</v>
      </c>
      <c r="B128" s="16" t="s">
        <v>763</v>
      </c>
      <c r="C128" s="3" t="s">
        <v>764</v>
      </c>
      <c r="D128" s="6" t="s">
        <v>765</v>
      </c>
      <c r="E128" s="1" t="s">
        <v>766</v>
      </c>
      <c r="F128" s="18" t="s">
        <v>337</v>
      </c>
      <c r="G128" s="3" t="s">
        <v>767</v>
      </c>
      <c r="H128" s="13">
        <v>40568</v>
      </c>
      <c r="I128" s="8" t="s">
        <v>768</v>
      </c>
      <c r="J128" s="4"/>
    </row>
    <row r="129" spans="1:10" ht="33" customHeight="1">
      <c r="A129" s="7"/>
      <c r="B129" s="16" t="s">
        <v>769</v>
      </c>
      <c r="C129" s="1" t="s">
        <v>770</v>
      </c>
      <c r="D129" s="6" t="s">
        <v>771</v>
      </c>
      <c r="E129" s="15" t="s">
        <v>15</v>
      </c>
      <c r="F129" s="3"/>
      <c r="G129" s="16"/>
      <c r="H129" s="2">
        <v>41628</v>
      </c>
      <c r="I129" s="12" t="s">
        <v>772</v>
      </c>
      <c r="J129" s="4"/>
    </row>
    <row r="130" spans="1:10" ht="24.75" customHeight="1">
      <c r="A130" s="7"/>
      <c r="B130" s="16" t="s">
        <v>773</v>
      </c>
      <c r="C130" s="15" t="s">
        <v>774</v>
      </c>
      <c r="D130" s="6" t="s">
        <v>775</v>
      </c>
      <c r="E130" s="15" t="s">
        <v>18</v>
      </c>
      <c r="F130" s="16"/>
      <c r="G130" s="16"/>
      <c r="H130" s="2">
        <v>41627</v>
      </c>
      <c r="I130" s="12" t="s">
        <v>776</v>
      </c>
      <c r="J130" s="4"/>
    </row>
    <row r="131" spans="1:10" ht="24.75" customHeight="1">
      <c r="A131" s="7"/>
      <c r="B131" s="16" t="s">
        <v>777</v>
      </c>
      <c r="C131" s="16" t="s">
        <v>778</v>
      </c>
      <c r="D131" s="6" t="s">
        <v>779</v>
      </c>
      <c r="E131" s="1" t="s">
        <v>780</v>
      </c>
      <c r="F131" s="31"/>
      <c r="G131" s="3"/>
      <c r="H131" s="13"/>
      <c r="I131" s="8" t="s">
        <v>781</v>
      </c>
    </row>
    <row r="132" spans="1:10" ht="33.6" customHeight="1">
      <c r="A132" s="9"/>
      <c r="B132" s="16" t="s">
        <v>566</v>
      </c>
      <c r="C132" s="16" t="s">
        <v>782</v>
      </c>
      <c r="D132" s="6" t="s">
        <v>783</v>
      </c>
      <c r="E132" s="15" t="s">
        <v>18</v>
      </c>
      <c r="F132" s="31"/>
      <c r="G132" s="3"/>
      <c r="H132" s="13"/>
      <c r="I132" s="8" t="s">
        <v>573</v>
      </c>
      <c r="J132" s="4"/>
    </row>
    <row r="133" spans="1:10" ht="33.6" customHeight="1">
      <c r="A133" s="9"/>
      <c r="B133" s="16" t="s">
        <v>784</v>
      </c>
      <c r="C133" s="3" t="s">
        <v>785</v>
      </c>
      <c r="D133" s="6"/>
      <c r="E133" s="15" t="s">
        <v>786</v>
      </c>
      <c r="F133" s="31"/>
      <c r="G133" s="3"/>
      <c r="H133" s="13">
        <v>41487</v>
      </c>
      <c r="I133" s="8" t="s">
        <v>787</v>
      </c>
      <c r="J133" s="4"/>
    </row>
    <row r="134" spans="1:10" ht="31.5" customHeight="1">
      <c r="A134" s="7"/>
      <c r="B134" s="16" t="s">
        <v>710</v>
      </c>
      <c r="C134" s="35" t="s">
        <v>788</v>
      </c>
      <c r="D134" s="6" t="s">
        <v>789</v>
      </c>
      <c r="E134" s="15" t="s">
        <v>15</v>
      </c>
      <c r="F134" s="3"/>
      <c r="G134" s="3"/>
      <c r="H134" s="2">
        <v>41648</v>
      </c>
      <c r="I134" s="12" t="s">
        <v>790</v>
      </c>
    </row>
    <row r="135" spans="1:10" ht="31.5" customHeight="1">
      <c r="A135" s="7"/>
      <c r="B135" s="16" t="s">
        <v>791</v>
      </c>
      <c r="C135" s="35" t="s">
        <v>792</v>
      </c>
      <c r="D135" s="6" t="s">
        <v>793</v>
      </c>
      <c r="E135" s="15"/>
      <c r="F135" s="3"/>
      <c r="G135" s="3"/>
      <c r="H135" s="2">
        <v>42004</v>
      </c>
      <c r="I135" s="12" t="s">
        <v>794</v>
      </c>
    </row>
    <row r="136" spans="1:10" ht="46.5" customHeight="1">
      <c r="A136" s="7"/>
      <c r="B136" s="16" t="s">
        <v>754</v>
      </c>
      <c r="C136" s="16" t="s">
        <v>795</v>
      </c>
      <c r="D136" s="6" t="s">
        <v>796</v>
      </c>
      <c r="E136" s="1"/>
      <c r="F136" s="31"/>
      <c r="G136" s="3"/>
      <c r="H136" s="13"/>
      <c r="I136" s="8" t="s">
        <v>797</v>
      </c>
    </row>
    <row r="137" spans="1:10" ht="19.5" customHeight="1">
      <c r="A137" s="7"/>
      <c r="B137" s="3" t="s">
        <v>30</v>
      </c>
      <c r="C137" s="3" t="s">
        <v>798</v>
      </c>
      <c r="D137" s="1" t="s">
        <v>799</v>
      </c>
      <c r="E137" s="1" t="s">
        <v>18</v>
      </c>
      <c r="F137" s="3"/>
      <c r="G137" s="3"/>
      <c r="H137" s="2">
        <v>41480</v>
      </c>
      <c r="I137" s="12" t="s">
        <v>800</v>
      </c>
      <c r="J137" s="4"/>
    </row>
    <row r="138" spans="1:10" ht="31.5" customHeight="1">
      <c r="A138" s="7"/>
      <c r="B138" s="16" t="s">
        <v>801</v>
      </c>
      <c r="C138" s="35" t="s">
        <v>802</v>
      </c>
      <c r="D138" s="6" t="s">
        <v>803</v>
      </c>
      <c r="E138" s="15" t="s">
        <v>724</v>
      </c>
      <c r="F138" s="3"/>
      <c r="G138" s="3"/>
      <c r="H138" s="2" t="s">
        <v>804</v>
      </c>
      <c r="I138" s="12" t="s">
        <v>805</v>
      </c>
      <c r="J138" s="38"/>
    </row>
    <row r="139" spans="1:10" ht="24.75" customHeight="1">
      <c r="A139" s="7"/>
      <c r="B139" s="16" t="s">
        <v>754</v>
      </c>
      <c r="C139" s="16" t="s">
        <v>795</v>
      </c>
      <c r="D139" s="6" t="s">
        <v>806</v>
      </c>
      <c r="E139" s="1"/>
      <c r="F139" s="31"/>
      <c r="G139" s="3"/>
      <c r="H139" s="13" t="s">
        <v>807</v>
      </c>
      <c r="I139" s="8" t="s">
        <v>808</v>
      </c>
    </row>
    <row r="140" spans="1:10" ht="33" customHeight="1">
      <c r="A140" s="7"/>
      <c r="B140" s="16" t="s">
        <v>721</v>
      </c>
      <c r="C140" s="16" t="s">
        <v>809</v>
      </c>
      <c r="D140" s="6" t="s">
        <v>810</v>
      </c>
      <c r="E140" s="15" t="s">
        <v>18</v>
      </c>
      <c r="F140" s="3"/>
      <c r="G140" s="16"/>
      <c r="H140" s="2"/>
      <c r="I140" s="12" t="s">
        <v>811</v>
      </c>
      <c r="J140" s="4"/>
    </row>
    <row r="141" spans="1:10" ht="23.25" customHeight="1">
      <c r="A141" s="7"/>
      <c r="B141" s="3" t="s">
        <v>30</v>
      </c>
      <c r="C141" s="3" t="s">
        <v>812</v>
      </c>
      <c r="D141" s="1" t="s">
        <v>813</v>
      </c>
      <c r="E141" s="1" t="s">
        <v>814</v>
      </c>
      <c r="F141" s="3"/>
      <c r="G141" s="3" t="s">
        <v>815</v>
      </c>
      <c r="H141" s="2">
        <v>41550</v>
      </c>
      <c r="I141" s="12" t="s">
        <v>816</v>
      </c>
      <c r="J141" s="4"/>
    </row>
    <row r="142" spans="1:10" ht="33.6" customHeight="1">
      <c r="A142" s="9"/>
      <c r="B142" s="16" t="s">
        <v>817</v>
      </c>
      <c r="C142" s="16" t="s">
        <v>818</v>
      </c>
      <c r="D142" s="6" t="s">
        <v>819</v>
      </c>
      <c r="E142" s="15" t="s">
        <v>18</v>
      </c>
      <c r="F142" s="31"/>
      <c r="G142" s="3"/>
      <c r="H142" s="13" t="s">
        <v>820</v>
      </c>
      <c r="I142" s="8" t="s">
        <v>821</v>
      </c>
    </row>
    <row r="143" spans="1:10" ht="23.25" customHeight="1">
      <c r="A143" s="7"/>
      <c r="B143" s="3" t="s">
        <v>822</v>
      </c>
      <c r="C143" s="3" t="s">
        <v>823</v>
      </c>
      <c r="D143" s="1" t="s">
        <v>824</v>
      </c>
      <c r="E143" s="1"/>
      <c r="F143" s="3"/>
      <c r="G143" s="16" t="s">
        <v>825</v>
      </c>
      <c r="H143" s="2">
        <v>41733</v>
      </c>
      <c r="I143" s="12" t="s">
        <v>826</v>
      </c>
    </row>
    <row r="144" spans="1:10" ht="24.75" customHeight="1">
      <c r="A144" s="7"/>
      <c r="B144" s="16" t="s">
        <v>827</v>
      </c>
      <c r="C144" s="16" t="s">
        <v>828</v>
      </c>
      <c r="D144" s="6" t="s">
        <v>829</v>
      </c>
      <c r="E144" s="15" t="s">
        <v>830</v>
      </c>
      <c r="F144" s="16"/>
      <c r="G144" s="16"/>
      <c r="H144" s="2">
        <v>41617</v>
      </c>
      <c r="I144" s="12" t="s">
        <v>831</v>
      </c>
    </row>
    <row r="145" spans="1:9" ht="31.5" customHeight="1">
      <c r="A145" s="7"/>
      <c r="B145" s="16" t="s">
        <v>687</v>
      </c>
      <c r="C145" s="35" t="s">
        <v>832</v>
      </c>
      <c r="D145" s="6" t="s">
        <v>833</v>
      </c>
      <c r="E145" s="15" t="s">
        <v>830</v>
      </c>
      <c r="F145" s="3"/>
      <c r="G145" s="3"/>
      <c r="H145" s="2" t="s">
        <v>834</v>
      </c>
      <c r="I145" s="12" t="s">
        <v>835</v>
      </c>
    </row>
    <row r="146" spans="1:9" ht="33.6" customHeight="1">
      <c r="A146" s="9"/>
      <c r="B146" s="16" t="s">
        <v>836</v>
      </c>
      <c r="C146" s="16" t="s">
        <v>837</v>
      </c>
      <c r="D146" s="6" t="s">
        <v>838</v>
      </c>
      <c r="E146" s="15"/>
      <c r="F146" s="31"/>
      <c r="G146" s="3"/>
      <c r="H146" s="13">
        <v>41689</v>
      </c>
      <c r="I146" s="8" t="s">
        <v>839</v>
      </c>
    </row>
    <row r="147" spans="1:9" ht="24.75" customHeight="1">
      <c r="A147" s="7"/>
      <c r="B147" s="16" t="s">
        <v>840</v>
      </c>
      <c r="C147" s="15" t="s">
        <v>841</v>
      </c>
      <c r="D147" s="6"/>
      <c r="E147" s="15" t="s">
        <v>89</v>
      </c>
      <c r="F147" s="16"/>
      <c r="G147" s="16"/>
      <c r="H147" s="2">
        <v>41516</v>
      </c>
      <c r="I147" s="12" t="s">
        <v>842</v>
      </c>
    </row>
    <row r="148" spans="1:9" ht="24.75" customHeight="1">
      <c r="A148" s="7"/>
      <c r="B148" s="16" t="s">
        <v>843</v>
      </c>
      <c r="C148" s="16" t="s">
        <v>844</v>
      </c>
      <c r="D148" s="16" t="s">
        <v>845</v>
      </c>
      <c r="E148" s="15" t="s">
        <v>80</v>
      </c>
      <c r="F148" s="16"/>
      <c r="G148" s="16"/>
      <c r="H148" s="2">
        <v>41813</v>
      </c>
      <c r="I148" s="12" t="s">
        <v>846</v>
      </c>
    </row>
    <row r="149" spans="1:9" ht="31.5" customHeight="1">
      <c r="A149" s="7"/>
      <c r="B149" s="16" t="s">
        <v>579</v>
      </c>
      <c r="C149" s="35" t="s">
        <v>847</v>
      </c>
      <c r="D149" s="6" t="s">
        <v>848</v>
      </c>
      <c r="E149" s="15" t="s">
        <v>849</v>
      </c>
      <c r="F149" s="3"/>
      <c r="G149" s="3"/>
      <c r="H149" s="2">
        <v>41796</v>
      </c>
      <c r="I149" s="12" t="s">
        <v>850</v>
      </c>
    </row>
    <row r="150" spans="1:9" ht="31.5" customHeight="1">
      <c r="A150" s="7"/>
      <c r="B150" s="16" t="s">
        <v>791</v>
      </c>
      <c r="C150" s="35" t="s">
        <v>851</v>
      </c>
      <c r="D150" s="6" t="s">
        <v>852</v>
      </c>
      <c r="E150" s="15" t="s">
        <v>849</v>
      </c>
      <c r="F150" s="3"/>
      <c r="G150" s="3" t="s">
        <v>853</v>
      </c>
      <c r="H150" s="2">
        <v>41718</v>
      </c>
      <c r="I150" s="12" t="s">
        <v>854</v>
      </c>
    </row>
    <row r="151" spans="1:9" ht="24.75" customHeight="1">
      <c r="A151" s="7"/>
      <c r="B151" s="16" t="s">
        <v>855</v>
      </c>
      <c r="C151" s="16" t="s">
        <v>856</v>
      </c>
      <c r="D151" s="6" t="s">
        <v>857</v>
      </c>
      <c r="E151" s="15" t="s">
        <v>858</v>
      </c>
      <c r="F151" s="16"/>
      <c r="G151" s="16"/>
      <c r="H151" s="2">
        <v>41639</v>
      </c>
      <c r="I151" s="12" t="s">
        <v>859</v>
      </c>
    </row>
    <row r="152" spans="1:9" s="40" customFormat="1" ht="29.25" customHeight="1">
      <c r="A152" s="6"/>
      <c r="B152" s="6" t="s">
        <v>860</v>
      </c>
      <c r="C152" s="6" t="s">
        <v>861</v>
      </c>
      <c r="D152" s="6" t="s">
        <v>862</v>
      </c>
      <c r="E152" s="6"/>
      <c r="F152" s="6"/>
      <c r="G152" s="6"/>
      <c r="H152" s="39" t="s">
        <v>863</v>
      </c>
      <c r="I152" s="8" t="s">
        <v>864</v>
      </c>
    </row>
    <row r="153" spans="1:9" ht="23.25" customHeight="1">
      <c r="A153" s="7"/>
      <c r="B153" s="3" t="s">
        <v>75</v>
      </c>
      <c r="C153" s="3" t="s">
        <v>865</v>
      </c>
      <c r="D153" s="1" t="s">
        <v>866</v>
      </c>
      <c r="E153" s="1" t="s">
        <v>724</v>
      </c>
      <c r="F153" s="3"/>
      <c r="G153" s="3"/>
      <c r="H153" s="2">
        <v>41758</v>
      </c>
      <c r="I153" s="12" t="s">
        <v>867</v>
      </c>
    </row>
    <row r="154" spans="1:9" ht="31.5" customHeight="1">
      <c r="A154" s="7"/>
      <c r="B154" s="16" t="s">
        <v>267</v>
      </c>
      <c r="C154" s="16" t="s">
        <v>868</v>
      </c>
      <c r="D154" s="6" t="s">
        <v>869</v>
      </c>
      <c r="E154" s="15"/>
      <c r="F154" s="3"/>
      <c r="G154" s="3"/>
      <c r="H154" s="2" t="s">
        <v>870</v>
      </c>
      <c r="I154" s="12" t="s">
        <v>871</v>
      </c>
    </row>
    <row r="155" spans="1:9" ht="33" customHeight="1">
      <c r="A155" s="7"/>
      <c r="B155" s="16" t="s">
        <v>721</v>
      </c>
      <c r="C155" s="16" t="s">
        <v>872</v>
      </c>
      <c r="D155" s="6" t="s">
        <v>873</v>
      </c>
      <c r="E155" s="15" t="s">
        <v>18</v>
      </c>
      <c r="F155" s="3"/>
      <c r="G155" s="16"/>
      <c r="H155" s="41" t="s">
        <v>874</v>
      </c>
      <c r="I155" s="12" t="s">
        <v>875</v>
      </c>
    </row>
    <row r="156" spans="1:9" ht="24.75" customHeight="1">
      <c r="A156" s="7"/>
      <c r="B156" s="16" t="s">
        <v>19</v>
      </c>
      <c r="C156" s="16" t="s">
        <v>876</v>
      </c>
      <c r="D156" s="6" t="s">
        <v>877</v>
      </c>
      <c r="E156" s="1"/>
      <c r="F156" s="31"/>
      <c r="G156" s="3"/>
      <c r="H156" s="13"/>
      <c r="I156" s="8" t="s">
        <v>878</v>
      </c>
    </row>
    <row r="157" spans="1:9" ht="24.75" customHeight="1">
      <c r="A157" s="7"/>
      <c r="B157" s="16" t="s">
        <v>879</v>
      </c>
      <c r="C157" s="16" t="s">
        <v>880</v>
      </c>
      <c r="D157" s="6" t="s">
        <v>881</v>
      </c>
      <c r="E157" s="1" t="s">
        <v>15</v>
      </c>
      <c r="F157" s="31"/>
      <c r="G157" s="3"/>
      <c r="H157" s="13" t="s">
        <v>882</v>
      </c>
      <c r="I157" s="8" t="s">
        <v>883</v>
      </c>
    </row>
    <row r="158" spans="1:9" ht="31.5" customHeight="1">
      <c r="A158" s="7"/>
      <c r="B158" s="3" t="s">
        <v>884</v>
      </c>
      <c r="C158" s="3" t="s">
        <v>885</v>
      </c>
      <c r="D158" s="6" t="s">
        <v>886</v>
      </c>
      <c r="E158" s="15" t="s">
        <v>44</v>
      </c>
      <c r="F158" s="3"/>
      <c r="G158" s="3"/>
      <c r="H158" s="41" t="s">
        <v>887</v>
      </c>
      <c r="I158" s="12" t="s">
        <v>888</v>
      </c>
    </row>
    <row r="159" spans="1:9" ht="24.75" customHeight="1">
      <c r="A159" s="7"/>
      <c r="B159" s="16" t="s">
        <v>889</v>
      </c>
      <c r="C159" s="16" t="s">
        <v>890</v>
      </c>
      <c r="D159" s="6" t="s">
        <v>891</v>
      </c>
      <c r="E159" s="15"/>
      <c r="F159" s="16"/>
      <c r="G159" s="16"/>
      <c r="H159" s="2" t="s">
        <v>892</v>
      </c>
      <c r="I159" s="12" t="s">
        <v>893</v>
      </c>
    </row>
    <row r="160" spans="1:9" ht="41.25" customHeight="1">
      <c r="A160" s="7"/>
      <c r="B160" s="3" t="s">
        <v>261</v>
      </c>
      <c r="C160" s="3" t="s">
        <v>894</v>
      </c>
      <c r="D160" s="6" t="s">
        <v>895</v>
      </c>
      <c r="E160" s="6" t="s">
        <v>895</v>
      </c>
      <c r="F160" s="3" t="s">
        <v>896</v>
      </c>
      <c r="G160" s="3"/>
      <c r="H160" s="32" t="s">
        <v>897</v>
      </c>
      <c r="I160" s="12" t="s">
        <v>898</v>
      </c>
    </row>
    <row r="161" spans="1:12" ht="31.5" customHeight="1">
      <c r="A161" s="7"/>
      <c r="B161" s="16" t="s">
        <v>899</v>
      </c>
      <c r="C161" s="35" t="s">
        <v>900</v>
      </c>
      <c r="D161" s="6" t="s">
        <v>901</v>
      </c>
      <c r="E161" s="15" t="s">
        <v>902</v>
      </c>
      <c r="F161" s="3"/>
      <c r="G161" s="3"/>
      <c r="H161" s="2" t="s">
        <v>903</v>
      </c>
      <c r="I161" s="12" t="s">
        <v>904</v>
      </c>
    </row>
    <row r="162" spans="1:12" ht="24.75" customHeight="1">
      <c r="A162" s="7"/>
      <c r="B162" s="16" t="s">
        <v>905</v>
      </c>
      <c r="C162" s="16" t="s">
        <v>906</v>
      </c>
      <c r="D162" s="6" t="s">
        <v>824</v>
      </c>
      <c r="E162" s="6" t="s">
        <v>824</v>
      </c>
      <c r="F162" s="16"/>
      <c r="G162" s="16"/>
      <c r="H162" s="2" t="s">
        <v>907</v>
      </c>
      <c r="I162" s="12" t="s">
        <v>904</v>
      </c>
    </row>
    <row r="163" spans="1:12" s="40" customFormat="1" ht="29.25" customHeight="1">
      <c r="A163" s="6"/>
      <c r="B163" s="6" t="s">
        <v>481</v>
      </c>
      <c r="C163" s="6" t="s">
        <v>908</v>
      </c>
      <c r="D163" s="6" t="s">
        <v>498</v>
      </c>
      <c r="E163" s="6" t="s">
        <v>498</v>
      </c>
      <c r="F163" s="6"/>
      <c r="G163" s="6"/>
      <c r="H163" s="39" t="s">
        <v>909</v>
      </c>
      <c r="I163" s="8" t="s">
        <v>910</v>
      </c>
    </row>
    <row r="164" spans="1:12" ht="26.25" customHeight="1">
      <c r="A164" s="9"/>
      <c r="B164" s="16" t="s">
        <v>911</v>
      </c>
      <c r="C164" s="16" t="s">
        <v>912</v>
      </c>
      <c r="D164" s="6" t="s">
        <v>913</v>
      </c>
      <c r="E164" s="6" t="s">
        <v>913</v>
      </c>
      <c r="F164" s="31"/>
      <c r="G164" s="3"/>
      <c r="H164" s="13" t="s">
        <v>914</v>
      </c>
      <c r="I164" s="8" t="s">
        <v>915</v>
      </c>
    </row>
    <row r="165" spans="1:12" ht="26.25" customHeight="1">
      <c r="A165" s="9"/>
      <c r="B165" s="16" t="s">
        <v>635</v>
      </c>
      <c r="C165" s="16" t="s">
        <v>916</v>
      </c>
      <c r="D165" s="6" t="s">
        <v>917</v>
      </c>
      <c r="E165" s="6" t="s">
        <v>917</v>
      </c>
      <c r="F165" s="31"/>
      <c r="G165" s="3"/>
      <c r="H165" s="13">
        <v>41649</v>
      </c>
      <c r="I165" s="8" t="s">
        <v>918</v>
      </c>
      <c r="L165" s="40"/>
    </row>
    <row r="166" spans="1:12" s="40" customFormat="1" ht="29.25" customHeight="1">
      <c r="A166" s="6"/>
      <c r="B166" s="6" t="s">
        <v>919</v>
      </c>
      <c r="C166" s="1" t="s">
        <v>920</v>
      </c>
      <c r="D166" s="6" t="s">
        <v>921</v>
      </c>
      <c r="E166" s="6" t="s">
        <v>921</v>
      </c>
      <c r="F166" s="6"/>
      <c r="G166" s="6"/>
      <c r="H166" s="39" t="s">
        <v>922</v>
      </c>
      <c r="I166" s="8" t="s">
        <v>923</v>
      </c>
    </row>
    <row r="167" spans="1:12" s="40" customFormat="1" ht="29.25" customHeight="1">
      <c r="A167" s="6"/>
      <c r="B167" s="6" t="s">
        <v>924</v>
      </c>
      <c r="C167" s="6" t="s">
        <v>925</v>
      </c>
      <c r="D167" s="6" t="s">
        <v>926</v>
      </c>
      <c r="E167" s="6" t="s">
        <v>926</v>
      </c>
      <c r="F167" s="6"/>
      <c r="G167" s="6"/>
      <c r="H167" s="39"/>
      <c r="I167" s="8" t="s">
        <v>927</v>
      </c>
    </row>
    <row r="168" spans="1:12" ht="24.75" customHeight="1">
      <c r="A168" s="7"/>
      <c r="B168" s="16" t="s">
        <v>412</v>
      </c>
      <c r="C168" s="16" t="s">
        <v>928</v>
      </c>
      <c r="D168" s="34" t="s">
        <v>929</v>
      </c>
      <c r="E168" s="6" t="s">
        <v>929</v>
      </c>
      <c r="F168" s="16"/>
      <c r="G168" s="16"/>
      <c r="H168" s="2" t="s">
        <v>930</v>
      </c>
      <c r="I168" s="12" t="s">
        <v>898</v>
      </c>
    </row>
    <row r="169" spans="1:12" s="40" customFormat="1" ht="29.25" customHeight="1">
      <c r="A169" s="6"/>
      <c r="B169" s="6" t="s">
        <v>931</v>
      </c>
      <c r="C169" s="6" t="s">
        <v>932</v>
      </c>
      <c r="D169" s="6"/>
      <c r="E169" s="6" t="s">
        <v>18</v>
      </c>
      <c r="F169" s="6"/>
      <c r="G169" s="6"/>
      <c r="H169" s="39" t="s">
        <v>933</v>
      </c>
      <c r="I169" s="42" t="s">
        <v>934</v>
      </c>
    </row>
    <row r="170" spans="1:12" ht="24.75" customHeight="1">
      <c r="A170" s="7"/>
      <c r="B170" s="16" t="s">
        <v>935</v>
      </c>
      <c r="C170" s="16" t="s">
        <v>936</v>
      </c>
      <c r="D170" s="6" t="s">
        <v>937</v>
      </c>
      <c r="E170" s="6" t="s">
        <v>937</v>
      </c>
      <c r="F170" s="31"/>
      <c r="G170" s="3"/>
      <c r="H170" s="13">
        <v>41351</v>
      </c>
      <c r="I170" s="8" t="s">
        <v>938</v>
      </c>
    </row>
    <row r="171" spans="1:12" ht="24.75" customHeight="1">
      <c r="A171" s="7"/>
      <c r="B171" s="16" t="s">
        <v>935</v>
      </c>
      <c r="C171" s="16" t="s">
        <v>936</v>
      </c>
      <c r="D171" s="6" t="s">
        <v>939</v>
      </c>
      <c r="E171" s="6" t="s">
        <v>939</v>
      </c>
      <c r="F171" s="31"/>
      <c r="G171" s="3"/>
      <c r="H171" s="13">
        <v>41422</v>
      </c>
      <c r="I171" s="8" t="s">
        <v>940</v>
      </c>
    </row>
    <row r="172" spans="1:12" ht="24.75" customHeight="1">
      <c r="A172" s="7"/>
      <c r="B172" s="16" t="s">
        <v>935</v>
      </c>
      <c r="C172" s="16" t="s">
        <v>936</v>
      </c>
      <c r="D172" s="6" t="s">
        <v>941</v>
      </c>
      <c r="E172" s="1" t="s">
        <v>15</v>
      </c>
      <c r="F172" s="31"/>
      <c r="G172" s="3"/>
      <c r="H172" s="13">
        <v>41624</v>
      </c>
      <c r="I172" s="8" t="s">
        <v>942</v>
      </c>
    </row>
    <row r="173" spans="1:12" ht="24.75" customHeight="1">
      <c r="A173" s="7"/>
      <c r="B173" s="3" t="s">
        <v>943</v>
      </c>
      <c r="C173" s="3" t="s">
        <v>944</v>
      </c>
      <c r="D173" s="6" t="s">
        <v>15</v>
      </c>
      <c r="E173" s="15"/>
      <c r="F173" s="3"/>
      <c r="G173" s="3"/>
      <c r="H173" s="2" t="s">
        <v>945</v>
      </c>
      <c r="I173" s="12" t="s">
        <v>946</v>
      </c>
    </row>
    <row r="174" spans="1:12" s="40" customFormat="1" ht="29.25" customHeight="1">
      <c r="A174" s="6"/>
      <c r="B174" s="6" t="s">
        <v>931</v>
      </c>
      <c r="C174" s="6" t="s">
        <v>932</v>
      </c>
      <c r="D174" s="6"/>
      <c r="E174" s="6" t="s">
        <v>947</v>
      </c>
      <c r="F174" s="6"/>
      <c r="G174" s="6"/>
      <c r="H174" s="39" t="s">
        <v>948</v>
      </c>
      <c r="I174" s="42">
        <v>41995</v>
      </c>
    </row>
    <row r="175" spans="1:12" s="40" customFormat="1" ht="29.25" customHeight="1">
      <c r="A175" s="6"/>
      <c r="B175" s="6" t="s">
        <v>322</v>
      </c>
      <c r="C175" s="6" t="s">
        <v>949</v>
      </c>
      <c r="D175" s="6" t="s">
        <v>756</v>
      </c>
      <c r="E175" s="6" t="s">
        <v>950</v>
      </c>
      <c r="F175" s="6"/>
      <c r="G175" s="6"/>
      <c r="H175" s="39" t="s">
        <v>951</v>
      </c>
      <c r="I175" s="8" t="s">
        <v>952</v>
      </c>
    </row>
    <row r="176" spans="1:12" s="40" customFormat="1" ht="29.25" customHeight="1">
      <c r="A176" s="6"/>
      <c r="B176" s="6" t="s">
        <v>953</v>
      </c>
      <c r="C176" s="6" t="s">
        <v>954</v>
      </c>
      <c r="D176" s="6" t="s">
        <v>89</v>
      </c>
      <c r="E176" s="6" t="s">
        <v>89</v>
      </c>
      <c r="F176" s="6"/>
      <c r="G176" s="6"/>
      <c r="H176" s="39" t="s">
        <v>955</v>
      </c>
      <c r="I176" s="8" t="s">
        <v>956</v>
      </c>
    </row>
    <row r="177" spans="1:12" ht="26.25" customHeight="1">
      <c r="A177" s="9"/>
      <c r="B177" s="16" t="s">
        <v>957</v>
      </c>
      <c r="C177" s="16" t="s">
        <v>958</v>
      </c>
      <c r="D177" s="6"/>
      <c r="E177" s="1" t="s">
        <v>959</v>
      </c>
      <c r="F177" s="31"/>
      <c r="G177" s="3" t="s">
        <v>960</v>
      </c>
      <c r="H177" s="13"/>
      <c r="I177" s="8" t="s">
        <v>961</v>
      </c>
    </row>
    <row r="178" spans="1:12" ht="38.25">
      <c r="A178" s="7"/>
      <c r="B178" s="16" t="s">
        <v>30</v>
      </c>
      <c r="C178" s="16" t="s">
        <v>962</v>
      </c>
      <c r="D178" s="6" t="s">
        <v>963</v>
      </c>
      <c r="E178" s="1" t="s">
        <v>963</v>
      </c>
      <c r="F178" s="31" t="s">
        <v>964</v>
      </c>
      <c r="G178" s="3"/>
      <c r="H178" s="13">
        <v>41837</v>
      </c>
      <c r="I178" s="8" t="s">
        <v>965</v>
      </c>
    </row>
    <row r="179" spans="1:12" ht="24.75" customHeight="1">
      <c r="A179" s="7"/>
      <c r="B179" s="16" t="s">
        <v>966</v>
      </c>
      <c r="C179" s="16" t="s">
        <v>967</v>
      </c>
      <c r="D179" s="34">
        <v>41873</v>
      </c>
      <c r="E179" s="15" t="s">
        <v>18</v>
      </c>
      <c r="F179" s="16"/>
      <c r="G179" s="16" t="s">
        <v>968</v>
      </c>
      <c r="H179" s="2">
        <v>41873</v>
      </c>
      <c r="I179" s="12" t="s">
        <v>969</v>
      </c>
      <c r="L179" s="31"/>
    </row>
    <row r="180" spans="1:12" ht="31.5" customHeight="1">
      <c r="A180" s="7"/>
      <c r="B180" s="16" t="s">
        <v>721</v>
      </c>
      <c r="C180" s="16" t="s">
        <v>970</v>
      </c>
      <c r="D180" s="6" t="s">
        <v>971</v>
      </c>
      <c r="E180" s="15" t="s">
        <v>18</v>
      </c>
      <c r="F180" s="3"/>
      <c r="G180" s="16" t="s">
        <v>968</v>
      </c>
      <c r="H180" s="2">
        <v>41828</v>
      </c>
      <c r="I180" s="12" t="s">
        <v>972</v>
      </c>
    </row>
    <row r="181" spans="1:12" ht="30" customHeight="1">
      <c r="A181" s="6"/>
      <c r="B181" s="6" t="s">
        <v>566</v>
      </c>
      <c r="C181" s="1" t="s">
        <v>973</v>
      </c>
      <c r="D181" s="6" t="s">
        <v>974</v>
      </c>
      <c r="E181" s="6" t="s">
        <v>18</v>
      </c>
      <c r="F181" s="6"/>
      <c r="G181" s="6"/>
      <c r="H181" s="39">
        <v>41927</v>
      </c>
      <c r="I181" s="8" t="s">
        <v>975</v>
      </c>
    </row>
    <row r="182" spans="1:12" ht="27" customHeight="1">
      <c r="A182" s="7"/>
      <c r="B182" s="3" t="s">
        <v>976</v>
      </c>
      <c r="C182" s="3" t="s">
        <v>977</v>
      </c>
      <c r="D182" s="6" t="s">
        <v>89</v>
      </c>
      <c r="E182" s="1" t="s">
        <v>89</v>
      </c>
      <c r="F182" s="3"/>
      <c r="G182" s="3" t="s">
        <v>978</v>
      </c>
      <c r="H182" s="2">
        <v>41960</v>
      </c>
      <c r="I182" s="8" t="s">
        <v>979</v>
      </c>
    </row>
    <row r="183" spans="1:12" ht="30" customHeight="1">
      <c r="A183" s="6"/>
      <c r="B183" s="6" t="s">
        <v>566</v>
      </c>
      <c r="C183" s="1" t="s">
        <v>973</v>
      </c>
      <c r="D183" s="6" t="s">
        <v>980</v>
      </c>
      <c r="E183" s="6" t="s">
        <v>980</v>
      </c>
      <c r="F183" s="6"/>
      <c r="G183" s="6"/>
      <c r="H183" s="39" t="s">
        <v>981</v>
      </c>
      <c r="I183" s="8" t="s">
        <v>982</v>
      </c>
    </row>
    <row r="184" spans="1:12" s="40" customFormat="1" ht="29.25" customHeight="1">
      <c r="A184" s="6"/>
      <c r="B184" s="6" t="s">
        <v>481</v>
      </c>
      <c r="C184" s="6" t="s">
        <v>908</v>
      </c>
      <c r="D184" s="6" t="s">
        <v>983</v>
      </c>
      <c r="E184" s="6" t="s">
        <v>983</v>
      </c>
      <c r="F184" s="6" t="s">
        <v>984</v>
      </c>
      <c r="G184" s="6"/>
      <c r="H184" s="39">
        <v>41807</v>
      </c>
      <c r="I184" s="8" t="s">
        <v>985</v>
      </c>
    </row>
    <row r="185" spans="1:12" s="40" customFormat="1" ht="29.25" customHeight="1">
      <c r="A185" s="6"/>
      <c r="B185" s="6" t="s">
        <v>481</v>
      </c>
      <c r="C185" s="6" t="s">
        <v>908</v>
      </c>
      <c r="D185" s="6" t="s">
        <v>702</v>
      </c>
      <c r="E185" s="6" t="s">
        <v>702</v>
      </c>
      <c r="F185" s="6"/>
      <c r="G185" s="6"/>
      <c r="H185" s="39">
        <v>41855</v>
      </c>
      <c r="I185" s="8" t="s">
        <v>986</v>
      </c>
    </row>
    <row r="186" spans="1:12" ht="31.5" customHeight="1">
      <c r="A186" s="7"/>
      <c r="B186" s="16" t="s">
        <v>87</v>
      </c>
      <c r="C186" s="16" t="s">
        <v>987</v>
      </c>
      <c r="D186" s="6"/>
      <c r="E186" s="15" t="s">
        <v>89</v>
      </c>
      <c r="F186" s="3"/>
      <c r="G186" s="16"/>
      <c r="H186" s="2" t="s">
        <v>988</v>
      </c>
      <c r="I186" s="12" t="s">
        <v>989</v>
      </c>
    </row>
    <row r="187" spans="1:12" ht="31.5" customHeight="1">
      <c r="A187" s="7"/>
      <c r="B187" s="16" t="s">
        <v>87</v>
      </c>
      <c r="C187" s="16" t="s">
        <v>990</v>
      </c>
      <c r="D187" s="6" t="s">
        <v>991</v>
      </c>
      <c r="E187" s="15" t="s">
        <v>89</v>
      </c>
      <c r="F187" s="3"/>
      <c r="G187" s="16"/>
      <c r="H187" s="2" t="s">
        <v>992</v>
      </c>
      <c r="I187" s="12" t="s">
        <v>993</v>
      </c>
    </row>
    <row r="188" spans="1:12" ht="33.6" customHeight="1">
      <c r="A188" s="6"/>
      <c r="B188" s="6" t="s">
        <v>45</v>
      </c>
      <c r="C188" s="6" t="s">
        <v>994</v>
      </c>
      <c r="D188" s="6" t="s">
        <v>18</v>
      </c>
      <c r="E188" s="6" t="s">
        <v>18</v>
      </c>
      <c r="F188" s="6"/>
      <c r="G188" s="6"/>
      <c r="H188" s="39" t="s">
        <v>995</v>
      </c>
      <c r="I188" s="8" t="s">
        <v>996</v>
      </c>
      <c r="L188" s="40"/>
    </row>
    <row r="189" spans="1:12" ht="24.75" customHeight="1">
      <c r="A189" s="7"/>
      <c r="B189" s="16" t="s">
        <v>997</v>
      </c>
      <c r="C189" s="16" t="s">
        <v>998</v>
      </c>
      <c r="D189" s="34" t="s">
        <v>498</v>
      </c>
      <c r="E189" s="15" t="s">
        <v>498</v>
      </c>
      <c r="F189" s="16"/>
      <c r="G189" s="16"/>
      <c r="H189" s="2" t="s">
        <v>999</v>
      </c>
      <c r="I189" s="12" t="s">
        <v>1000</v>
      </c>
      <c r="L189" s="25"/>
    </row>
    <row r="190" spans="1:12" ht="33" customHeight="1">
      <c r="A190" s="9"/>
      <c r="B190" s="16" t="s">
        <v>957</v>
      </c>
      <c r="C190" s="16" t="s">
        <v>958</v>
      </c>
      <c r="D190" s="6" t="s">
        <v>44</v>
      </c>
      <c r="E190" s="1" t="s">
        <v>15</v>
      </c>
      <c r="F190" s="31"/>
      <c r="G190" s="3"/>
      <c r="H190" s="13" t="s">
        <v>1001</v>
      </c>
      <c r="I190" s="8" t="s">
        <v>1002</v>
      </c>
    </row>
    <row r="191" spans="1:12" s="40" customFormat="1" ht="29.25" customHeight="1">
      <c r="A191" s="6"/>
      <c r="B191" s="6" t="s">
        <v>860</v>
      </c>
      <c r="C191" s="6" t="s">
        <v>1003</v>
      </c>
      <c r="D191" s="6" t="s">
        <v>862</v>
      </c>
      <c r="E191" s="6" t="s">
        <v>1004</v>
      </c>
      <c r="F191" s="6"/>
      <c r="G191" s="6"/>
      <c r="H191" s="39" t="s">
        <v>1005</v>
      </c>
      <c r="I191" s="8" t="s">
        <v>1006</v>
      </c>
    </row>
    <row r="192" spans="1:12" ht="33.6" customHeight="1">
      <c r="A192" s="6"/>
      <c r="B192" s="6" t="s">
        <v>1007</v>
      </c>
      <c r="C192" s="6" t="s">
        <v>1008</v>
      </c>
      <c r="D192" s="6" t="s">
        <v>15</v>
      </c>
      <c r="E192" s="6" t="s">
        <v>15</v>
      </c>
      <c r="F192" s="6"/>
      <c r="G192" s="6"/>
      <c r="H192" s="39" t="s">
        <v>1009</v>
      </c>
      <c r="I192" s="8" t="s">
        <v>1010</v>
      </c>
      <c r="L192" s="40"/>
    </row>
    <row r="193" spans="1:12" ht="31.5" customHeight="1">
      <c r="A193" s="7"/>
      <c r="B193" s="16" t="s">
        <v>721</v>
      </c>
      <c r="C193" s="16" t="s">
        <v>1011</v>
      </c>
      <c r="D193" s="6"/>
      <c r="E193" s="15" t="s">
        <v>18</v>
      </c>
      <c r="F193" s="3"/>
      <c r="G193" s="16"/>
      <c r="H193" s="2" t="s">
        <v>1012</v>
      </c>
      <c r="I193" s="12" t="s">
        <v>1013</v>
      </c>
    </row>
    <row r="194" spans="1:12" ht="24.75" customHeight="1">
      <c r="A194" s="7"/>
      <c r="B194" s="16" t="s">
        <v>30</v>
      </c>
      <c r="C194" s="16" t="s">
        <v>962</v>
      </c>
      <c r="D194" s="6" t="s">
        <v>1014</v>
      </c>
      <c r="E194" s="6" t="s">
        <v>1014</v>
      </c>
      <c r="F194" s="31"/>
      <c r="G194" s="3"/>
      <c r="H194" s="13" t="s">
        <v>1015</v>
      </c>
      <c r="I194" s="8" t="s">
        <v>1016</v>
      </c>
    </row>
    <row r="195" spans="1:12" s="40" customFormat="1" ht="29.25" customHeight="1">
      <c r="A195" s="6"/>
      <c r="B195" s="6" t="s">
        <v>628</v>
      </c>
      <c r="C195" s="6" t="s">
        <v>1017</v>
      </c>
      <c r="D195" s="6" t="s">
        <v>18</v>
      </c>
      <c r="E195" s="6" t="s">
        <v>18</v>
      </c>
      <c r="F195" s="6"/>
      <c r="G195" s="6"/>
      <c r="H195" s="39" t="s">
        <v>1018</v>
      </c>
      <c r="I195" s="8" t="s">
        <v>1019</v>
      </c>
    </row>
    <row r="196" spans="1:12" ht="24.75" customHeight="1">
      <c r="A196" s="7"/>
      <c r="B196" s="16" t="s">
        <v>19</v>
      </c>
      <c r="C196" s="16" t="s">
        <v>1020</v>
      </c>
      <c r="D196" s="6" t="s">
        <v>1021</v>
      </c>
      <c r="E196" s="1" t="s">
        <v>18</v>
      </c>
      <c r="F196" s="31"/>
      <c r="G196" s="3"/>
      <c r="H196" s="13" t="s">
        <v>1022</v>
      </c>
      <c r="I196" s="8" t="s">
        <v>1023</v>
      </c>
    </row>
    <row r="197" spans="1:12" s="40" customFormat="1" ht="24.75" customHeight="1">
      <c r="A197" s="46"/>
      <c r="B197" s="16" t="s">
        <v>836</v>
      </c>
      <c r="C197" s="16" t="s">
        <v>1024</v>
      </c>
      <c r="D197" s="44" t="s">
        <v>1025</v>
      </c>
      <c r="E197" s="44"/>
      <c r="F197" s="16"/>
      <c r="G197" s="16"/>
      <c r="H197" s="41" t="s">
        <v>1026</v>
      </c>
      <c r="I197" s="12" t="s">
        <v>1027</v>
      </c>
    </row>
    <row r="198" spans="1:12" s="40" customFormat="1" ht="26.1" customHeight="1">
      <c r="A198" s="46"/>
      <c r="B198" s="16" t="s">
        <v>75</v>
      </c>
      <c r="C198" s="16" t="s">
        <v>1028</v>
      </c>
      <c r="D198" s="44" t="s">
        <v>1029</v>
      </c>
      <c r="E198" s="15"/>
      <c r="F198" s="31"/>
      <c r="G198" s="16" t="s">
        <v>1030</v>
      </c>
      <c r="H198" s="48" t="s">
        <v>1031</v>
      </c>
      <c r="I198" s="8"/>
    </row>
    <row r="199" spans="1:12" s="40" customFormat="1" ht="31.5" customHeight="1">
      <c r="A199" s="46"/>
      <c r="B199" s="16" t="s">
        <v>1032</v>
      </c>
      <c r="C199" s="16" t="s">
        <v>1033</v>
      </c>
      <c r="D199" s="44"/>
      <c r="E199" s="15" t="s">
        <v>18</v>
      </c>
      <c r="F199" s="16"/>
      <c r="G199" s="16"/>
      <c r="H199" s="41" t="s">
        <v>1034</v>
      </c>
      <c r="I199" s="12" t="s">
        <v>1035</v>
      </c>
    </row>
    <row r="200" spans="1:12" s="40" customFormat="1" ht="31.5" customHeight="1">
      <c r="A200" s="46"/>
      <c r="B200" s="16" t="s">
        <v>261</v>
      </c>
      <c r="C200" s="16" t="s">
        <v>1036</v>
      </c>
      <c r="D200" s="44" t="s">
        <v>1037</v>
      </c>
      <c r="E200" s="15" t="s">
        <v>15</v>
      </c>
      <c r="F200" s="16"/>
      <c r="G200" s="16"/>
      <c r="H200" s="41" t="s">
        <v>1038</v>
      </c>
      <c r="I200" s="12" t="s">
        <v>1039</v>
      </c>
    </row>
    <row r="201" spans="1:12" s="40" customFormat="1" ht="24.75" customHeight="1">
      <c r="A201" s="46"/>
      <c r="B201" s="16" t="s">
        <v>997</v>
      </c>
      <c r="C201" s="16" t="s">
        <v>1040</v>
      </c>
      <c r="D201" s="47" t="s">
        <v>498</v>
      </c>
      <c r="E201" s="15" t="s">
        <v>1041</v>
      </c>
      <c r="F201" s="16"/>
      <c r="G201" s="16"/>
      <c r="H201" s="41">
        <v>42116</v>
      </c>
      <c r="I201" s="12" t="s">
        <v>1042</v>
      </c>
      <c r="L201" s="25"/>
    </row>
    <row r="202" spans="1:12" s="40" customFormat="1" ht="31.5" customHeight="1">
      <c r="A202" s="46"/>
      <c r="B202" s="16" t="s">
        <v>87</v>
      </c>
      <c r="C202" s="16" t="s">
        <v>1043</v>
      </c>
      <c r="D202" s="44"/>
      <c r="E202" s="15" t="s">
        <v>89</v>
      </c>
      <c r="F202" s="16"/>
      <c r="G202" s="16"/>
      <c r="H202" s="41">
        <v>42119</v>
      </c>
      <c r="I202" s="12" t="s">
        <v>1044</v>
      </c>
    </row>
    <row r="203" spans="1:12" s="40" customFormat="1" ht="31.5" customHeight="1">
      <c r="A203" s="46"/>
      <c r="B203" s="16" t="s">
        <v>87</v>
      </c>
      <c r="C203" s="16" t="s">
        <v>1045</v>
      </c>
      <c r="D203" s="44"/>
      <c r="E203" s="15" t="s">
        <v>89</v>
      </c>
      <c r="F203" s="16"/>
      <c r="G203" s="16"/>
      <c r="H203" s="41">
        <v>42110</v>
      </c>
      <c r="I203" s="12" t="s">
        <v>1042</v>
      </c>
    </row>
    <row r="204" spans="1:12" s="40" customFormat="1" ht="31.5" customHeight="1">
      <c r="A204" s="46"/>
      <c r="B204" s="16" t="s">
        <v>87</v>
      </c>
      <c r="C204" s="16" t="s">
        <v>1046</v>
      </c>
      <c r="D204" s="44"/>
      <c r="E204" s="15" t="s">
        <v>89</v>
      </c>
      <c r="F204" s="16"/>
      <c r="G204" s="16"/>
      <c r="H204" s="41">
        <v>42059</v>
      </c>
      <c r="I204" s="12" t="s">
        <v>1047</v>
      </c>
    </row>
    <row r="205" spans="1:12" s="40" customFormat="1" ht="26.25" customHeight="1">
      <c r="A205" s="46"/>
      <c r="B205" s="16" t="s">
        <v>1048</v>
      </c>
      <c r="C205" s="15" t="s">
        <v>1049</v>
      </c>
      <c r="D205" s="44" t="s">
        <v>1050</v>
      </c>
      <c r="E205" s="15" t="s">
        <v>44</v>
      </c>
      <c r="F205" s="16"/>
      <c r="G205" s="16"/>
      <c r="H205" s="41" t="s">
        <v>1051</v>
      </c>
      <c r="I205" s="12" t="s">
        <v>1052</v>
      </c>
    </row>
    <row r="206" spans="1:12" s="40" customFormat="1" ht="25.35" customHeight="1">
      <c r="A206" s="46"/>
      <c r="B206" s="16" t="s">
        <v>30</v>
      </c>
      <c r="C206" s="16" t="s">
        <v>1053</v>
      </c>
      <c r="D206" s="44" t="s">
        <v>1021</v>
      </c>
      <c r="E206" s="15" t="s">
        <v>18</v>
      </c>
      <c r="F206" s="31"/>
      <c r="G206" s="16"/>
      <c r="H206" s="48" t="s">
        <v>1054</v>
      </c>
      <c r="I206" s="8" t="s">
        <v>1055</v>
      </c>
    </row>
    <row r="207" spans="1:12" s="40" customFormat="1" ht="31.5" customHeight="1">
      <c r="A207" s="46"/>
      <c r="B207" s="16" t="s">
        <v>579</v>
      </c>
      <c r="C207" s="16" t="s">
        <v>1056</v>
      </c>
      <c r="D207" s="44" t="s">
        <v>1057</v>
      </c>
      <c r="E207" s="15" t="s">
        <v>1057</v>
      </c>
      <c r="F207" s="16"/>
      <c r="G207" s="16"/>
      <c r="H207" s="41" t="s">
        <v>1058</v>
      </c>
      <c r="I207" s="12" t="s">
        <v>1059</v>
      </c>
    </row>
    <row r="208" spans="1:12" s="40" customFormat="1" ht="31.5" customHeight="1">
      <c r="A208" s="46"/>
      <c r="B208" s="16" t="s">
        <v>579</v>
      </c>
      <c r="C208" s="16" t="s">
        <v>1056</v>
      </c>
      <c r="D208" s="44" t="s">
        <v>1060</v>
      </c>
      <c r="E208" s="15" t="s">
        <v>1060</v>
      </c>
      <c r="F208" s="16"/>
      <c r="G208" s="16"/>
      <c r="H208" s="41" t="s">
        <v>1061</v>
      </c>
      <c r="I208" s="12" t="s">
        <v>1059</v>
      </c>
    </row>
    <row r="209" spans="1:11" s="40" customFormat="1" ht="24.75" customHeight="1">
      <c r="A209" s="46"/>
      <c r="B209" s="16" t="s">
        <v>19</v>
      </c>
      <c r="C209" s="16" t="s">
        <v>1062</v>
      </c>
      <c r="D209" s="44" t="s">
        <v>1021</v>
      </c>
      <c r="E209" s="15" t="s">
        <v>18</v>
      </c>
      <c r="F209" s="31"/>
      <c r="G209" s="16"/>
      <c r="H209" s="48">
        <v>41934</v>
      </c>
      <c r="I209" s="8" t="s">
        <v>1063</v>
      </c>
    </row>
    <row r="210" spans="1:11" s="40" customFormat="1" ht="17.850000000000001" customHeight="1">
      <c r="A210" s="46"/>
      <c r="B210" s="16" t="s">
        <v>30</v>
      </c>
      <c r="C210" s="16" t="s">
        <v>1064</v>
      </c>
      <c r="D210" s="44" t="s">
        <v>1021</v>
      </c>
      <c r="E210" s="15" t="s">
        <v>18</v>
      </c>
      <c r="F210" s="31"/>
      <c r="G210" s="16"/>
      <c r="H210" s="48" t="s">
        <v>1065</v>
      </c>
      <c r="I210" s="8" t="s">
        <v>1066</v>
      </c>
    </row>
    <row r="211" spans="1:11" s="40" customFormat="1" ht="24.75" customHeight="1">
      <c r="A211" s="46"/>
      <c r="B211" s="16" t="s">
        <v>997</v>
      </c>
      <c r="C211" s="16" t="s">
        <v>1067</v>
      </c>
      <c r="D211" s="47" t="s">
        <v>498</v>
      </c>
      <c r="E211" s="15" t="s">
        <v>498</v>
      </c>
      <c r="F211" s="16"/>
      <c r="G211" s="16"/>
      <c r="H211" s="41">
        <v>42059</v>
      </c>
      <c r="I211" s="12" t="s">
        <v>1068</v>
      </c>
      <c r="K211" s="25"/>
    </row>
    <row r="212" spans="1:11" s="40" customFormat="1" ht="25.5">
      <c r="A212" s="43"/>
      <c r="B212" s="44" t="s">
        <v>741</v>
      </c>
      <c r="C212" s="44" t="s">
        <v>1069</v>
      </c>
      <c r="D212" s="44" t="s">
        <v>1070</v>
      </c>
      <c r="E212" s="44" t="s">
        <v>1071</v>
      </c>
      <c r="F212" s="44"/>
      <c r="G212" s="44" t="s">
        <v>1072</v>
      </c>
      <c r="H212" s="45" t="s">
        <v>1073</v>
      </c>
      <c r="I212" s="42"/>
    </row>
    <row r="213" spans="1:11" s="40" customFormat="1" ht="24.75" customHeight="1">
      <c r="A213" s="46"/>
      <c r="B213" s="16" t="s">
        <v>19</v>
      </c>
      <c r="C213" s="16" t="s">
        <v>1074</v>
      </c>
      <c r="D213" s="44" t="s">
        <v>1021</v>
      </c>
      <c r="E213" s="15" t="s">
        <v>18</v>
      </c>
      <c r="F213" s="31"/>
      <c r="G213" s="16"/>
      <c r="H213" s="48" t="s">
        <v>1075</v>
      </c>
      <c r="I213" s="8" t="s">
        <v>1076</v>
      </c>
    </row>
    <row r="214" spans="1:11" s="40" customFormat="1" ht="24.75" customHeight="1">
      <c r="A214" s="46"/>
      <c r="B214" s="16" t="s">
        <v>1077</v>
      </c>
      <c r="C214" s="16" t="s">
        <v>1078</v>
      </c>
      <c r="D214" s="44" t="s">
        <v>44</v>
      </c>
      <c r="E214" s="44" t="s">
        <v>15</v>
      </c>
      <c r="F214" s="16"/>
      <c r="G214" s="16"/>
      <c r="H214" s="41" t="s">
        <v>1079</v>
      </c>
      <c r="I214" s="12" t="s">
        <v>1080</v>
      </c>
    </row>
    <row r="215" spans="1:11" s="40" customFormat="1" ht="26.25" customHeight="1">
      <c r="A215" s="46"/>
      <c r="B215" s="16" t="s">
        <v>997</v>
      </c>
      <c r="C215" s="16" t="s">
        <v>1081</v>
      </c>
      <c r="D215" s="47" t="s">
        <v>498</v>
      </c>
      <c r="E215" s="15" t="s">
        <v>1082</v>
      </c>
      <c r="F215" s="16"/>
      <c r="G215" s="16"/>
      <c r="H215" s="41" t="s">
        <v>1083</v>
      </c>
      <c r="I215" s="12" t="s">
        <v>1084</v>
      </c>
    </row>
    <row r="216" spans="1:11" s="40" customFormat="1" ht="23.1" customHeight="1">
      <c r="A216" s="44"/>
      <c r="B216" s="44" t="s">
        <v>90</v>
      </c>
      <c r="C216" s="44" t="s">
        <v>1085</v>
      </c>
      <c r="D216" s="44" t="s">
        <v>1086</v>
      </c>
      <c r="E216" s="44" t="s">
        <v>44</v>
      </c>
      <c r="F216" s="44"/>
      <c r="G216" s="44" t="s">
        <v>1087</v>
      </c>
      <c r="H216" s="45">
        <v>42174</v>
      </c>
      <c r="I216" s="42" t="s">
        <v>1088</v>
      </c>
    </row>
    <row r="217" spans="1:11" s="40" customFormat="1" ht="26.25" customHeight="1">
      <c r="A217" s="46"/>
      <c r="B217" s="16" t="s">
        <v>1089</v>
      </c>
      <c r="C217" s="15" t="s">
        <v>1090</v>
      </c>
      <c r="D217" s="44" t="s">
        <v>1091</v>
      </c>
      <c r="E217" s="15" t="s">
        <v>1092</v>
      </c>
      <c r="F217" s="16" t="s">
        <v>1093</v>
      </c>
      <c r="G217" s="16"/>
      <c r="H217" s="41">
        <v>41730</v>
      </c>
      <c r="I217" s="12" t="s">
        <v>1052</v>
      </c>
    </row>
    <row r="218" spans="1:11" s="40" customFormat="1" ht="29.25" customHeight="1">
      <c r="A218" s="44"/>
      <c r="B218" s="44" t="s">
        <v>628</v>
      </c>
      <c r="C218" s="44" t="s">
        <v>1017</v>
      </c>
      <c r="D218" s="44" t="s">
        <v>15</v>
      </c>
      <c r="E218" s="44" t="s">
        <v>44</v>
      </c>
      <c r="F218" s="44"/>
      <c r="G218" s="44"/>
      <c r="H218" s="45" t="s">
        <v>1094</v>
      </c>
      <c r="I218" s="8" t="s">
        <v>1095</v>
      </c>
    </row>
    <row r="219" spans="1:11" s="40" customFormat="1" ht="29.25" customHeight="1">
      <c r="A219" s="44"/>
      <c r="B219" s="44" t="s">
        <v>87</v>
      </c>
      <c r="C219" s="44" t="s">
        <v>1096</v>
      </c>
      <c r="D219" s="44" t="s">
        <v>89</v>
      </c>
      <c r="E219" s="44" t="s">
        <v>167</v>
      </c>
      <c r="F219" s="44"/>
      <c r="G219" s="44"/>
      <c r="H219" s="45" t="s">
        <v>1097</v>
      </c>
      <c r="I219" s="8" t="s">
        <v>1098</v>
      </c>
    </row>
    <row r="220" spans="1:11" s="40" customFormat="1" ht="24.75" customHeight="1">
      <c r="A220" s="46"/>
      <c r="B220" s="16" t="s">
        <v>1099</v>
      </c>
      <c r="C220" s="16" t="s">
        <v>1100</v>
      </c>
      <c r="D220" s="44" t="s">
        <v>15</v>
      </c>
      <c r="E220" s="44" t="s">
        <v>44</v>
      </c>
      <c r="F220" s="16"/>
      <c r="G220" s="16"/>
      <c r="H220" s="41" t="s">
        <v>1101</v>
      </c>
      <c r="I220" s="12" t="s">
        <v>1102</v>
      </c>
    </row>
    <row r="221" spans="1:11" s="40" customFormat="1" ht="24.75" customHeight="1">
      <c r="A221" s="50"/>
      <c r="B221" s="51" t="s">
        <v>1077</v>
      </c>
      <c r="C221" s="31" t="s">
        <v>1103</v>
      </c>
      <c r="D221" s="16" t="s">
        <v>756</v>
      </c>
      <c r="E221" s="1" t="s">
        <v>1057</v>
      </c>
      <c r="F221" s="1"/>
      <c r="G221" s="38" t="s">
        <v>1104</v>
      </c>
      <c r="H221" s="41" t="s">
        <v>1105</v>
      </c>
      <c r="I221" s="12" t="s">
        <v>1106</v>
      </c>
    </row>
    <row r="222" spans="1:11" s="40" customFormat="1" ht="24.75" customHeight="1">
      <c r="A222" s="46"/>
      <c r="B222" s="16" t="s">
        <v>19</v>
      </c>
      <c r="C222" s="16" t="s">
        <v>1107</v>
      </c>
      <c r="D222" s="44" t="s">
        <v>824</v>
      </c>
      <c r="E222" s="15" t="s">
        <v>824</v>
      </c>
      <c r="F222" s="31"/>
      <c r="G222" s="16"/>
      <c r="H222" s="48" t="s">
        <v>1108</v>
      </c>
      <c r="I222" s="8" t="s">
        <v>1109</v>
      </c>
    </row>
    <row r="223" spans="1:11" s="40" customFormat="1" ht="24.75" customHeight="1">
      <c r="A223" s="46"/>
      <c r="B223" s="16" t="s">
        <v>19</v>
      </c>
      <c r="C223" s="16" t="s">
        <v>1107</v>
      </c>
      <c r="D223" s="44" t="s">
        <v>1021</v>
      </c>
      <c r="E223" s="15" t="s">
        <v>18</v>
      </c>
      <c r="F223" s="31"/>
      <c r="G223" s="16"/>
      <c r="H223" s="48" t="s">
        <v>1110</v>
      </c>
      <c r="I223" s="8" t="s">
        <v>1111</v>
      </c>
    </row>
    <row r="224" spans="1:11" s="40" customFormat="1" ht="22.35" customHeight="1">
      <c r="A224" s="46"/>
      <c r="B224" s="16" t="s">
        <v>1112</v>
      </c>
      <c r="C224" s="16" t="s">
        <v>1113</v>
      </c>
      <c r="D224" s="44" t="s">
        <v>1021</v>
      </c>
      <c r="E224" s="15" t="s">
        <v>18</v>
      </c>
      <c r="F224" s="31"/>
      <c r="G224" s="16"/>
      <c r="H224" s="48" t="s">
        <v>1114</v>
      </c>
      <c r="I224" s="8" t="s">
        <v>1115</v>
      </c>
    </row>
    <row r="225" spans="1:9" s="40" customFormat="1" ht="24.75" customHeight="1">
      <c r="A225" s="46"/>
      <c r="B225" s="16" t="s">
        <v>1077</v>
      </c>
      <c r="C225" s="16" t="s">
        <v>1103</v>
      </c>
      <c r="D225" s="44" t="s">
        <v>15</v>
      </c>
      <c r="E225" s="44" t="s">
        <v>15</v>
      </c>
      <c r="F225" s="16"/>
      <c r="G225" s="16"/>
      <c r="H225" s="41" t="s">
        <v>1116</v>
      </c>
      <c r="I225" s="12" t="s">
        <v>1117</v>
      </c>
    </row>
    <row r="226" spans="1:9" s="40" customFormat="1" ht="26.25" customHeight="1">
      <c r="A226" s="46"/>
      <c r="B226" s="16" t="s">
        <v>773</v>
      </c>
      <c r="C226" s="15" t="s">
        <v>1118</v>
      </c>
      <c r="D226" s="44"/>
      <c r="E226" s="15" t="s">
        <v>18</v>
      </c>
      <c r="F226" s="16"/>
      <c r="G226" s="16"/>
      <c r="H226" s="41" t="s">
        <v>1119</v>
      </c>
      <c r="I226" s="12" t="s">
        <v>1117</v>
      </c>
    </row>
    <row r="227" spans="1:9" s="40" customFormat="1" ht="29.25" customHeight="1">
      <c r="A227" s="44"/>
      <c r="B227" s="44" t="s">
        <v>1120</v>
      </c>
      <c r="C227" s="44" t="s">
        <v>1121</v>
      </c>
      <c r="D227" s="44"/>
      <c r="E227" s="44" t="s">
        <v>1122</v>
      </c>
      <c r="F227" s="44"/>
      <c r="G227" s="44" t="s">
        <v>1123</v>
      </c>
      <c r="H227" s="45">
        <v>41877</v>
      </c>
      <c r="I227" s="8" t="s">
        <v>1106</v>
      </c>
    </row>
    <row r="228" spans="1:9" s="40" customFormat="1" ht="26.25" customHeight="1">
      <c r="A228" s="46"/>
      <c r="B228" s="16" t="s">
        <v>773</v>
      </c>
      <c r="C228" s="15" t="s">
        <v>1124</v>
      </c>
      <c r="D228" s="44"/>
      <c r="E228" s="15" t="s">
        <v>18</v>
      </c>
      <c r="F228" s="16"/>
      <c r="G228" s="16"/>
      <c r="H228" s="41" t="s">
        <v>1125</v>
      </c>
      <c r="I228" s="12" t="s">
        <v>1126</v>
      </c>
    </row>
    <row r="229" spans="1:9" s="40" customFormat="1" ht="23.1" customHeight="1">
      <c r="A229" s="44"/>
      <c r="B229" s="44" t="s">
        <v>1127</v>
      </c>
      <c r="C229" s="44" t="s">
        <v>1128</v>
      </c>
      <c r="D229" s="44" t="s">
        <v>1129</v>
      </c>
      <c r="E229" s="44" t="s">
        <v>18</v>
      </c>
      <c r="F229" s="44"/>
      <c r="G229" s="44"/>
      <c r="H229" s="45" t="s">
        <v>1130</v>
      </c>
      <c r="I229" s="42" t="s">
        <v>1131</v>
      </c>
    </row>
    <row r="230" spans="1:9" s="40" customFormat="1" ht="42" customHeight="1">
      <c r="A230" s="44"/>
      <c r="B230" s="44" t="s">
        <v>1132</v>
      </c>
      <c r="C230" s="44" t="s">
        <v>1133</v>
      </c>
      <c r="D230" s="44" t="s">
        <v>15</v>
      </c>
      <c r="E230" s="44" t="s">
        <v>44</v>
      </c>
      <c r="F230" s="44"/>
      <c r="G230" s="44"/>
      <c r="H230" s="45" t="s">
        <v>1134</v>
      </c>
      <c r="I230" s="8" t="s">
        <v>1135</v>
      </c>
    </row>
    <row r="231" spans="1:9" s="40" customFormat="1" ht="31.5" customHeight="1">
      <c r="A231" s="46"/>
      <c r="B231" s="16" t="s">
        <v>727</v>
      </c>
      <c r="C231" s="16" t="s">
        <v>1136</v>
      </c>
      <c r="D231" s="44" t="s">
        <v>1070</v>
      </c>
      <c r="E231" s="15" t="s">
        <v>1070</v>
      </c>
      <c r="F231" s="16"/>
      <c r="G231" s="16"/>
      <c r="H231" s="41">
        <v>42198</v>
      </c>
      <c r="I231" s="12" t="s">
        <v>1135</v>
      </c>
    </row>
    <row r="232" spans="1:9" s="40" customFormat="1" ht="24.75" customHeight="1">
      <c r="A232" s="46"/>
      <c r="B232" s="16" t="s">
        <v>1137</v>
      </c>
      <c r="C232" s="16" t="s">
        <v>1138</v>
      </c>
      <c r="D232" s="47" t="s">
        <v>1139</v>
      </c>
      <c r="E232" s="15" t="s">
        <v>44</v>
      </c>
      <c r="F232" s="16"/>
      <c r="G232" s="16"/>
      <c r="H232" s="41" t="s">
        <v>1140</v>
      </c>
      <c r="I232" s="12" t="s">
        <v>1141</v>
      </c>
    </row>
    <row r="233" spans="1:9" s="40" customFormat="1" ht="31.5" customHeight="1">
      <c r="A233" s="46"/>
      <c r="B233" s="16" t="s">
        <v>727</v>
      </c>
      <c r="C233" s="16" t="s">
        <v>1142</v>
      </c>
      <c r="D233" s="44" t="s">
        <v>1070</v>
      </c>
      <c r="E233" s="44" t="s">
        <v>1143</v>
      </c>
      <c r="F233" s="16"/>
      <c r="G233" s="16" t="s">
        <v>1144</v>
      </c>
      <c r="H233" s="41" t="s">
        <v>1145</v>
      </c>
      <c r="I233" s="12" t="s">
        <v>1146</v>
      </c>
    </row>
    <row r="234" spans="1:9" s="40" customFormat="1" ht="29.25" customHeight="1">
      <c r="A234" s="44"/>
      <c r="B234" s="44" t="s">
        <v>1120</v>
      </c>
      <c r="C234" s="44" t="s">
        <v>1147</v>
      </c>
      <c r="D234" s="44" t="s">
        <v>1057</v>
      </c>
      <c r="E234" s="44" t="s">
        <v>1057</v>
      </c>
      <c r="F234" s="44"/>
      <c r="G234" s="44"/>
      <c r="H234" s="45" t="s">
        <v>1148</v>
      </c>
      <c r="I234" s="8" t="s">
        <v>1106</v>
      </c>
    </row>
    <row r="235" spans="1:9" s="40" customFormat="1" ht="24.75" customHeight="1">
      <c r="A235" s="50"/>
      <c r="B235" s="51" t="s">
        <v>1077</v>
      </c>
      <c r="C235" s="31" t="s">
        <v>1149</v>
      </c>
      <c r="D235" s="16" t="s">
        <v>1150</v>
      </c>
      <c r="E235" s="1" t="s">
        <v>44</v>
      </c>
      <c r="F235" s="1"/>
      <c r="G235" s="38"/>
      <c r="H235" s="41" t="s">
        <v>1151</v>
      </c>
      <c r="I235" s="12" t="s">
        <v>1152</v>
      </c>
    </row>
    <row r="236" spans="1:9" s="40" customFormat="1" ht="25.35" customHeight="1">
      <c r="A236" s="43"/>
      <c r="B236" s="44" t="s">
        <v>1153</v>
      </c>
      <c r="C236" s="44" t="s">
        <v>1154</v>
      </c>
      <c r="D236" s="44" t="s">
        <v>15</v>
      </c>
      <c r="E236" s="44" t="s">
        <v>44</v>
      </c>
      <c r="F236" s="44"/>
      <c r="G236" s="44"/>
      <c r="H236" s="45" t="s">
        <v>1155</v>
      </c>
      <c r="I236" s="42" t="s">
        <v>1156</v>
      </c>
    </row>
    <row r="237" spans="1:9" s="40" customFormat="1" ht="24.75" customHeight="1">
      <c r="A237" s="46"/>
      <c r="B237" s="16" t="s">
        <v>1157</v>
      </c>
      <c r="C237" s="16" t="s">
        <v>1158</v>
      </c>
      <c r="D237" s="44" t="s">
        <v>15</v>
      </c>
      <c r="E237" s="44" t="s">
        <v>44</v>
      </c>
      <c r="F237" s="16"/>
      <c r="G237" s="16"/>
      <c r="H237" s="41" t="s">
        <v>1159</v>
      </c>
      <c r="I237" s="12" t="s">
        <v>1160</v>
      </c>
    </row>
    <row r="238" spans="1:9" s="40" customFormat="1" ht="29.25" customHeight="1">
      <c r="A238" s="44"/>
      <c r="B238" s="44" t="s">
        <v>1161</v>
      </c>
      <c r="C238" s="44" t="s">
        <v>1162</v>
      </c>
      <c r="D238" s="44" t="s">
        <v>15</v>
      </c>
      <c r="E238" s="44" t="s">
        <v>44</v>
      </c>
      <c r="F238" s="44"/>
      <c r="G238" s="44"/>
      <c r="H238" s="45" t="s">
        <v>1163</v>
      </c>
      <c r="I238" s="8" t="s">
        <v>1160</v>
      </c>
    </row>
    <row r="239" spans="1:9" s="40" customFormat="1" ht="29.25" customHeight="1">
      <c r="A239" s="44"/>
      <c r="B239" s="44" t="s">
        <v>1120</v>
      </c>
      <c r="C239" s="44" t="s">
        <v>1164</v>
      </c>
      <c r="D239" s="44"/>
      <c r="E239" s="44" t="s">
        <v>1057</v>
      </c>
      <c r="F239" s="44"/>
      <c r="G239" s="44"/>
      <c r="H239" s="45" t="s">
        <v>1165</v>
      </c>
      <c r="I239" s="8" t="s">
        <v>1106</v>
      </c>
    </row>
    <row r="240" spans="1:9" s="40" customFormat="1" ht="29.25" customHeight="1">
      <c r="A240" s="44" t="s">
        <v>117</v>
      </c>
      <c r="B240" s="44" t="s">
        <v>1166</v>
      </c>
      <c r="C240" s="44" t="s">
        <v>1167</v>
      </c>
      <c r="D240" s="44" t="s">
        <v>1168</v>
      </c>
      <c r="E240" s="44" t="s">
        <v>1168</v>
      </c>
      <c r="F240" s="44"/>
      <c r="G240" s="44"/>
      <c r="H240" s="45">
        <v>42206</v>
      </c>
      <c r="I240" s="8" t="s">
        <v>1109</v>
      </c>
    </row>
    <row r="241" spans="1:12" s="40" customFormat="1" ht="26.25" customHeight="1">
      <c r="A241" s="46"/>
      <c r="B241" s="16" t="s">
        <v>1048</v>
      </c>
      <c r="C241" s="1" t="s">
        <v>1169</v>
      </c>
      <c r="D241" s="44" t="s">
        <v>1170</v>
      </c>
      <c r="E241" s="15" t="s">
        <v>44</v>
      </c>
      <c r="F241" s="16"/>
      <c r="G241" s="16"/>
      <c r="H241" s="41" t="s">
        <v>1171</v>
      </c>
      <c r="I241" s="12" t="s">
        <v>1172</v>
      </c>
    </row>
    <row r="242" spans="1:12" s="40" customFormat="1" ht="29.25" customHeight="1">
      <c r="A242" s="44"/>
      <c r="B242" s="44" t="s">
        <v>1173</v>
      </c>
      <c r="C242" s="44" t="s">
        <v>1174</v>
      </c>
      <c r="D242" s="44" t="s">
        <v>44</v>
      </c>
      <c r="E242" s="44" t="s">
        <v>44</v>
      </c>
      <c r="F242" s="44"/>
      <c r="G242" s="44"/>
      <c r="H242" s="45" t="s">
        <v>1175</v>
      </c>
      <c r="I242" s="8" t="s">
        <v>1160</v>
      </c>
    </row>
    <row r="243" spans="1:12" s="40" customFormat="1" ht="31.5" customHeight="1">
      <c r="A243" s="46"/>
      <c r="B243" s="16" t="s">
        <v>727</v>
      </c>
      <c r="C243" s="16" t="s">
        <v>1176</v>
      </c>
      <c r="D243" s="44" t="s">
        <v>1070</v>
      </c>
      <c r="E243" s="15" t="s">
        <v>1177</v>
      </c>
      <c r="F243" s="16"/>
      <c r="G243" s="16" t="s">
        <v>1178</v>
      </c>
      <c r="H243" s="41">
        <v>42193</v>
      </c>
      <c r="I243" s="12" t="s">
        <v>1179</v>
      </c>
    </row>
    <row r="244" spans="1:12" s="40" customFormat="1" ht="31.5" customHeight="1">
      <c r="A244" s="46"/>
      <c r="B244" s="16" t="s">
        <v>727</v>
      </c>
      <c r="C244" s="16" t="s">
        <v>1180</v>
      </c>
      <c r="D244" s="44" t="s">
        <v>1057</v>
      </c>
      <c r="E244" s="15" t="s">
        <v>1057</v>
      </c>
      <c r="F244" s="16"/>
      <c r="G244" s="16"/>
      <c r="H244" s="41" t="s">
        <v>1181</v>
      </c>
      <c r="I244" s="12" t="s">
        <v>1182</v>
      </c>
    </row>
    <row r="245" spans="1:12" s="40" customFormat="1" ht="24.75" customHeight="1">
      <c r="A245" s="46"/>
      <c r="B245" s="16" t="s">
        <v>1183</v>
      </c>
      <c r="C245" s="15" t="s">
        <v>1184</v>
      </c>
      <c r="D245" s="44" t="s">
        <v>1185</v>
      </c>
      <c r="E245" s="15" t="s">
        <v>18</v>
      </c>
      <c r="F245" s="16"/>
      <c r="G245" s="16"/>
      <c r="H245" s="41">
        <v>42212</v>
      </c>
      <c r="I245" s="12" t="s">
        <v>1186</v>
      </c>
    </row>
    <row r="246" spans="1:12" s="40" customFormat="1" ht="31.5" customHeight="1">
      <c r="A246" s="46"/>
      <c r="B246" s="16" t="s">
        <v>261</v>
      </c>
      <c r="C246" s="16" t="s">
        <v>894</v>
      </c>
      <c r="D246" s="44" t="s">
        <v>756</v>
      </c>
      <c r="E246" s="15" t="s">
        <v>756</v>
      </c>
      <c r="F246" s="16"/>
      <c r="G246" s="44" t="s">
        <v>1072</v>
      </c>
      <c r="H246" s="41" t="s">
        <v>1187</v>
      </c>
      <c r="I246" s="12"/>
    </row>
    <row r="247" spans="1:12" s="40" customFormat="1" ht="26.25" customHeight="1">
      <c r="A247" s="46"/>
      <c r="B247" s="16" t="s">
        <v>773</v>
      </c>
      <c r="C247" s="15" t="s">
        <v>1188</v>
      </c>
      <c r="D247" s="44" t="s">
        <v>18</v>
      </c>
      <c r="E247" s="15" t="s">
        <v>18</v>
      </c>
      <c r="F247" s="16"/>
      <c r="G247" s="16"/>
      <c r="H247" s="41" t="s">
        <v>1189</v>
      </c>
      <c r="I247" s="12" t="s">
        <v>1190</v>
      </c>
    </row>
    <row r="248" spans="1:12" s="40" customFormat="1" ht="29.25" customHeight="1">
      <c r="A248" s="44"/>
      <c r="B248" s="44" t="s">
        <v>1191</v>
      </c>
      <c r="C248" s="44" t="s">
        <v>1192</v>
      </c>
      <c r="D248" s="44" t="s">
        <v>1193</v>
      </c>
      <c r="E248" s="44" t="s">
        <v>702</v>
      </c>
      <c r="F248" s="44"/>
      <c r="G248" s="44"/>
      <c r="H248" s="45">
        <v>42094</v>
      </c>
      <c r="I248" s="8" t="s">
        <v>1194</v>
      </c>
      <c r="J248" s="40" t="s">
        <v>1195</v>
      </c>
      <c r="L248" s="1"/>
    </row>
    <row r="249" spans="1:12" s="40" customFormat="1" ht="25.35" customHeight="1">
      <c r="A249" s="46"/>
      <c r="B249" s="16" t="s">
        <v>75</v>
      </c>
      <c r="C249" s="16" t="s">
        <v>1196</v>
      </c>
      <c r="D249" s="44" t="s">
        <v>1070</v>
      </c>
      <c r="E249" s="15" t="s">
        <v>1071</v>
      </c>
      <c r="F249" s="16"/>
      <c r="G249" s="16" t="s">
        <v>1030</v>
      </c>
      <c r="H249" s="41" t="s">
        <v>1197</v>
      </c>
      <c r="I249" s="15"/>
    </row>
    <row r="250" spans="1:12" s="40" customFormat="1" ht="31.5" customHeight="1">
      <c r="A250" s="46"/>
      <c r="B250" s="16" t="s">
        <v>1198</v>
      </c>
      <c r="C250" s="16" t="s">
        <v>1199</v>
      </c>
      <c r="D250" s="44" t="s">
        <v>18</v>
      </c>
      <c r="E250" s="44" t="s">
        <v>18</v>
      </c>
      <c r="F250" s="16"/>
      <c r="G250" s="16"/>
      <c r="H250" s="41" t="s">
        <v>1200</v>
      </c>
      <c r="I250" s="12" t="s">
        <v>1201</v>
      </c>
    </row>
    <row r="251" spans="1:12" s="40" customFormat="1" ht="23.1" customHeight="1">
      <c r="A251" s="44"/>
      <c r="B251" s="44" t="s">
        <v>1202</v>
      </c>
      <c r="C251" s="44" t="s">
        <v>1203</v>
      </c>
      <c r="D251" s="44" t="s">
        <v>1204</v>
      </c>
      <c r="E251" s="44" t="s">
        <v>1205</v>
      </c>
      <c r="F251" s="44"/>
      <c r="G251" s="44"/>
      <c r="H251" s="45" t="s">
        <v>1206</v>
      </c>
      <c r="I251" s="42" t="s">
        <v>1207</v>
      </c>
    </row>
    <row r="252" spans="1:12" s="40" customFormat="1" ht="29.25" customHeight="1">
      <c r="A252" s="44"/>
      <c r="B252" s="44" t="s">
        <v>1208</v>
      </c>
      <c r="C252" s="44" t="s">
        <v>1209</v>
      </c>
      <c r="D252" s="44" t="s">
        <v>1210</v>
      </c>
      <c r="E252" s="44" t="s">
        <v>1210</v>
      </c>
      <c r="F252" s="44"/>
      <c r="G252" s="44"/>
      <c r="H252" s="45" t="s">
        <v>1211</v>
      </c>
      <c r="I252" s="8" t="s">
        <v>1212</v>
      </c>
    </row>
    <row r="253" spans="1:12" s="40" customFormat="1" ht="31.5" customHeight="1">
      <c r="A253" s="46"/>
      <c r="B253" s="16" t="s">
        <v>261</v>
      </c>
      <c r="C253" s="16" t="s">
        <v>894</v>
      </c>
      <c r="D253" s="44" t="s">
        <v>1213</v>
      </c>
      <c r="E253" s="15"/>
      <c r="F253" s="16"/>
      <c r="G253" s="16"/>
      <c r="H253" s="41"/>
      <c r="I253" s="12" t="s">
        <v>1214</v>
      </c>
    </row>
    <row r="254" spans="1:12" s="40" customFormat="1" ht="29.25" customHeight="1">
      <c r="A254" s="44"/>
      <c r="B254" s="44" t="s">
        <v>1215</v>
      </c>
      <c r="C254" s="44" t="s">
        <v>1216</v>
      </c>
      <c r="D254" s="44"/>
      <c r="E254" s="44" t="s">
        <v>1217</v>
      </c>
      <c r="F254" s="44"/>
      <c r="G254" s="44"/>
      <c r="H254" s="45" t="s">
        <v>1218</v>
      </c>
      <c r="I254" s="42" t="s">
        <v>1219</v>
      </c>
    </row>
    <row r="255" spans="1:12" s="40" customFormat="1" ht="31.5" customHeight="1">
      <c r="A255" s="46"/>
      <c r="B255" s="16" t="s">
        <v>727</v>
      </c>
      <c r="C255" s="16" t="s">
        <v>1220</v>
      </c>
      <c r="D255" s="44" t="s">
        <v>1221</v>
      </c>
      <c r="E255" s="15" t="s">
        <v>1222</v>
      </c>
      <c r="F255" s="16"/>
      <c r="G255" s="16"/>
      <c r="H255" s="41">
        <v>42459</v>
      </c>
      <c r="I255" s="12" t="s">
        <v>1223</v>
      </c>
    </row>
    <row r="256" spans="1:12" s="40" customFormat="1" ht="35.1" customHeight="1">
      <c r="A256" s="46"/>
      <c r="B256" s="16" t="s">
        <v>1224</v>
      </c>
      <c r="C256" s="16" t="s">
        <v>1225</v>
      </c>
      <c r="D256" s="44" t="s">
        <v>756</v>
      </c>
      <c r="E256" s="44" t="s">
        <v>756</v>
      </c>
      <c r="F256" s="31"/>
      <c r="G256" s="16"/>
      <c r="H256" s="32" t="s">
        <v>1226</v>
      </c>
      <c r="I256" s="8"/>
    </row>
    <row r="257" spans="1:9" s="40" customFormat="1" ht="31.5" customHeight="1">
      <c r="A257" s="46"/>
      <c r="B257" s="16" t="s">
        <v>1227</v>
      </c>
      <c r="C257" s="16" t="s">
        <v>1228</v>
      </c>
      <c r="D257" s="44" t="s">
        <v>756</v>
      </c>
      <c r="E257" s="44" t="s">
        <v>1029</v>
      </c>
      <c r="F257" s="16"/>
      <c r="G257" s="16" t="s">
        <v>1229</v>
      </c>
      <c r="H257" s="41" t="s">
        <v>1230</v>
      </c>
      <c r="I257" s="12"/>
    </row>
    <row r="258" spans="1:9" s="40" customFormat="1" ht="24.75" customHeight="1">
      <c r="A258" s="46"/>
      <c r="B258" s="16" t="s">
        <v>1231</v>
      </c>
      <c r="C258" s="16" t="s">
        <v>1232</v>
      </c>
      <c r="D258" s="44" t="s">
        <v>1233</v>
      </c>
      <c r="E258" s="44" t="s">
        <v>1234</v>
      </c>
      <c r="F258" s="16"/>
      <c r="G258" s="16"/>
      <c r="H258" s="41" t="s">
        <v>1235</v>
      </c>
      <c r="I258" s="12" t="s">
        <v>1236</v>
      </c>
    </row>
    <row r="259" spans="1:9" s="40" customFormat="1" ht="26.25" customHeight="1">
      <c r="A259" s="46"/>
      <c r="B259" s="16" t="s">
        <v>773</v>
      </c>
      <c r="C259" s="15" t="s">
        <v>1237</v>
      </c>
      <c r="D259" s="44" t="s">
        <v>1238</v>
      </c>
      <c r="E259" s="15" t="s">
        <v>18</v>
      </c>
      <c r="F259" s="16"/>
      <c r="G259" s="16"/>
      <c r="H259" s="41" t="s">
        <v>1239</v>
      </c>
      <c r="I259" s="12" t="s">
        <v>1240</v>
      </c>
    </row>
    <row r="260" spans="1:9" s="40" customFormat="1" ht="29.25" customHeight="1">
      <c r="A260" s="44"/>
      <c r="B260" s="44" t="s">
        <v>1241</v>
      </c>
      <c r="C260" s="31" t="s">
        <v>1242</v>
      </c>
      <c r="D260" s="44" t="s">
        <v>1243</v>
      </c>
      <c r="E260" s="44" t="s">
        <v>44</v>
      </c>
      <c r="F260" s="44"/>
      <c r="G260" s="44"/>
      <c r="H260" s="45" t="s">
        <v>1244</v>
      </c>
      <c r="I260" s="42" t="s">
        <v>1245</v>
      </c>
    </row>
    <row r="261" spans="1:9" s="40" customFormat="1" ht="24.75" customHeight="1">
      <c r="A261" s="46"/>
      <c r="B261" s="16" t="s">
        <v>30</v>
      </c>
      <c r="C261" s="16" t="s">
        <v>1246</v>
      </c>
      <c r="D261" s="44" t="s">
        <v>1247</v>
      </c>
      <c r="E261" s="15" t="s">
        <v>1248</v>
      </c>
      <c r="F261" s="31"/>
      <c r="G261" s="16"/>
      <c r="H261" s="48" t="s">
        <v>1249</v>
      </c>
      <c r="I261" s="8" t="s">
        <v>1250</v>
      </c>
    </row>
    <row r="262" spans="1:9" s="40" customFormat="1" ht="24" customHeight="1">
      <c r="A262" s="43"/>
      <c r="B262" s="44" t="s">
        <v>919</v>
      </c>
      <c r="C262" s="44" t="s">
        <v>1251</v>
      </c>
      <c r="D262" s="44" t="s">
        <v>15</v>
      </c>
      <c r="E262" s="44"/>
      <c r="F262" s="44"/>
      <c r="G262" s="44"/>
      <c r="H262" s="45" t="s">
        <v>1252</v>
      </c>
      <c r="I262" s="42" t="s">
        <v>1253</v>
      </c>
    </row>
    <row r="263" spans="1:9" s="40" customFormat="1" ht="31.5" customHeight="1">
      <c r="A263" s="46"/>
      <c r="B263" s="16" t="s">
        <v>1254</v>
      </c>
      <c r="C263" s="16" t="s">
        <v>1255</v>
      </c>
      <c r="D263" s="44" t="s">
        <v>963</v>
      </c>
      <c r="E263" s="15" t="s">
        <v>18</v>
      </c>
      <c r="F263" s="16"/>
      <c r="G263" s="16"/>
      <c r="H263" s="41" t="s">
        <v>1256</v>
      </c>
      <c r="I263" s="12" t="s">
        <v>1257</v>
      </c>
    </row>
    <row r="264" spans="1:9" s="40" customFormat="1" ht="24.75" customHeight="1">
      <c r="A264" s="46"/>
      <c r="B264" s="16" t="s">
        <v>1258</v>
      </c>
      <c r="C264" s="16" t="s">
        <v>1259</v>
      </c>
      <c r="D264" s="44" t="s">
        <v>1260</v>
      </c>
      <c r="E264" s="44" t="s">
        <v>15</v>
      </c>
      <c r="F264" s="16"/>
      <c r="G264" s="16"/>
      <c r="H264" s="41" t="s">
        <v>1261</v>
      </c>
      <c r="I264" s="12" t="s">
        <v>1262</v>
      </c>
    </row>
    <row r="265" spans="1:9" s="40" customFormat="1" ht="24.75" customHeight="1">
      <c r="A265" s="46"/>
      <c r="B265" s="16" t="s">
        <v>1258</v>
      </c>
      <c r="C265" s="16" t="s">
        <v>1259</v>
      </c>
      <c r="D265" s="44" t="s">
        <v>702</v>
      </c>
      <c r="E265" s="44" t="s">
        <v>1263</v>
      </c>
      <c r="F265" s="16"/>
      <c r="G265" s="16"/>
      <c r="H265" s="41" t="s">
        <v>1264</v>
      </c>
      <c r="I265" s="12" t="s">
        <v>1262</v>
      </c>
    </row>
    <row r="266" spans="1:9" s="40" customFormat="1" ht="26.25" customHeight="1">
      <c r="A266" s="46"/>
      <c r="B266" s="16" t="s">
        <v>997</v>
      </c>
      <c r="C266" s="16" t="s">
        <v>1265</v>
      </c>
      <c r="D266" s="47" t="s">
        <v>1266</v>
      </c>
      <c r="E266" s="15" t="s">
        <v>786</v>
      </c>
      <c r="F266" s="16"/>
      <c r="G266" s="16"/>
      <c r="H266" s="41" t="s">
        <v>1267</v>
      </c>
      <c r="I266" s="12" t="s">
        <v>1268</v>
      </c>
    </row>
    <row r="267" spans="1:9" s="40" customFormat="1" ht="24.75" customHeight="1">
      <c r="A267" s="46"/>
      <c r="B267" s="16" t="s">
        <v>30</v>
      </c>
      <c r="C267" s="16" t="s">
        <v>1269</v>
      </c>
      <c r="D267" s="44" t="s">
        <v>1270</v>
      </c>
      <c r="E267" s="44" t="s">
        <v>1270</v>
      </c>
      <c r="F267" s="31"/>
      <c r="G267" s="16"/>
      <c r="H267" s="48" t="s">
        <v>1271</v>
      </c>
      <c r="I267" s="8" t="s">
        <v>1272</v>
      </c>
    </row>
    <row r="268" spans="1:9" s="40" customFormat="1" ht="35.1" customHeight="1">
      <c r="A268" s="46"/>
      <c r="B268" s="16" t="s">
        <v>87</v>
      </c>
      <c r="C268" s="16" t="s">
        <v>1273</v>
      </c>
      <c r="D268" s="44" t="s">
        <v>89</v>
      </c>
      <c r="E268" s="52" t="s">
        <v>89</v>
      </c>
      <c r="F268" s="31"/>
      <c r="G268" s="16"/>
      <c r="H268" s="32" t="s">
        <v>1274</v>
      </c>
      <c r="I268" s="8" t="s">
        <v>1275</v>
      </c>
    </row>
    <row r="269" spans="1:9" s="40" customFormat="1" ht="23.1" customHeight="1">
      <c r="A269" s="44"/>
      <c r="B269" s="44" t="s">
        <v>1276</v>
      </c>
      <c r="C269" s="44" t="s">
        <v>1277</v>
      </c>
      <c r="D269" s="44" t="s">
        <v>15</v>
      </c>
      <c r="E269" s="44" t="s">
        <v>44</v>
      </c>
      <c r="F269" s="44"/>
      <c r="G269" s="44"/>
      <c r="H269" s="45" t="s">
        <v>1278</v>
      </c>
      <c r="I269" s="42" t="s">
        <v>1272</v>
      </c>
    </row>
    <row r="270" spans="1:9" s="40" customFormat="1" ht="31.5" customHeight="1">
      <c r="A270" s="46"/>
      <c r="B270" s="16" t="s">
        <v>727</v>
      </c>
      <c r="C270" s="16" t="s">
        <v>1279</v>
      </c>
      <c r="D270" s="44" t="s">
        <v>756</v>
      </c>
      <c r="E270" s="15"/>
      <c r="F270" s="16"/>
      <c r="G270" s="16"/>
      <c r="H270" s="41">
        <v>42466</v>
      </c>
      <c r="I270" s="12" t="s">
        <v>1280</v>
      </c>
    </row>
    <row r="271" spans="1:9" s="40" customFormat="1" ht="23.1" customHeight="1">
      <c r="A271" s="44"/>
      <c r="B271" s="44" t="s">
        <v>1276</v>
      </c>
      <c r="C271" s="44" t="s">
        <v>1277</v>
      </c>
      <c r="D271" s="44" t="s">
        <v>1281</v>
      </c>
      <c r="E271" s="44" t="s">
        <v>1281</v>
      </c>
      <c r="F271" s="44"/>
      <c r="G271" s="44"/>
      <c r="H271" s="45">
        <v>42530</v>
      </c>
      <c r="I271" s="42"/>
    </row>
    <row r="272" spans="1:9" s="40" customFormat="1" ht="41.85" customHeight="1">
      <c r="A272" s="46"/>
      <c r="B272" s="16" t="s">
        <v>727</v>
      </c>
      <c r="C272" s="16" t="s">
        <v>1282</v>
      </c>
      <c r="D272" s="44" t="s">
        <v>1283</v>
      </c>
      <c r="E272" s="44" t="s">
        <v>1284</v>
      </c>
      <c r="F272" s="16"/>
      <c r="G272" s="16"/>
      <c r="H272" s="41">
        <v>42214</v>
      </c>
      <c r="I272" s="12" t="s">
        <v>1285</v>
      </c>
    </row>
    <row r="273" spans="1:10" s="40" customFormat="1" ht="26.25" customHeight="1">
      <c r="A273" s="46"/>
      <c r="B273" s="16" t="s">
        <v>997</v>
      </c>
      <c r="C273" s="16" t="s">
        <v>1286</v>
      </c>
      <c r="D273" s="47" t="s">
        <v>18</v>
      </c>
      <c r="E273" s="15" t="s">
        <v>18</v>
      </c>
      <c r="F273" s="16"/>
      <c r="G273" s="16"/>
      <c r="H273" s="41" t="s">
        <v>1287</v>
      </c>
      <c r="I273" s="12" t="s">
        <v>1288</v>
      </c>
      <c r="J273" s="16"/>
    </row>
    <row r="274" spans="1:10" s="40" customFormat="1" ht="26.25" customHeight="1">
      <c r="A274" s="46"/>
      <c r="B274" s="16" t="s">
        <v>1289</v>
      </c>
      <c r="C274" s="15" t="s">
        <v>1290</v>
      </c>
      <c r="D274" s="44" t="s">
        <v>44</v>
      </c>
      <c r="E274" s="15" t="s">
        <v>15</v>
      </c>
      <c r="F274" s="16"/>
      <c r="G274" s="16"/>
      <c r="H274" s="41" t="s">
        <v>1291</v>
      </c>
      <c r="I274" s="12" t="s">
        <v>1292</v>
      </c>
    </row>
    <row r="275" spans="1:10" s="40" customFormat="1" ht="35.1" customHeight="1">
      <c r="A275" s="46"/>
      <c r="B275" s="16" t="s">
        <v>1173</v>
      </c>
      <c r="C275" s="16" t="s">
        <v>1293</v>
      </c>
      <c r="D275" s="44" t="s">
        <v>15</v>
      </c>
      <c r="E275" s="52" t="s">
        <v>44</v>
      </c>
      <c r="F275" s="31"/>
      <c r="G275" s="16"/>
      <c r="H275" s="32" t="s">
        <v>1294</v>
      </c>
      <c r="I275" s="8" t="s">
        <v>1295</v>
      </c>
    </row>
    <row r="276" spans="1:10" s="40" customFormat="1" ht="26.25" customHeight="1">
      <c r="A276" s="46"/>
      <c r="B276" s="16" t="s">
        <v>1296</v>
      </c>
      <c r="C276" s="15" t="s">
        <v>1297</v>
      </c>
      <c r="D276" s="44" t="s">
        <v>1298</v>
      </c>
      <c r="E276" s="44" t="s">
        <v>1298</v>
      </c>
      <c r="F276" s="16"/>
      <c r="G276" s="16"/>
      <c r="H276" s="41">
        <v>42580</v>
      </c>
      <c r="I276" s="12" t="s">
        <v>1299</v>
      </c>
    </row>
    <row r="277" spans="1:10" s="40" customFormat="1" ht="24.75" customHeight="1">
      <c r="A277" s="46"/>
      <c r="B277" s="16" t="s">
        <v>30</v>
      </c>
      <c r="C277" s="16" t="s">
        <v>1300</v>
      </c>
      <c r="D277" s="44" t="s">
        <v>1247</v>
      </c>
      <c r="E277" s="44" t="s">
        <v>1247</v>
      </c>
      <c r="F277" s="31"/>
      <c r="G277" s="16"/>
      <c r="H277" s="48" t="s">
        <v>1301</v>
      </c>
      <c r="I277" s="8" t="s">
        <v>1302</v>
      </c>
    </row>
    <row r="278" spans="1:10" s="40" customFormat="1" ht="26.25" customHeight="1">
      <c r="A278" s="46"/>
      <c r="B278" s="16" t="s">
        <v>1303</v>
      </c>
      <c r="C278" s="16"/>
      <c r="D278" s="44" t="s">
        <v>1304</v>
      </c>
      <c r="E278" s="44" t="s">
        <v>498</v>
      </c>
      <c r="F278" s="16"/>
      <c r="G278" s="16"/>
      <c r="H278" s="41" t="s">
        <v>1305</v>
      </c>
      <c r="I278" s="12" t="s">
        <v>1306</v>
      </c>
    </row>
    <row r="279" spans="1:10" s="40" customFormat="1" ht="24.75" customHeight="1">
      <c r="A279" s="46"/>
      <c r="B279" s="16" t="s">
        <v>1183</v>
      </c>
      <c r="C279" s="15" t="s">
        <v>1307</v>
      </c>
      <c r="D279" s="44" t="s">
        <v>18</v>
      </c>
      <c r="E279" s="15" t="s">
        <v>18</v>
      </c>
      <c r="F279" s="16"/>
      <c r="G279" s="16"/>
      <c r="H279" s="41" t="s">
        <v>1308</v>
      </c>
      <c r="I279" s="12" t="s">
        <v>1309</v>
      </c>
    </row>
    <row r="280" spans="1:10" s="40" customFormat="1" ht="24.75" customHeight="1">
      <c r="A280" s="46"/>
      <c r="B280" s="16" t="s">
        <v>1183</v>
      </c>
      <c r="C280" s="15" t="s">
        <v>1307</v>
      </c>
      <c r="D280" s="44" t="s">
        <v>15</v>
      </c>
      <c r="E280" s="15" t="s">
        <v>44</v>
      </c>
      <c r="F280" s="16"/>
      <c r="G280" s="16"/>
      <c r="H280" s="41" t="s">
        <v>1310</v>
      </c>
      <c r="I280" s="12" t="s">
        <v>1311</v>
      </c>
    </row>
    <row r="281" spans="1:10" s="40" customFormat="1" ht="29.25" customHeight="1">
      <c r="A281" s="44"/>
      <c r="B281" s="44" t="s">
        <v>1191</v>
      </c>
      <c r="C281" s="31" t="s">
        <v>1312</v>
      </c>
      <c r="D281" s="44" t="s">
        <v>1313</v>
      </c>
      <c r="E281" s="44" t="s">
        <v>756</v>
      </c>
      <c r="F281" s="44"/>
      <c r="G281" s="44"/>
      <c r="H281" s="45" t="s">
        <v>1314</v>
      </c>
      <c r="I281" s="42"/>
    </row>
    <row r="282" spans="1:10" s="40" customFormat="1" ht="59.25" customHeight="1">
      <c r="A282" s="46"/>
      <c r="B282" s="16" t="s">
        <v>1315</v>
      </c>
      <c r="C282" s="16" t="s">
        <v>1316</v>
      </c>
      <c r="D282" s="44" t="s">
        <v>1317</v>
      </c>
      <c r="E282" s="15" t="s">
        <v>44</v>
      </c>
      <c r="F282" s="16"/>
      <c r="G282" s="16"/>
      <c r="H282" s="41" t="s">
        <v>1318</v>
      </c>
      <c r="I282" s="12" t="s">
        <v>1319</v>
      </c>
    </row>
    <row r="283" spans="1:10" s="40" customFormat="1" ht="29.25" customHeight="1">
      <c r="A283" s="44"/>
      <c r="B283" s="44" t="s">
        <v>1241</v>
      </c>
      <c r="C283" s="44" t="s">
        <v>1320</v>
      </c>
      <c r="D283" s="44" t="s">
        <v>1321</v>
      </c>
      <c r="E283" s="44" t="s">
        <v>44</v>
      </c>
      <c r="F283" s="44"/>
      <c r="G283" s="44"/>
      <c r="H283" s="45" t="s">
        <v>1322</v>
      </c>
      <c r="I283" s="8" t="s">
        <v>1323</v>
      </c>
    </row>
    <row r="284" spans="1:10" s="40" customFormat="1" ht="23.1" customHeight="1">
      <c r="A284" s="44"/>
      <c r="B284" s="44" t="s">
        <v>145</v>
      </c>
      <c r="C284" s="44" t="s">
        <v>1324</v>
      </c>
      <c r="D284" s="44" t="s">
        <v>1210</v>
      </c>
      <c r="E284" s="44" t="s">
        <v>1210</v>
      </c>
      <c r="F284" s="44"/>
      <c r="G284" s="44"/>
      <c r="H284" s="45" t="s">
        <v>1325</v>
      </c>
      <c r="I284" s="42" t="s">
        <v>1326</v>
      </c>
    </row>
    <row r="285" spans="1:10" s="40" customFormat="1" ht="29.25" customHeight="1">
      <c r="A285" s="44"/>
      <c r="B285" s="44" t="s">
        <v>45</v>
      </c>
      <c r="C285" s="31" t="s">
        <v>1327</v>
      </c>
      <c r="D285" s="44" t="s">
        <v>1021</v>
      </c>
      <c r="E285" s="44" t="s">
        <v>1234</v>
      </c>
      <c r="F285" s="44"/>
      <c r="G285" s="44"/>
      <c r="H285" s="45" t="s">
        <v>1328</v>
      </c>
      <c r="I285" s="42" t="s">
        <v>1329</v>
      </c>
    </row>
    <row r="286" spans="1:10" s="40" customFormat="1" ht="29.25" customHeight="1">
      <c r="A286" s="44"/>
      <c r="B286" s="44" t="s">
        <v>635</v>
      </c>
      <c r="C286" s="31" t="s">
        <v>1330</v>
      </c>
      <c r="D286" s="44" t="s">
        <v>1331</v>
      </c>
      <c r="E286" s="44" t="s">
        <v>44</v>
      </c>
      <c r="F286" s="44"/>
      <c r="G286" s="44"/>
      <c r="H286" s="45" t="s">
        <v>1332</v>
      </c>
      <c r="I286" s="42" t="s">
        <v>1333</v>
      </c>
    </row>
    <row r="287" spans="1:10" s="40" customFormat="1" ht="24.75" customHeight="1">
      <c r="A287" s="46"/>
      <c r="B287" s="16" t="s">
        <v>30</v>
      </c>
      <c r="C287" s="16" t="s">
        <v>1269</v>
      </c>
      <c r="D287" s="44" t="s">
        <v>1021</v>
      </c>
      <c r="E287" s="44" t="s">
        <v>1234</v>
      </c>
      <c r="F287" s="31"/>
      <c r="G287" s="16"/>
      <c r="H287" s="48" t="s">
        <v>1334</v>
      </c>
      <c r="I287" s="8" t="s">
        <v>1323</v>
      </c>
    </row>
    <row r="288" spans="1:10" s="40" customFormat="1" ht="25.5">
      <c r="A288" s="44"/>
      <c r="B288" s="44" t="s">
        <v>741</v>
      </c>
      <c r="C288" s="44" t="s">
        <v>1335</v>
      </c>
      <c r="D288" s="44" t="s">
        <v>1336</v>
      </c>
      <c r="E288" s="44" t="s">
        <v>786</v>
      </c>
      <c r="F288" s="44"/>
      <c r="G288" s="44"/>
      <c r="H288" s="45" t="s">
        <v>1337</v>
      </c>
      <c r="I288" s="42" t="s">
        <v>1338</v>
      </c>
    </row>
    <row r="289" spans="1:9" s="40" customFormat="1" ht="31.5" customHeight="1">
      <c r="A289" s="46"/>
      <c r="B289" s="16" t="s">
        <v>1077</v>
      </c>
      <c r="C289" s="16" t="s">
        <v>1149</v>
      </c>
      <c r="D289" s="44" t="s">
        <v>1339</v>
      </c>
      <c r="E289" s="44"/>
      <c r="F289" s="16"/>
      <c r="G289" s="16"/>
      <c r="H289" s="41" t="s">
        <v>1334</v>
      </c>
      <c r="I289" s="12" t="s">
        <v>1340</v>
      </c>
    </row>
    <row r="290" spans="1:9" s="40" customFormat="1" ht="26.25" customHeight="1">
      <c r="A290" s="46"/>
      <c r="B290" s="16" t="s">
        <v>1341</v>
      </c>
      <c r="C290" s="15" t="s">
        <v>1342</v>
      </c>
      <c r="D290" s="44" t="s">
        <v>116</v>
      </c>
      <c r="E290" s="44" t="s">
        <v>116</v>
      </c>
      <c r="F290" s="16"/>
      <c r="G290" s="16"/>
      <c r="H290" s="41" t="s">
        <v>1343</v>
      </c>
      <c r="I290" s="12" t="s">
        <v>1344</v>
      </c>
    </row>
    <row r="291" spans="1:9" s="40" customFormat="1" ht="31.5" customHeight="1">
      <c r="A291" s="46"/>
      <c r="B291" s="16" t="s">
        <v>1345</v>
      </c>
      <c r="C291" s="16" t="s">
        <v>1346</v>
      </c>
      <c r="D291" s="44" t="s">
        <v>1347</v>
      </c>
      <c r="E291" s="15" t="s">
        <v>44</v>
      </c>
      <c r="F291" s="16"/>
      <c r="G291" s="16"/>
      <c r="H291" s="41" t="s">
        <v>1348</v>
      </c>
      <c r="I291" s="12" t="s">
        <v>1349</v>
      </c>
    </row>
    <row r="292" spans="1:9" s="40" customFormat="1" ht="31.5" customHeight="1">
      <c r="A292" s="46"/>
      <c r="B292" s="16" t="s">
        <v>1077</v>
      </c>
      <c r="C292" s="16" t="s">
        <v>1149</v>
      </c>
      <c r="D292" s="44" t="s">
        <v>1350</v>
      </c>
      <c r="E292" s="44" t="s">
        <v>1350</v>
      </c>
      <c r="F292" s="16"/>
      <c r="G292" s="16"/>
      <c r="H292" s="41">
        <v>42521</v>
      </c>
      <c r="I292" s="12" t="s">
        <v>1340</v>
      </c>
    </row>
    <row r="293" spans="1:9" s="40" customFormat="1" ht="31.5" customHeight="1">
      <c r="A293" s="46"/>
      <c r="B293" s="16" t="s">
        <v>1077</v>
      </c>
      <c r="C293" s="16" t="s">
        <v>1149</v>
      </c>
      <c r="D293" s="44" t="s">
        <v>15</v>
      </c>
      <c r="E293" s="44" t="s">
        <v>15</v>
      </c>
      <c r="F293" s="16"/>
      <c r="G293" s="16"/>
      <c r="H293" s="41"/>
      <c r="I293" s="12" t="s">
        <v>1351</v>
      </c>
    </row>
    <row r="294" spans="1:9" s="40" customFormat="1" ht="31.5" customHeight="1">
      <c r="A294" s="46"/>
      <c r="B294" s="16" t="s">
        <v>1352</v>
      </c>
      <c r="C294" s="16" t="s">
        <v>1353</v>
      </c>
      <c r="D294" s="44" t="s">
        <v>44</v>
      </c>
      <c r="E294" s="15" t="s">
        <v>44</v>
      </c>
      <c r="F294" s="16"/>
      <c r="G294" s="16"/>
      <c r="H294" s="41" t="s">
        <v>1354</v>
      </c>
      <c r="I294" s="12" t="s">
        <v>1355</v>
      </c>
    </row>
    <row r="295" spans="1:9" s="40" customFormat="1" ht="24.75" customHeight="1">
      <c r="A295" s="46"/>
      <c r="B295" s="16" t="s">
        <v>19</v>
      </c>
      <c r="C295" s="16" t="s">
        <v>1356</v>
      </c>
      <c r="D295" s="44" t="s">
        <v>89</v>
      </c>
      <c r="E295" s="15" t="s">
        <v>89</v>
      </c>
      <c r="F295" s="31"/>
      <c r="G295" s="16"/>
      <c r="H295" s="48" t="s">
        <v>1357</v>
      </c>
      <c r="I295" s="8" t="s">
        <v>1358</v>
      </c>
    </row>
    <row r="296" spans="1:9" s="40" customFormat="1" ht="35.1" customHeight="1">
      <c r="A296" s="46"/>
      <c r="B296" s="16" t="s">
        <v>87</v>
      </c>
      <c r="C296" s="16" t="s">
        <v>1359</v>
      </c>
      <c r="D296" s="44" t="s">
        <v>89</v>
      </c>
      <c r="E296" s="52" t="s">
        <v>89</v>
      </c>
      <c r="F296" s="31"/>
      <c r="G296" s="16"/>
      <c r="H296" s="32" t="s">
        <v>1360</v>
      </c>
      <c r="I296" s="8" t="s">
        <v>1361</v>
      </c>
    </row>
    <row r="297" spans="1:9" s="40" customFormat="1" ht="35.1" customHeight="1">
      <c r="A297" s="46"/>
      <c r="B297" s="16" t="s">
        <v>87</v>
      </c>
      <c r="C297" s="16" t="s">
        <v>1362</v>
      </c>
      <c r="D297" s="44" t="s">
        <v>89</v>
      </c>
      <c r="E297" s="52" t="s">
        <v>89</v>
      </c>
      <c r="F297" s="31"/>
      <c r="G297" s="16"/>
      <c r="H297" s="32" t="s">
        <v>1363</v>
      </c>
      <c r="I297" s="8" t="s">
        <v>1361</v>
      </c>
    </row>
    <row r="298" spans="1:9" s="40" customFormat="1" ht="35.1" customHeight="1">
      <c r="A298" s="46"/>
      <c r="B298" s="16" t="s">
        <v>661</v>
      </c>
      <c r="C298" s="16" t="s">
        <v>1364</v>
      </c>
      <c r="D298" s="44" t="s">
        <v>1365</v>
      </c>
      <c r="E298" s="44" t="s">
        <v>1365</v>
      </c>
      <c r="F298" s="31"/>
      <c r="G298" s="16"/>
      <c r="H298" s="32">
        <v>42475</v>
      </c>
      <c r="I298" s="8" t="s">
        <v>1366</v>
      </c>
    </row>
    <row r="299" spans="1:9" s="40" customFormat="1" ht="29.25" customHeight="1">
      <c r="A299" s="44"/>
      <c r="B299" s="44" t="s">
        <v>1367</v>
      </c>
      <c r="C299" s="31" t="s">
        <v>1368</v>
      </c>
      <c r="D299" s="44" t="s">
        <v>1369</v>
      </c>
      <c r="E299" s="44" t="s">
        <v>44</v>
      </c>
      <c r="F299" s="44"/>
      <c r="G299" s="44"/>
      <c r="H299" s="45" t="s">
        <v>1370</v>
      </c>
      <c r="I299" s="42" t="s">
        <v>1371</v>
      </c>
    </row>
    <row r="300" spans="1:9" s="40" customFormat="1" ht="31.5" customHeight="1">
      <c r="A300" s="46"/>
      <c r="B300" s="31" t="s">
        <v>1077</v>
      </c>
      <c r="C300" s="16" t="s">
        <v>1372</v>
      </c>
      <c r="D300" s="44" t="s">
        <v>1373</v>
      </c>
      <c r="E300" s="44" t="s">
        <v>1374</v>
      </c>
      <c r="F300" s="16"/>
      <c r="G300" s="16"/>
      <c r="H300" s="41">
        <v>42501</v>
      </c>
      <c r="I300" s="12"/>
    </row>
    <row r="301" spans="1:9" s="40" customFormat="1" ht="24.75" customHeight="1">
      <c r="A301" s="46"/>
      <c r="B301" s="31" t="s">
        <v>1375</v>
      </c>
      <c r="C301" s="16" t="s">
        <v>1376</v>
      </c>
      <c r="D301" s="44" t="s">
        <v>89</v>
      </c>
      <c r="E301" s="44" t="s">
        <v>89</v>
      </c>
      <c r="F301" s="16"/>
      <c r="G301" s="16"/>
      <c r="H301" s="41" t="s">
        <v>1377</v>
      </c>
      <c r="I301" s="12" t="s">
        <v>1378</v>
      </c>
    </row>
    <row r="302" spans="1:9" s="40" customFormat="1" ht="35.1" customHeight="1">
      <c r="A302" s="46"/>
      <c r="B302" s="31" t="s">
        <v>467</v>
      </c>
      <c r="C302" s="16" t="s">
        <v>1379</v>
      </c>
      <c r="D302" s="44" t="s">
        <v>1380</v>
      </c>
      <c r="E302" s="44" t="s">
        <v>1380</v>
      </c>
      <c r="F302" s="31"/>
      <c r="G302" s="16"/>
      <c r="H302" s="32" t="s">
        <v>1381</v>
      </c>
      <c r="I302" s="8" t="s">
        <v>1382</v>
      </c>
    </row>
    <row r="303" spans="1:9" s="40" customFormat="1" ht="30.75" customHeight="1">
      <c r="A303" s="43"/>
      <c r="B303" s="56" t="s">
        <v>1383</v>
      </c>
      <c r="C303" s="44" t="s">
        <v>1384</v>
      </c>
      <c r="D303" s="44" t="s">
        <v>44</v>
      </c>
      <c r="E303" s="44" t="s">
        <v>44</v>
      </c>
      <c r="F303" s="44"/>
      <c r="G303" s="44"/>
      <c r="H303" s="45" t="s">
        <v>1385</v>
      </c>
      <c r="I303" s="42" t="s">
        <v>1386</v>
      </c>
    </row>
    <row r="304" spans="1:9" s="40" customFormat="1" ht="31.5" customHeight="1">
      <c r="A304" s="46"/>
      <c r="B304" s="31" t="s">
        <v>1258</v>
      </c>
      <c r="C304" s="16" t="s">
        <v>1387</v>
      </c>
      <c r="D304" s="44" t="s">
        <v>80</v>
      </c>
      <c r="E304" s="44" t="s">
        <v>15</v>
      </c>
      <c r="F304" s="16"/>
      <c r="G304" s="16"/>
      <c r="H304" s="41" t="s">
        <v>1388</v>
      </c>
      <c r="I304" s="12" t="s">
        <v>1389</v>
      </c>
    </row>
    <row r="305" spans="1:9" s="40" customFormat="1" ht="24.75" customHeight="1">
      <c r="A305" s="46"/>
      <c r="B305" s="31" t="s">
        <v>412</v>
      </c>
      <c r="C305" s="16" t="s">
        <v>1390</v>
      </c>
      <c r="D305" s="44" t="s">
        <v>15</v>
      </c>
      <c r="E305" s="44" t="s">
        <v>15</v>
      </c>
      <c r="F305" s="16"/>
      <c r="G305" s="16"/>
      <c r="H305" s="41">
        <v>42662</v>
      </c>
      <c r="I305" s="12" t="s">
        <v>1391</v>
      </c>
    </row>
    <row r="306" spans="1:9" s="40" customFormat="1" ht="24.75" customHeight="1">
      <c r="A306" s="46"/>
      <c r="B306" s="31" t="s">
        <v>30</v>
      </c>
      <c r="C306" s="16" t="s">
        <v>1269</v>
      </c>
      <c r="D306" s="44" t="s">
        <v>1392</v>
      </c>
      <c r="E306" s="44" t="s">
        <v>1393</v>
      </c>
      <c r="F306" s="31"/>
      <c r="G306" s="16"/>
      <c r="H306" s="48">
        <v>42502</v>
      </c>
      <c r="I306" s="8" t="s">
        <v>1394</v>
      </c>
    </row>
    <row r="307" spans="1:9" s="40" customFormat="1" ht="35.1" customHeight="1">
      <c r="A307" s="46"/>
      <c r="B307" s="31" t="s">
        <v>1395</v>
      </c>
      <c r="C307" s="16" t="s">
        <v>1396</v>
      </c>
      <c r="D307" s="44" t="s">
        <v>15</v>
      </c>
      <c r="E307" s="52" t="s">
        <v>44</v>
      </c>
      <c r="F307" s="31"/>
      <c r="G307" s="16"/>
      <c r="H307" s="32" t="s">
        <v>1397</v>
      </c>
      <c r="I307" s="8" t="s">
        <v>1398</v>
      </c>
    </row>
    <row r="308" spans="1:9" s="40" customFormat="1" ht="24.75" customHeight="1">
      <c r="A308" s="46"/>
      <c r="B308" s="31" t="s">
        <v>30</v>
      </c>
      <c r="C308" s="16" t="s">
        <v>1399</v>
      </c>
      <c r="D308" s="44" t="s">
        <v>1400</v>
      </c>
      <c r="E308" s="44" t="s">
        <v>1401</v>
      </c>
      <c r="F308" s="31"/>
      <c r="G308" s="16"/>
      <c r="H308" s="48">
        <v>42551</v>
      </c>
      <c r="I308" s="8" t="s">
        <v>1402</v>
      </c>
    </row>
    <row r="309" spans="1:9" s="40" customFormat="1" ht="35.1" customHeight="1">
      <c r="A309" s="46"/>
      <c r="B309" s="31" t="s">
        <v>1403</v>
      </c>
      <c r="C309" s="16" t="s">
        <v>1404</v>
      </c>
      <c r="D309" s="44" t="s">
        <v>1405</v>
      </c>
      <c r="E309" s="52" t="s">
        <v>44</v>
      </c>
      <c r="F309" s="31"/>
      <c r="G309" s="16"/>
      <c r="H309" s="32" t="s">
        <v>1406</v>
      </c>
      <c r="I309" s="8" t="s">
        <v>1407</v>
      </c>
    </row>
    <row r="310" spans="1:9" s="40" customFormat="1" ht="28.5" customHeight="1">
      <c r="A310" s="44"/>
      <c r="B310" s="54" t="s">
        <v>1408</v>
      </c>
      <c r="C310" s="44" t="s">
        <v>1409</v>
      </c>
      <c r="D310" s="44" t="s">
        <v>80</v>
      </c>
      <c r="E310" s="44"/>
      <c r="F310" s="44"/>
      <c r="G310" s="44"/>
      <c r="H310" s="45" t="s">
        <v>1410</v>
      </c>
      <c r="I310" s="8" t="s">
        <v>1411</v>
      </c>
    </row>
    <row r="311" spans="1:9" s="40" customFormat="1" ht="24.75" customHeight="1">
      <c r="A311" s="46"/>
      <c r="B311" s="31" t="s">
        <v>412</v>
      </c>
      <c r="C311" s="16" t="s">
        <v>1412</v>
      </c>
      <c r="D311" s="44" t="s">
        <v>15</v>
      </c>
      <c r="E311" s="44" t="s">
        <v>15</v>
      </c>
      <c r="F311" s="16"/>
      <c r="G311" s="16"/>
      <c r="H311" s="41" t="s">
        <v>1413</v>
      </c>
      <c r="I311" s="12" t="s">
        <v>1414</v>
      </c>
    </row>
    <row r="312" spans="1:9" s="40" customFormat="1" ht="35.1" customHeight="1">
      <c r="A312" s="46"/>
      <c r="B312" s="31" t="s">
        <v>1415</v>
      </c>
      <c r="C312" s="16" t="s">
        <v>1416</v>
      </c>
      <c r="D312" s="44" t="s">
        <v>18</v>
      </c>
      <c r="E312" s="52" t="s">
        <v>149</v>
      </c>
      <c r="F312" s="31"/>
      <c r="G312" s="16"/>
      <c r="H312" s="32" t="s">
        <v>1417</v>
      </c>
      <c r="I312" s="8" t="s">
        <v>1418</v>
      </c>
    </row>
    <row r="313" spans="1:9" s="40" customFormat="1" ht="29.25" customHeight="1">
      <c r="A313" s="44"/>
      <c r="B313" s="54" t="s">
        <v>1208</v>
      </c>
      <c r="C313" s="44" t="s">
        <v>1209</v>
      </c>
      <c r="D313" s="44" t="s">
        <v>1419</v>
      </c>
      <c r="E313" s="44" t="s">
        <v>1210</v>
      </c>
      <c r="F313" s="44"/>
      <c r="G313" s="44"/>
      <c r="H313" s="45" t="s">
        <v>1420</v>
      </c>
      <c r="I313" s="8" t="s">
        <v>1421</v>
      </c>
    </row>
    <row r="314" spans="1:9" s="40" customFormat="1" ht="24.75" customHeight="1">
      <c r="A314" s="46"/>
      <c r="B314" s="31" t="s">
        <v>1375</v>
      </c>
      <c r="C314" s="16" t="s">
        <v>1422</v>
      </c>
      <c r="D314" s="44" t="s">
        <v>89</v>
      </c>
      <c r="E314" s="44" t="s">
        <v>89</v>
      </c>
      <c r="F314" s="16"/>
      <c r="G314" s="16"/>
      <c r="H314" s="41" t="s">
        <v>1423</v>
      </c>
      <c r="I314" s="12" t="s">
        <v>1424</v>
      </c>
    </row>
    <row r="315" spans="1:9" s="40" customFormat="1" ht="24.75" customHeight="1">
      <c r="A315" s="46"/>
      <c r="B315" s="31" t="s">
        <v>905</v>
      </c>
      <c r="C315" s="16" t="s">
        <v>1425</v>
      </c>
      <c r="D315" s="44" t="s">
        <v>1426</v>
      </c>
      <c r="E315" s="44" t="s">
        <v>1004</v>
      </c>
      <c r="F315" s="16"/>
      <c r="G315" s="16"/>
      <c r="H315" s="41" t="s">
        <v>1427</v>
      </c>
      <c r="I315" s="12" t="s">
        <v>1428</v>
      </c>
    </row>
    <row r="316" spans="1:9" s="40" customFormat="1" ht="35.1" customHeight="1">
      <c r="A316" s="46"/>
      <c r="B316" s="31" t="s">
        <v>1429</v>
      </c>
      <c r="C316" s="16" t="s">
        <v>1430</v>
      </c>
      <c r="D316" s="44" t="s">
        <v>15</v>
      </c>
      <c r="E316" s="52" t="s">
        <v>44</v>
      </c>
      <c r="F316" s="31"/>
      <c r="G316" s="16"/>
      <c r="H316" s="32" t="s">
        <v>1431</v>
      </c>
      <c r="I316" s="8" t="s">
        <v>1432</v>
      </c>
    </row>
    <row r="317" spans="1:9" s="40" customFormat="1" ht="29.25" customHeight="1">
      <c r="A317" s="44"/>
      <c r="B317" s="54" t="s">
        <v>817</v>
      </c>
      <c r="C317" s="44" t="s">
        <v>1433</v>
      </c>
      <c r="D317" s="44" t="s">
        <v>15</v>
      </c>
      <c r="E317" s="44" t="s">
        <v>44</v>
      </c>
      <c r="F317" s="44"/>
      <c r="G317" s="44"/>
      <c r="H317" s="45" t="s">
        <v>1434</v>
      </c>
      <c r="I317" s="8" t="s">
        <v>1435</v>
      </c>
    </row>
    <row r="318" spans="1:9" s="40" customFormat="1" ht="35.1" customHeight="1">
      <c r="A318" s="46"/>
      <c r="B318" s="31" t="s">
        <v>661</v>
      </c>
      <c r="C318" s="16" t="s">
        <v>1436</v>
      </c>
      <c r="D318" s="44" t="s">
        <v>18</v>
      </c>
      <c r="E318" s="52" t="s">
        <v>149</v>
      </c>
      <c r="F318" s="31"/>
      <c r="G318" s="16"/>
      <c r="H318" s="32" t="s">
        <v>1437</v>
      </c>
      <c r="I318" s="8" t="s">
        <v>1438</v>
      </c>
    </row>
    <row r="319" spans="1:9" s="40" customFormat="1" ht="29.25" customHeight="1">
      <c r="A319" s="44"/>
      <c r="B319" s="54" t="s">
        <v>145</v>
      </c>
      <c r="C319" s="44" t="s">
        <v>1439</v>
      </c>
      <c r="D319" s="44" t="s">
        <v>18</v>
      </c>
      <c r="E319" s="44" t="s">
        <v>149</v>
      </c>
      <c r="F319" s="44"/>
      <c r="G319" s="44"/>
      <c r="H319" s="45">
        <v>42802</v>
      </c>
      <c r="I319" s="8" t="s">
        <v>1440</v>
      </c>
    </row>
    <row r="320" spans="1:9" s="40" customFormat="1" ht="29.25" customHeight="1">
      <c r="A320" s="44"/>
      <c r="B320" s="54" t="s">
        <v>145</v>
      </c>
      <c r="C320" s="44" t="s">
        <v>1439</v>
      </c>
      <c r="D320" s="44" t="s">
        <v>15</v>
      </c>
      <c r="E320" s="44" t="s">
        <v>44</v>
      </c>
      <c r="F320" s="44"/>
      <c r="G320" s="44"/>
      <c r="H320" s="45">
        <v>42802</v>
      </c>
      <c r="I320" s="8" t="s">
        <v>1440</v>
      </c>
    </row>
    <row r="321" spans="1:9" s="40" customFormat="1" ht="31.5" customHeight="1">
      <c r="A321" s="46"/>
      <c r="B321" s="31" t="s">
        <v>1077</v>
      </c>
      <c r="C321" s="16" t="s">
        <v>1441</v>
      </c>
      <c r="D321" s="44" t="s">
        <v>15</v>
      </c>
      <c r="E321" s="44" t="s">
        <v>44</v>
      </c>
      <c r="F321" s="16"/>
      <c r="G321" s="16"/>
      <c r="H321" s="41">
        <v>42825</v>
      </c>
      <c r="I321" s="12" t="s">
        <v>1442</v>
      </c>
    </row>
    <row r="322" spans="1:9" s="40" customFormat="1" ht="24.75" customHeight="1">
      <c r="A322" s="46"/>
      <c r="B322" s="31" t="s">
        <v>30</v>
      </c>
      <c r="C322" s="16" t="s">
        <v>1399</v>
      </c>
      <c r="D322" s="44" t="s">
        <v>1393</v>
      </c>
      <c r="E322" s="44" t="s">
        <v>1393</v>
      </c>
      <c r="F322" s="31"/>
      <c r="G322" s="16"/>
      <c r="H322" s="48" t="s">
        <v>1443</v>
      </c>
      <c r="I322" s="8" t="s">
        <v>1411</v>
      </c>
    </row>
    <row r="323" spans="1:9" s="40" customFormat="1" ht="31.5" customHeight="1">
      <c r="A323" s="46"/>
      <c r="B323" s="31" t="s">
        <v>1077</v>
      </c>
      <c r="C323" s="16" t="s">
        <v>1444</v>
      </c>
      <c r="D323" s="44" t="s">
        <v>44</v>
      </c>
      <c r="E323" s="44" t="s">
        <v>15</v>
      </c>
      <c r="F323" s="16"/>
      <c r="G323" s="16"/>
      <c r="H323" s="41" t="s">
        <v>1445</v>
      </c>
      <c r="I323" s="12" t="s">
        <v>1446</v>
      </c>
    </row>
    <row r="324" spans="1:9" s="40" customFormat="1" ht="27" customHeight="1">
      <c r="A324" s="44"/>
      <c r="B324" s="54" t="s">
        <v>919</v>
      </c>
      <c r="C324" s="44" t="s">
        <v>1251</v>
      </c>
      <c r="D324" s="44" t="s">
        <v>15</v>
      </c>
      <c r="E324" s="44" t="s">
        <v>44</v>
      </c>
      <c r="F324" s="44"/>
      <c r="G324" s="44"/>
      <c r="H324" s="45" t="s">
        <v>1447</v>
      </c>
      <c r="I324" s="8" t="s">
        <v>1448</v>
      </c>
    </row>
    <row r="325" spans="1:9" s="40" customFormat="1" ht="24.75" customHeight="1">
      <c r="A325" s="46"/>
      <c r="B325" s="31" t="s">
        <v>1449</v>
      </c>
      <c r="C325" s="16" t="s">
        <v>1450</v>
      </c>
      <c r="D325" s="44" t="s">
        <v>1451</v>
      </c>
      <c r="E325" s="44" t="s">
        <v>1452</v>
      </c>
      <c r="F325" s="16"/>
      <c r="G325" s="16"/>
      <c r="H325" s="41" t="s">
        <v>1453</v>
      </c>
      <c r="I325" s="12" t="s">
        <v>1454</v>
      </c>
    </row>
    <row r="326" spans="1:9" s="40" customFormat="1" ht="29.25" customHeight="1">
      <c r="A326" s="44"/>
      <c r="B326" s="54" t="s">
        <v>495</v>
      </c>
      <c r="C326" s="44" t="s">
        <v>1455</v>
      </c>
      <c r="D326" s="44" t="s">
        <v>1456</v>
      </c>
      <c r="E326" s="44" t="s">
        <v>1456</v>
      </c>
      <c r="F326" s="44"/>
      <c r="G326" s="44"/>
      <c r="H326" s="45" t="s">
        <v>1457</v>
      </c>
      <c r="I326" s="8" t="s">
        <v>1458</v>
      </c>
    </row>
    <row r="327" spans="1:9" s="40" customFormat="1" ht="35.1" customHeight="1">
      <c r="A327" s="46"/>
      <c r="B327" s="31" t="s">
        <v>1459</v>
      </c>
      <c r="C327" s="16" t="s">
        <v>1460</v>
      </c>
      <c r="D327" s="44" t="s">
        <v>15</v>
      </c>
      <c r="E327" s="52" t="s">
        <v>44</v>
      </c>
      <c r="F327" s="31"/>
      <c r="G327" s="16"/>
      <c r="H327" s="32" t="s">
        <v>1461</v>
      </c>
      <c r="I327" s="8" t="s">
        <v>1462</v>
      </c>
    </row>
    <row r="328" spans="1:9" s="40" customFormat="1" ht="35.1" customHeight="1">
      <c r="A328" s="46"/>
      <c r="B328" s="31" t="s">
        <v>1463</v>
      </c>
      <c r="C328" s="16" t="s">
        <v>1464</v>
      </c>
      <c r="D328" s="44" t="s">
        <v>672</v>
      </c>
      <c r="E328" s="52" t="s">
        <v>1465</v>
      </c>
      <c r="F328" s="31"/>
      <c r="G328" s="16"/>
      <c r="H328" s="32" t="s">
        <v>1466</v>
      </c>
      <c r="I328" s="8" t="s">
        <v>1467</v>
      </c>
    </row>
    <row r="329" spans="1:9" s="40" customFormat="1" ht="29.25" customHeight="1">
      <c r="A329" s="44"/>
      <c r="B329" s="54" t="s">
        <v>495</v>
      </c>
      <c r="C329" s="44" t="s">
        <v>1468</v>
      </c>
      <c r="D329" s="44" t="s">
        <v>89</v>
      </c>
      <c r="E329" s="44" t="s">
        <v>167</v>
      </c>
      <c r="F329" s="44"/>
      <c r="G329" s="44"/>
      <c r="H329" s="45" t="s">
        <v>1469</v>
      </c>
      <c r="I329" s="8" t="s">
        <v>1470</v>
      </c>
    </row>
    <row r="330" spans="1:9" s="40" customFormat="1" ht="35.1" customHeight="1">
      <c r="A330" s="46"/>
      <c r="B330" s="31" t="s">
        <v>87</v>
      </c>
      <c r="C330" s="16" t="s">
        <v>1471</v>
      </c>
      <c r="D330" s="44" t="s">
        <v>89</v>
      </c>
      <c r="E330" s="52" t="s">
        <v>89</v>
      </c>
      <c r="F330" s="31"/>
      <c r="G330" s="16"/>
      <c r="H330" s="32" t="s">
        <v>1472</v>
      </c>
      <c r="I330" s="8" t="s">
        <v>1470</v>
      </c>
    </row>
    <row r="331" spans="1:9" s="40" customFormat="1" ht="24.75" customHeight="1">
      <c r="A331" s="46"/>
      <c r="B331" s="31" t="s">
        <v>1473</v>
      </c>
      <c r="C331" s="16" t="s">
        <v>1474</v>
      </c>
      <c r="D331" s="44" t="s">
        <v>1475</v>
      </c>
      <c r="E331" s="44" t="s">
        <v>1234</v>
      </c>
      <c r="F331" s="16"/>
      <c r="G331" s="16"/>
      <c r="H331" s="41" t="s">
        <v>1476</v>
      </c>
      <c r="I331" s="12" t="s">
        <v>1462</v>
      </c>
    </row>
    <row r="332" spans="1:9" s="40" customFormat="1" ht="24.75" customHeight="1">
      <c r="A332" s="46"/>
      <c r="B332" s="31" t="s">
        <v>19</v>
      </c>
      <c r="C332" s="16" t="s">
        <v>1477</v>
      </c>
      <c r="D332" s="44" t="s">
        <v>702</v>
      </c>
      <c r="E332" s="15" t="s">
        <v>702</v>
      </c>
      <c r="F332" s="31"/>
      <c r="G332" s="16"/>
      <c r="H332" s="48" t="s">
        <v>1478</v>
      </c>
      <c r="I332" s="8" t="s">
        <v>1479</v>
      </c>
    </row>
    <row r="333" spans="1:9" s="40" customFormat="1" ht="24.75" customHeight="1">
      <c r="A333" s="46"/>
      <c r="B333" s="31" t="s">
        <v>1480</v>
      </c>
      <c r="C333" s="16" t="s">
        <v>1481</v>
      </c>
      <c r="D333" s="44" t="s">
        <v>15</v>
      </c>
      <c r="E333" s="44" t="s">
        <v>15</v>
      </c>
      <c r="F333" s="16"/>
      <c r="G333" s="16"/>
      <c r="H333" s="41" t="s">
        <v>1482</v>
      </c>
      <c r="I333" s="12" t="s">
        <v>1483</v>
      </c>
    </row>
    <row r="334" spans="1:9" s="40" customFormat="1" ht="35.1" customHeight="1">
      <c r="A334" s="46"/>
      <c r="B334" s="31" t="s">
        <v>1484</v>
      </c>
      <c r="C334" s="16" t="s">
        <v>1485</v>
      </c>
      <c r="D334" s="44" t="s">
        <v>15</v>
      </c>
      <c r="E334" s="52" t="s">
        <v>44</v>
      </c>
      <c r="F334" s="31"/>
      <c r="G334" s="16"/>
      <c r="H334" s="32" t="s">
        <v>1486</v>
      </c>
      <c r="I334" s="8" t="s">
        <v>1487</v>
      </c>
    </row>
    <row r="335" spans="1:9" s="40" customFormat="1" ht="29.25" customHeight="1">
      <c r="A335" s="44"/>
      <c r="B335" s="54" t="s">
        <v>1488</v>
      </c>
      <c r="C335" s="44" t="s">
        <v>1489</v>
      </c>
      <c r="D335" s="44" t="s">
        <v>15</v>
      </c>
      <c r="E335" s="44" t="s">
        <v>44</v>
      </c>
      <c r="F335" s="44"/>
      <c r="G335" s="44"/>
      <c r="H335" s="45" t="s">
        <v>1490</v>
      </c>
      <c r="I335" s="8" t="s">
        <v>1491</v>
      </c>
    </row>
    <row r="336" spans="1:9" s="40" customFormat="1" ht="29.25" customHeight="1">
      <c r="A336" s="44"/>
      <c r="B336" s="54" t="s">
        <v>495</v>
      </c>
      <c r="C336" s="44" t="s">
        <v>1492</v>
      </c>
      <c r="D336" s="44" t="s">
        <v>89</v>
      </c>
      <c r="E336" s="44" t="s">
        <v>167</v>
      </c>
      <c r="F336" s="44"/>
      <c r="G336" s="44"/>
      <c r="H336" s="45" t="s">
        <v>1493</v>
      </c>
      <c r="I336" s="8" t="s">
        <v>1494</v>
      </c>
    </row>
    <row r="337" spans="1:9" s="40" customFormat="1" ht="29.25" customHeight="1">
      <c r="A337" s="44"/>
      <c r="B337" s="54" t="s">
        <v>495</v>
      </c>
      <c r="C337" s="44" t="s">
        <v>1495</v>
      </c>
      <c r="D337" s="44" t="s">
        <v>89</v>
      </c>
      <c r="E337" s="44" t="s">
        <v>167</v>
      </c>
      <c r="F337" s="44"/>
      <c r="G337" s="44"/>
      <c r="H337" s="45" t="s">
        <v>1496</v>
      </c>
      <c r="I337" s="8" t="s">
        <v>1497</v>
      </c>
    </row>
    <row r="338" spans="1:9" s="40" customFormat="1" ht="24.75" customHeight="1">
      <c r="A338" s="46"/>
      <c r="B338" s="31" t="s">
        <v>1498</v>
      </c>
      <c r="C338" s="16" t="s">
        <v>1499</v>
      </c>
      <c r="D338" s="44" t="s">
        <v>1500</v>
      </c>
      <c r="E338" s="44"/>
      <c r="F338" s="31"/>
      <c r="G338" s="16"/>
      <c r="H338" s="48" t="s">
        <v>1501</v>
      </c>
      <c r="I338" s="8" t="s">
        <v>1502</v>
      </c>
    </row>
    <row r="339" spans="1:9" s="40" customFormat="1" ht="35.1" customHeight="1">
      <c r="A339" s="46"/>
      <c r="B339" s="31" t="s">
        <v>1077</v>
      </c>
      <c r="C339" s="16" t="s">
        <v>1503</v>
      </c>
      <c r="D339" s="44" t="s">
        <v>15</v>
      </c>
      <c r="E339" s="52" t="s">
        <v>44</v>
      </c>
      <c r="F339" s="31"/>
      <c r="G339" s="16"/>
      <c r="H339" s="32" t="s">
        <v>1504</v>
      </c>
      <c r="I339" s="8" t="s">
        <v>1505</v>
      </c>
    </row>
    <row r="340" spans="1:9" s="40" customFormat="1" ht="29.25" customHeight="1">
      <c r="A340" s="44"/>
      <c r="B340" s="54" t="s">
        <v>45</v>
      </c>
      <c r="C340" s="44" t="s">
        <v>1506</v>
      </c>
      <c r="D340" s="44" t="s">
        <v>18</v>
      </c>
      <c r="E340" s="44" t="s">
        <v>149</v>
      </c>
      <c r="F340" s="44"/>
      <c r="G340" s="44"/>
      <c r="H340" s="45">
        <v>42732</v>
      </c>
      <c r="I340" s="8" t="s">
        <v>1507</v>
      </c>
    </row>
    <row r="341" spans="1:9" s="40" customFormat="1" ht="29.25" customHeight="1">
      <c r="A341" s="44"/>
      <c r="B341" s="54" t="s">
        <v>1508</v>
      </c>
      <c r="C341" s="44" t="s">
        <v>1509</v>
      </c>
      <c r="D341" s="44" t="s">
        <v>15</v>
      </c>
      <c r="E341" s="44" t="s">
        <v>44</v>
      </c>
      <c r="F341" s="44"/>
      <c r="G341" s="44"/>
      <c r="H341" s="45" t="s">
        <v>1510</v>
      </c>
      <c r="I341" s="8" t="s">
        <v>1511</v>
      </c>
    </row>
    <row r="342" spans="1:9" s="40" customFormat="1" ht="24.75" customHeight="1">
      <c r="A342" s="46"/>
      <c r="B342" s="31" t="s">
        <v>1512</v>
      </c>
      <c r="C342" s="16" t="s">
        <v>1513</v>
      </c>
      <c r="D342" s="44" t="s">
        <v>18</v>
      </c>
      <c r="E342" s="44" t="s">
        <v>149</v>
      </c>
      <c r="F342" s="16"/>
      <c r="G342" s="16"/>
      <c r="H342" s="41" t="s">
        <v>1514</v>
      </c>
      <c r="I342" s="12" t="s">
        <v>1515</v>
      </c>
    </row>
    <row r="343" spans="1:9" s="40" customFormat="1" ht="29.25" customHeight="1">
      <c r="A343" s="44"/>
      <c r="B343" s="54" t="s">
        <v>1508</v>
      </c>
      <c r="C343" s="44" t="s">
        <v>1516</v>
      </c>
      <c r="D343" s="44" t="s">
        <v>15</v>
      </c>
      <c r="E343" s="44" t="s">
        <v>44</v>
      </c>
      <c r="F343" s="44"/>
      <c r="G343" s="44"/>
      <c r="H343" s="45" t="s">
        <v>1517</v>
      </c>
      <c r="I343" s="8" t="s">
        <v>1518</v>
      </c>
    </row>
    <row r="344" spans="1:9" s="40" customFormat="1" ht="24.75" customHeight="1">
      <c r="A344" s="46"/>
      <c r="B344" s="31" t="s">
        <v>1519</v>
      </c>
      <c r="C344" s="16" t="s">
        <v>1520</v>
      </c>
      <c r="D344" s="44" t="s">
        <v>1521</v>
      </c>
      <c r="E344" s="44" t="s">
        <v>1521</v>
      </c>
      <c r="F344" s="16"/>
      <c r="G344" s="16"/>
      <c r="H344" s="41" t="s">
        <v>1522</v>
      </c>
      <c r="I344" s="12" t="s">
        <v>1523</v>
      </c>
    </row>
    <row r="345" spans="1:9" s="40" customFormat="1" ht="35.1" customHeight="1">
      <c r="A345" s="46"/>
      <c r="B345" s="31" t="s">
        <v>87</v>
      </c>
      <c r="C345" s="16" t="s">
        <v>1524</v>
      </c>
      <c r="D345" s="44" t="s">
        <v>167</v>
      </c>
      <c r="E345" s="52" t="s">
        <v>89</v>
      </c>
      <c r="F345" s="31"/>
      <c r="G345" s="16"/>
      <c r="H345" s="32" t="s">
        <v>1525</v>
      </c>
      <c r="I345" s="8" t="s">
        <v>1526</v>
      </c>
    </row>
    <row r="346" spans="1:9" s="40" customFormat="1" ht="29.25" customHeight="1">
      <c r="A346" s="44"/>
      <c r="B346" s="54" t="s">
        <v>1527</v>
      </c>
      <c r="C346" s="44" t="s">
        <v>1528</v>
      </c>
      <c r="D346" s="44" t="s">
        <v>18</v>
      </c>
      <c r="E346" s="44" t="s">
        <v>149</v>
      </c>
      <c r="F346" s="44"/>
      <c r="G346" s="44"/>
      <c r="H346" s="45" t="s">
        <v>1529</v>
      </c>
      <c r="I346" s="8" t="s">
        <v>1530</v>
      </c>
    </row>
    <row r="347" spans="1:9" s="40" customFormat="1" ht="29.25" customHeight="1">
      <c r="A347" s="44"/>
      <c r="B347" s="54" t="s">
        <v>635</v>
      </c>
      <c r="C347" s="31" t="s">
        <v>1531</v>
      </c>
      <c r="D347" s="44" t="s">
        <v>1532</v>
      </c>
      <c r="E347" s="44"/>
      <c r="F347" s="44"/>
      <c r="G347" s="44"/>
      <c r="H347" s="45" t="s">
        <v>1533</v>
      </c>
      <c r="I347" s="42" t="s">
        <v>1534</v>
      </c>
    </row>
    <row r="348" spans="1:9" ht="28.5" customHeight="1">
      <c r="A348" s="1"/>
      <c r="B348" s="54" t="s">
        <v>773</v>
      </c>
      <c r="C348" s="1" t="s">
        <v>1535</v>
      </c>
      <c r="D348" s="44" t="s">
        <v>1021</v>
      </c>
      <c r="E348" s="44" t="s">
        <v>149</v>
      </c>
      <c r="F348" s="1"/>
      <c r="G348" s="1"/>
      <c r="H348" s="45" t="s">
        <v>1536</v>
      </c>
      <c r="I348" s="8" t="s">
        <v>1537</v>
      </c>
    </row>
    <row r="349" spans="1:9" s="40" customFormat="1" ht="35.1" customHeight="1">
      <c r="A349" s="46"/>
      <c r="B349" s="31" t="s">
        <v>1538</v>
      </c>
      <c r="C349" s="16" t="s">
        <v>1539</v>
      </c>
      <c r="D349" s="44" t="s">
        <v>1540</v>
      </c>
      <c r="E349" s="44" t="s">
        <v>1540</v>
      </c>
      <c r="F349" s="31"/>
      <c r="G349" s="16"/>
      <c r="H349" s="32" t="s">
        <v>1541</v>
      </c>
      <c r="I349" s="8" t="s">
        <v>1542</v>
      </c>
    </row>
    <row r="350" spans="1:9" s="40" customFormat="1" ht="35.1" customHeight="1">
      <c r="A350" s="46"/>
      <c r="B350" s="31" t="s">
        <v>1429</v>
      </c>
      <c r="C350" s="16" t="s">
        <v>1543</v>
      </c>
      <c r="D350" s="44" t="s">
        <v>15</v>
      </c>
      <c r="E350" s="52" t="s">
        <v>44</v>
      </c>
      <c r="F350" s="31"/>
      <c r="G350" s="16"/>
      <c r="H350" s="32" t="s">
        <v>1544</v>
      </c>
      <c r="I350" s="8" t="s">
        <v>1545</v>
      </c>
    </row>
    <row r="351" spans="1:9" s="40" customFormat="1" ht="29.25" customHeight="1">
      <c r="A351" s="44"/>
      <c r="B351" s="54" t="s">
        <v>1241</v>
      </c>
      <c r="C351" s="44" t="s">
        <v>1546</v>
      </c>
      <c r="D351" s="44" t="s">
        <v>15</v>
      </c>
      <c r="E351" s="44" t="s">
        <v>44</v>
      </c>
      <c r="F351" s="44"/>
      <c r="G351" s="44"/>
      <c r="H351" s="45" t="s">
        <v>1547</v>
      </c>
      <c r="I351" s="8" t="s">
        <v>1548</v>
      </c>
    </row>
    <row r="352" spans="1:9" s="40" customFormat="1" ht="29.25" customHeight="1">
      <c r="A352" s="44"/>
      <c r="B352" s="54" t="s">
        <v>495</v>
      </c>
      <c r="C352" s="44" t="s">
        <v>1549</v>
      </c>
      <c r="D352" s="44" t="s">
        <v>89</v>
      </c>
      <c r="E352" s="44" t="s">
        <v>1550</v>
      </c>
      <c r="F352" s="44"/>
      <c r="G352" s="44"/>
      <c r="H352" s="45" t="s">
        <v>1551</v>
      </c>
      <c r="I352" s="8" t="s">
        <v>1552</v>
      </c>
    </row>
    <row r="353" spans="1:9" s="40" customFormat="1" ht="35.1" customHeight="1">
      <c r="A353" s="46"/>
      <c r="B353" s="31" t="s">
        <v>727</v>
      </c>
      <c r="C353" s="16" t="s">
        <v>1553</v>
      </c>
      <c r="D353" s="44" t="s">
        <v>1554</v>
      </c>
      <c r="E353" s="52" t="s">
        <v>149</v>
      </c>
      <c r="F353" s="31"/>
      <c r="G353" s="16"/>
      <c r="H353" s="32" t="s">
        <v>1555</v>
      </c>
      <c r="I353" s="8" t="s">
        <v>1556</v>
      </c>
    </row>
    <row r="354" spans="1:9" s="40" customFormat="1" ht="35.1" customHeight="1">
      <c r="A354" s="46"/>
      <c r="B354" s="31" t="s">
        <v>1077</v>
      </c>
      <c r="C354" s="16" t="s">
        <v>1557</v>
      </c>
      <c r="D354" s="44" t="s">
        <v>44</v>
      </c>
      <c r="E354" s="44" t="s">
        <v>44</v>
      </c>
      <c r="F354" s="31"/>
      <c r="G354" s="16"/>
      <c r="H354" s="32" t="s">
        <v>1558</v>
      </c>
      <c r="I354" s="8" t="s">
        <v>1559</v>
      </c>
    </row>
    <row r="355" spans="1:9" s="40" customFormat="1" ht="29.25" customHeight="1">
      <c r="A355" s="44"/>
      <c r="B355" s="54" t="s">
        <v>1560</v>
      </c>
      <c r="C355" s="44" t="s">
        <v>1561</v>
      </c>
      <c r="D355" s="44" t="s">
        <v>15</v>
      </c>
      <c r="E355" s="44" t="s">
        <v>44</v>
      </c>
      <c r="F355" s="44"/>
      <c r="G355" s="44"/>
      <c r="H355" s="45" t="s">
        <v>1562</v>
      </c>
      <c r="I355" s="8" t="s">
        <v>1563</v>
      </c>
    </row>
    <row r="356" spans="1:9" s="40" customFormat="1" ht="37.5" customHeight="1">
      <c r="A356" s="43"/>
      <c r="B356" s="54" t="s">
        <v>16</v>
      </c>
      <c r="C356" s="44" t="s">
        <v>1564</v>
      </c>
      <c r="D356" s="44" t="s">
        <v>167</v>
      </c>
      <c r="E356" s="44" t="s">
        <v>167</v>
      </c>
      <c r="F356" s="44"/>
      <c r="G356" s="44"/>
      <c r="H356" s="45" t="s">
        <v>1565</v>
      </c>
      <c r="I356" s="8" t="s">
        <v>1566</v>
      </c>
    </row>
    <row r="357" spans="1:9" s="40" customFormat="1" ht="31.5" customHeight="1">
      <c r="A357" s="46"/>
      <c r="B357" s="31" t="s">
        <v>1567</v>
      </c>
      <c r="C357" s="16" t="s">
        <v>1568</v>
      </c>
      <c r="D357" s="15" t="s">
        <v>1569</v>
      </c>
      <c r="E357" s="15" t="s">
        <v>1570</v>
      </c>
      <c r="F357" s="16"/>
      <c r="G357" s="16" t="s">
        <v>1571</v>
      </c>
      <c r="H357" s="41">
        <v>42829</v>
      </c>
      <c r="I357" s="8" t="s">
        <v>1572</v>
      </c>
    </row>
    <row r="358" spans="1:9" s="40" customFormat="1" ht="35.1" customHeight="1">
      <c r="A358" s="46"/>
      <c r="B358" s="31" t="s">
        <v>87</v>
      </c>
      <c r="C358" s="16" t="s">
        <v>1573</v>
      </c>
      <c r="D358" s="44" t="s">
        <v>167</v>
      </c>
      <c r="E358" s="52" t="s">
        <v>89</v>
      </c>
      <c r="F358" s="31"/>
      <c r="G358" s="16"/>
      <c r="H358" s="32">
        <v>43024</v>
      </c>
      <c r="I358" s="8" t="s">
        <v>1574</v>
      </c>
    </row>
    <row r="359" spans="1:9" s="40" customFormat="1" ht="35.1" customHeight="1">
      <c r="A359" s="46"/>
      <c r="B359" s="31" t="s">
        <v>1575</v>
      </c>
      <c r="C359" s="16" t="s">
        <v>1576</v>
      </c>
      <c r="D359" s="44" t="s">
        <v>15</v>
      </c>
      <c r="E359" s="52" t="s">
        <v>44</v>
      </c>
      <c r="F359" s="31"/>
      <c r="G359" s="16"/>
      <c r="H359" s="32" t="s">
        <v>1577</v>
      </c>
      <c r="I359" s="8" t="s">
        <v>1578</v>
      </c>
    </row>
    <row r="360" spans="1:9" ht="28.5" customHeight="1">
      <c r="A360" s="1"/>
      <c r="B360" s="54" t="s">
        <v>773</v>
      </c>
      <c r="C360" s="1" t="s">
        <v>1535</v>
      </c>
      <c r="D360" s="44" t="s">
        <v>1021</v>
      </c>
      <c r="E360" s="44" t="s">
        <v>149</v>
      </c>
      <c r="F360" s="1"/>
      <c r="G360" s="1"/>
      <c r="H360" s="45" t="s">
        <v>1579</v>
      </c>
      <c r="I360" s="8" t="s">
        <v>1580</v>
      </c>
    </row>
    <row r="361" spans="1:9" s="40" customFormat="1" ht="29.25" customHeight="1">
      <c r="A361" s="44"/>
      <c r="B361" s="54" t="s">
        <v>141</v>
      </c>
      <c r="C361" s="44" t="s">
        <v>1581</v>
      </c>
      <c r="D361" s="44" t="s">
        <v>15</v>
      </c>
      <c r="E361" s="44" t="s">
        <v>44</v>
      </c>
      <c r="F361" s="44"/>
      <c r="G361" s="44"/>
      <c r="H361" s="45" t="s">
        <v>1582</v>
      </c>
      <c r="I361" s="8" t="s">
        <v>1583</v>
      </c>
    </row>
    <row r="362" spans="1:9" s="40" customFormat="1" ht="35.1" customHeight="1">
      <c r="A362" s="46"/>
      <c r="B362" s="31" t="s">
        <v>412</v>
      </c>
      <c r="C362" s="16" t="s">
        <v>1584</v>
      </c>
      <c r="D362" s="44" t="s">
        <v>15</v>
      </c>
      <c r="E362" s="52" t="s">
        <v>44</v>
      </c>
      <c r="F362" s="31"/>
      <c r="G362" s="16"/>
      <c r="H362" s="32" t="s">
        <v>1585</v>
      </c>
      <c r="I362" s="8" t="s">
        <v>1586</v>
      </c>
    </row>
    <row r="363" spans="1:9" s="40" customFormat="1" ht="35.1" customHeight="1">
      <c r="A363" s="46"/>
      <c r="B363" s="31" t="s">
        <v>1587</v>
      </c>
      <c r="C363" s="16" t="s">
        <v>1588</v>
      </c>
      <c r="D363" s="44" t="s">
        <v>1589</v>
      </c>
      <c r="E363" s="44" t="s">
        <v>149</v>
      </c>
      <c r="F363" s="31"/>
      <c r="G363" s="16"/>
      <c r="H363" s="32" t="s">
        <v>1590</v>
      </c>
      <c r="I363" s="8" t="s">
        <v>1591</v>
      </c>
    </row>
    <row r="364" spans="1:9" s="40" customFormat="1" ht="35.1" customHeight="1">
      <c r="A364" s="46"/>
      <c r="B364" s="31" t="s">
        <v>966</v>
      </c>
      <c r="C364" s="16" t="s">
        <v>1062</v>
      </c>
      <c r="D364" s="44" t="s">
        <v>165</v>
      </c>
      <c r="E364" s="52" t="s">
        <v>1234</v>
      </c>
      <c r="F364" s="31"/>
      <c r="G364" s="16"/>
      <c r="H364" s="32" t="s">
        <v>1592</v>
      </c>
      <c r="I364" s="8" t="s">
        <v>1593</v>
      </c>
    </row>
    <row r="365" spans="1:9" s="40" customFormat="1" ht="35.1" customHeight="1">
      <c r="A365" s="46"/>
      <c r="B365" s="31" t="s">
        <v>773</v>
      </c>
      <c r="C365" s="16" t="s">
        <v>1594</v>
      </c>
      <c r="D365" s="44" t="s">
        <v>1595</v>
      </c>
      <c r="E365" s="52" t="s">
        <v>1234</v>
      </c>
      <c r="F365" s="31"/>
      <c r="G365" s="16"/>
      <c r="H365" s="32" t="s">
        <v>1596</v>
      </c>
      <c r="I365" s="8" t="s">
        <v>1597</v>
      </c>
    </row>
    <row r="366" spans="1:9" s="40" customFormat="1" ht="29.25" customHeight="1">
      <c r="A366" s="44"/>
      <c r="B366" s="54" t="s">
        <v>1598</v>
      </c>
      <c r="C366" s="44" t="s">
        <v>1599</v>
      </c>
      <c r="D366" s="44" t="s">
        <v>44</v>
      </c>
      <c r="E366" s="44" t="s">
        <v>44</v>
      </c>
      <c r="F366" s="44"/>
      <c r="G366" s="44"/>
      <c r="H366" s="45" t="s">
        <v>1600</v>
      </c>
      <c r="I366" s="8" t="s">
        <v>1601</v>
      </c>
    </row>
    <row r="367" spans="1:9" s="40" customFormat="1" ht="35.1" customHeight="1">
      <c r="A367" s="46"/>
      <c r="B367" s="31" t="s">
        <v>1602</v>
      </c>
      <c r="C367" s="16" t="s">
        <v>1603</v>
      </c>
      <c r="D367" s="44" t="s">
        <v>15</v>
      </c>
      <c r="E367" s="52" t="s">
        <v>44</v>
      </c>
      <c r="F367" s="31"/>
      <c r="G367" s="16"/>
      <c r="H367" s="32" t="s">
        <v>1604</v>
      </c>
      <c r="I367" s="8" t="s">
        <v>1605</v>
      </c>
    </row>
    <row r="368" spans="1:9" s="40" customFormat="1" ht="35.1" customHeight="1">
      <c r="A368" s="46"/>
      <c r="B368" s="31" t="s">
        <v>1587</v>
      </c>
      <c r="C368" s="16" t="s">
        <v>1606</v>
      </c>
      <c r="D368" s="44" t="s">
        <v>176</v>
      </c>
      <c r="E368" s="44" t="s">
        <v>786</v>
      </c>
      <c r="F368" s="31"/>
      <c r="G368" s="16"/>
      <c r="H368" s="32" t="s">
        <v>1607</v>
      </c>
      <c r="I368" s="8" t="s">
        <v>1608</v>
      </c>
    </row>
    <row r="369" spans="1:9" s="40" customFormat="1" ht="35.1" customHeight="1">
      <c r="A369" s="46"/>
      <c r="B369" s="31" t="s">
        <v>1609</v>
      </c>
      <c r="C369" s="16" t="s">
        <v>1610</v>
      </c>
      <c r="D369" s="44" t="s">
        <v>1611</v>
      </c>
      <c r="E369" s="52" t="s">
        <v>176</v>
      </c>
      <c r="F369" s="31"/>
      <c r="G369" s="16"/>
      <c r="H369" s="32" t="s">
        <v>1612</v>
      </c>
      <c r="I369" s="8" t="s">
        <v>1613</v>
      </c>
    </row>
    <row r="370" spans="1:9" s="40" customFormat="1" ht="35.1" customHeight="1">
      <c r="A370" s="46"/>
      <c r="B370" s="31" t="s">
        <v>1614</v>
      </c>
      <c r="C370" s="16" t="s">
        <v>1615</v>
      </c>
      <c r="D370" s="44" t="s">
        <v>15</v>
      </c>
      <c r="E370" s="52" t="s">
        <v>44</v>
      </c>
      <c r="F370" s="31"/>
      <c r="G370" s="16"/>
      <c r="H370" s="32" t="s">
        <v>1616</v>
      </c>
      <c r="I370" s="8" t="s">
        <v>1424</v>
      </c>
    </row>
    <row r="371" spans="1:9" s="40" customFormat="1" ht="29.25" customHeight="1">
      <c r="A371" s="44"/>
      <c r="B371" s="54" t="s">
        <v>1617</v>
      </c>
      <c r="C371" s="44" t="s">
        <v>1618</v>
      </c>
      <c r="D371" s="44" t="s">
        <v>498</v>
      </c>
      <c r="E371" s="44" t="s">
        <v>1619</v>
      </c>
      <c r="F371" s="44"/>
      <c r="G371" s="44"/>
      <c r="H371" s="45" t="s">
        <v>1620</v>
      </c>
      <c r="I371" s="8" t="s">
        <v>1597</v>
      </c>
    </row>
    <row r="372" spans="1:9" s="40" customFormat="1" ht="29.25" customHeight="1">
      <c r="A372" s="44"/>
      <c r="B372" s="54" t="s">
        <v>1621</v>
      </c>
      <c r="C372" s="44" t="s">
        <v>1622</v>
      </c>
      <c r="D372" s="44" t="s">
        <v>15</v>
      </c>
      <c r="E372" s="44" t="s">
        <v>44</v>
      </c>
      <c r="F372" s="44"/>
      <c r="G372" s="44"/>
      <c r="H372" s="45" t="s">
        <v>1623</v>
      </c>
      <c r="I372" s="8" t="s">
        <v>1608</v>
      </c>
    </row>
    <row r="373" spans="1:9" s="40" customFormat="1" ht="35.1" customHeight="1">
      <c r="A373" s="46"/>
      <c r="B373" s="31" t="s">
        <v>1624</v>
      </c>
      <c r="C373" s="16" t="s">
        <v>1625</v>
      </c>
      <c r="D373" s="44" t="s">
        <v>15</v>
      </c>
      <c r="E373" s="44" t="s">
        <v>44</v>
      </c>
      <c r="F373" s="31"/>
      <c r="G373" s="16"/>
      <c r="H373" s="32" t="s">
        <v>1626</v>
      </c>
      <c r="I373" s="8" t="s">
        <v>1627</v>
      </c>
    </row>
    <row r="374" spans="1:9" s="40" customFormat="1" ht="35.1" customHeight="1">
      <c r="A374" s="46"/>
      <c r="B374" s="31" t="s">
        <v>1463</v>
      </c>
      <c r="C374" s="16" t="s">
        <v>1628</v>
      </c>
      <c r="D374" s="44" t="s">
        <v>232</v>
      </c>
      <c r="E374" s="52" t="s">
        <v>44</v>
      </c>
      <c r="F374" s="31"/>
      <c r="G374" s="16"/>
      <c r="H374" s="32" t="s">
        <v>1629</v>
      </c>
      <c r="I374" s="8" t="s">
        <v>1630</v>
      </c>
    </row>
    <row r="375" spans="1:9" s="40" customFormat="1" ht="29.25" customHeight="1">
      <c r="A375" s="44"/>
      <c r="B375" s="54" t="s">
        <v>45</v>
      </c>
      <c r="C375" s="44" t="s">
        <v>1631</v>
      </c>
      <c r="D375" s="44" t="s">
        <v>18</v>
      </c>
      <c r="E375" s="44" t="s">
        <v>149</v>
      </c>
      <c r="F375" s="44"/>
      <c r="G375" s="44"/>
      <c r="H375" s="45" t="s">
        <v>1632</v>
      </c>
      <c r="I375" s="8" t="s">
        <v>1633</v>
      </c>
    </row>
    <row r="376" spans="1:9" s="40" customFormat="1" ht="29.25" customHeight="1">
      <c r="A376" s="44"/>
      <c r="B376" s="54" t="s">
        <v>1634</v>
      </c>
      <c r="C376" s="44" t="s">
        <v>1635</v>
      </c>
      <c r="D376" s="44" t="s">
        <v>1636</v>
      </c>
      <c r="E376" s="44" t="s">
        <v>1637</v>
      </c>
      <c r="F376" s="44"/>
      <c r="G376" s="44"/>
      <c r="H376" s="45" t="s">
        <v>1638</v>
      </c>
      <c r="I376" s="8" t="s">
        <v>1639</v>
      </c>
    </row>
    <row r="377" spans="1:9" s="40" customFormat="1" ht="35.1" customHeight="1">
      <c r="A377" s="46"/>
      <c r="B377" s="31" t="s">
        <v>1614</v>
      </c>
      <c r="C377" s="16" t="s">
        <v>1615</v>
      </c>
      <c r="D377" s="44" t="s">
        <v>167</v>
      </c>
      <c r="E377" s="44" t="s">
        <v>1640</v>
      </c>
      <c r="F377" s="31"/>
      <c r="G377" s="16" t="s">
        <v>1641</v>
      </c>
      <c r="H377" s="32">
        <v>42905</v>
      </c>
      <c r="I377" s="8" t="s">
        <v>1642</v>
      </c>
    </row>
    <row r="378" spans="1:9" s="40" customFormat="1" ht="35.1" customHeight="1">
      <c r="A378" s="46"/>
      <c r="B378" s="31" t="s">
        <v>1643</v>
      </c>
      <c r="C378" s="16" t="s">
        <v>1644</v>
      </c>
      <c r="D378" s="52" t="s">
        <v>1645</v>
      </c>
      <c r="E378" s="52" t="s">
        <v>1645</v>
      </c>
      <c r="F378" s="31"/>
      <c r="G378" s="16"/>
      <c r="H378" s="32">
        <v>42985</v>
      </c>
      <c r="I378" s="8" t="s">
        <v>1646</v>
      </c>
    </row>
    <row r="379" spans="1:9" s="40" customFormat="1" ht="29.25" customHeight="1">
      <c r="A379" s="44"/>
      <c r="B379" s="54" t="s">
        <v>161</v>
      </c>
      <c r="C379" s="44" t="s">
        <v>1647</v>
      </c>
      <c r="D379" s="44" t="s">
        <v>1648</v>
      </c>
      <c r="E379" s="44" t="s">
        <v>1649</v>
      </c>
      <c r="F379" s="44"/>
      <c r="G379" s="44"/>
      <c r="H379" s="45" t="s">
        <v>1650</v>
      </c>
      <c r="I379" s="8" t="s">
        <v>1651</v>
      </c>
    </row>
    <row r="380" spans="1:9" ht="28.5" customHeight="1">
      <c r="A380" s="1"/>
      <c r="B380" s="54" t="s">
        <v>1652</v>
      </c>
      <c r="C380" s="1" t="s">
        <v>1653</v>
      </c>
      <c r="D380" s="44" t="s">
        <v>1654</v>
      </c>
      <c r="E380" s="44" t="s">
        <v>176</v>
      </c>
      <c r="F380" s="1"/>
      <c r="G380" s="1"/>
      <c r="H380" s="45" t="s">
        <v>1655</v>
      </c>
      <c r="I380" s="8" t="s">
        <v>1656</v>
      </c>
    </row>
    <row r="381" spans="1:9" s="40" customFormat="1" ht="29.25" customHeight="1">
      <c r="A381" s="44"/>
      <c r="B381" s="54" t="s">
        <v>1621</v>
      </c>
      <c r="C381" s="44" t="s">
        <v>1657</v>
      </c>
      <c r="D381" s="44" t="s">
        <v>232</v>
      </c>
      <c r="E381" s="44" t="s">
        <v>44</v>
      </c>
      <c r="F381" s="44"/>
      <c r="G381" s="44"/>
      <c r="H381" s="45" t="s">
        <v>1658</v>
      </c>
      <c r="I381" s="8" t="s">
        <v>1659</v>
      </c>
    </row>
    <row r="382" spans="1:9" s="40" customFormat="1" ht="29.25" customHeight="1">
      <c r="A382" s="44"/>
      <c r="B382" s="54" t="s">
        <v>1660</v>
      </c>
      <c r="C382" s="44" t="s">
        <v>1661</v>
      </c>
      <c r="D382" s="44" t="s">
        <v>498</v>
      </c>
      <c r="E382" s="44" t="s">
        <v>1619</v>
      </c>
      <c r="F382" s="44"/>
      <c r="G382" s="44"/>
      <c r="H382" s="45" t="s">
        <v>1662</v>
      </c>
      <c r="I382" s="8" t="s">
        <v>1663</v>
      </c>
    </row>
    <row r="383" spans="1:9" s="40" customFormat="1" ht="35.1" customHeight="1">
      <c r="A383" s="46"/>
      <c r="B383" s="31" t="s">
        <v>412</v>
      </c>
      <c r="C383" s="16" t="s">
        <v>1664</v>
      </c>
      <c r="D383" s="44" t="s">
        <v>44</v>
      </c>
      <c r="E383" s="52" t="s">
        <v>44</v>
      </c>
      <c r="F383" s="31"/>
      <c r="G383" s="16"/>
      <c r="H383" s="32" t="s">
        <v>1665</v>
      </c>
      <c r="I383" s="8" t="s">
        <v>1642</v>
      </c>
    </row>
    <row r="384" spans="1:9" s="40" customFormat="1" ht="35.1" customHeight="1">
      <c r="A384" s="46"/>
      <c r="B384" s="31" t="s">
        <v>1666</v>
      </c>
      <c r="C384" s="16" t="s">
        <v>1667</v>
      </c>
      <c r="D384" s="44" t="s">
        <v>1021</v>
      </c>
      <c r="E384" s="52" t="s">
        <v>1234</v>
      </c>
      <c r="F384" s="31"/>
      <c r="G384" s="16"/>
      <c r="H384" s="32" t="s">
        <v>1668</v>
      </c>
      <c r="I384" s="8" t="s">
        <v>1669</v>
      </c>
    </row>
    <row r="385" spans="1:9" s="40" customFormat="1" ht="24.75" customHeight="1">
      <c r="A385" s="46"/>
      <c r="B385" s="31" t="s">
        <v>19</v>
      </c>
      <c r="C385" s="16" t="s">
        <v>1670</v>
      </c>
      <c r="D385" s="54" t="s">
        <v>18</v>
      </c>
      <c r="E385" s="44" t="s">
        <v>149</v>
      </c>
      <c r="F385" s="31"/>
      <c r="G385" s="16"/>
      <c r="H385" s="48" t="s">
        <v>1671</v>
      </c>
      <c r="I385" s="8" t="s">
        <v>1672</v>
      </c>
    </row>
    <row r="386" spans="1:9" s="40" customFormat="1" ht="35.1" customHeight="1">
      <c r="A386" s="46"/>
      <c r="B386" s="31" t="s">
        <v>412</v>
      </c>
      <c r="C386" s="16" t="s">
        <v>1673</v>
      </c>
      <c r="D386" s="44" t="s">
        <v>44</v>
      </c>
      <c r="E386" s="52" t="s">
        <v>44</v>
      </c>
      <c r="F386" s="31"/>
      <c r="G386" s="16"/>
      <c r="H386" s="32" t="s">
        <v>1674</v>
      </c>
      <c r="I386" s="8" t="s">
        <v>1675</v>
      </c>
    </row>
    <row r="387" spans="1:9" s="40" customFormat="1" ht="35.1" customHeight="1">
      <c r="A387" s="46"/>
      <c r="B387" s="31" t="s">
        <v>412</v>
      </c>
      <c r="C387" s="16" t="s">
        <v>1676</v>
      </c>
      <c r="D387" s="44" t="s">
        <v>15</v>
      </c>
      <c r="E387" s="52" t="s">
        <v>44</v>
      </c>
      <c r="F387" s="31"/>
      <c r="G387" s="16"/>
      <c r="H387" s="32" t="s">
        <v>1677</v>
      </c>
      <c r="I387" s="8" t="s">
        <v>1678</v>
      </c>
    </row>
    <row r="388" spans="1:9" s="40" customFormat="1" ht="35.1" customHeight="1">
      <c r="A388" s="46"/>
      <c r="B388" s="31" t="s">
        <v>1679</v>
      </c>
      <c r="C388" s="16" t="s">
        <v>1680</v>
      </c>
      <c r="D388" s="44" t="s">
        <v>15</v>
      </c>
      <c r="E388" s="44" t="s">
        <v>44</v>
      </c>
      <c r="F388" s="31"/>
      <c r="G388" s="16"/>
      <c r="H388" s="32" t="s">
        <v>1681</v>
      </c>
      <c r="I388" s="8" t="s">
        <v>1682</v>
      </c>
    </row>
    <row r="389" spans="1:9" s="40" customFormat="1" ht="24.75" customHeight="1">
      <c r="A389" s="46"/>
      <c r="B389" s="31" t="s">
        <v>1683</v>
      </c>
      <c r="C389" s="16" t="s">
        <v>1684</v>
      </c>
      <c r="D389" s="54" t="s">
        <v>15</v>
      </c>
      <c r="E389" s="44" t="s">
        <v>15</v>
      </c>
      <c r="F389" s="31"/>
      <c r="G389" s="16"/>
      <c r="H389" s="48" t="s">
        <v>1685</v>
      </c>
      <c r="I389" s="8" t="s">
        <v>1686</v>
      </c>
    </row>
    <row r="390" spans="1:9" s="40" customFormat="1" ht="29.25" customHeight="1">
      <c r="A390" s="44"/>
      <c r="B390" s="54" t="s">
        <v>1617</v>
      </c>
      <c r="C390" s="44" t="s">
        <v>1618</v>
      </c>
      <c r="D390" s="44" t="s">
        <v>44</v>
      </c>
      <c r="E390" s="44" t="s">
        <v>44</v>
      </c>
      <c r="F390" s="44"/>
      <c r="G390" s="44"/>
      <c r="H390" s="45" t="s">
        <v>1687</v>
      </c>
      <c r="I390" s="8" t="s">
        <v>1688</v>
      </c>
    </row>
    <row r="391" spans="1:9" s="40" customFormat="1" ht="35.1" customHeight="1">
      <c r="A391" s="46"/>
      <c r="B391" s="31" t="s">
        <v>261</v>
      </c>
      <c r="C391" s="16" t="s">
        <v>1689</v>
      </c>
      <c r="D391" s="44" t="s">
        <v>15</v>
      </c>
      <c r="E391" s="52" t="s">
        <v>44</v>
      </c>
      <c r="F391" s="31"/>
      <c r="G391" s="16"/>
      <c r="H391" s="32">
        <v>42416</v>
      </c>
      <c r="I391" s="8" t="s">
        <v>1690</v>
      </c>
    </row>
    <row r="392" spans="1:9" s="40" customFormat="1" ht="35.1" customHeight="1">
      <c r="A392" s="46"/>
      <c r="B392" s="31" t="s">
        <v>1691</v>
      </c>
      <c r="C392" s="16" t="s">
        <v>1692</v>
      </c>
      <c r="D392" s="44" t="s">
        <v>15</v>
      </c>
      <c r="E392" s="52" t="s">
        <v>44</v>
      </c>
      <c r="F392" s="31"/>
      <c r="G392" s="16"/>
      <c r="H392" s="32" t="s">
        <v>1693</v>
      </c>
      <c r="I392" s="8" t="s">
        <v>1678</v>
      </c>
    </row>
    <row r="393" spans="1:9" s="40" customFormat="1" ht="24.75" customHeight="1">
      <c r="A393" s="46"/>
      <c r="B393" s="31" t="s">
        <v>1694</v>
      </c>
      <c r="C393" s="16" t="s">
        <v>1695</v>
      </c>
      <c r="D393" s="44" t="s">
        <v>1696</v>
      </c>
      <c r="E393" s="44" t="s">
        <v>1393</v>
      </c>
      <c r="F393" s="31"/>
      <c r="G393" s="16"/>
      <c r="H393" s="48" t="s">
        <v>1697</v>
      </c>
      <c r="I393" s="8" t="s">
        <v>1698</v>
      </c>
    </row>
    <row r="394" spans="1:9" s="40" customFormat="1" ht="21" customHeight="1">
      <c r="A394" s="46"/>
      <c r="B394" s="31" t="s">
        <v>1567</v>
      </c>
      <c r="C394" s="16" t="s">
        <v>1699</v>
      </c>
      <c r="D394" s="44" t="s">
        <v>1700</v>
      </c>
      <c r="E394" s="44" t="s">
        <v>1701</v>
      </c>
      <c r="F394" s="16"/>
      <c r="G394" s="16"/>
      <c r="H394" s="41" t="s">
        <v>1702</v>
      </c>
      <c r="I394" s="8" t="s">
        <v>1703</v>
      </c>
    </row>
    <row r="395" spans="1:9" s="40" customFormat="1" ht="35.1" customHeight="1">
      <c r="A395" s="46"/>
      <c r="B395" s="31" t="s">
        <v>261</v>
      </c>
      <c r="C395" s="16" t="s">
        <v>1689</v>
      </c>
      <c r="D395" s="44" t="s">
        <v>89</v>
      </c>
      <c r="E395" s="52" t="s">
        <v>89</v>
      </c>
      <c r="F395" s="31"/>
      <c r="G395" s="16"/>
      <c r="H395" s="32" t="s">
        <v>1704</v>
      </c>
      <c r="I395" s="8" t="s">
        <v>1705</v>
      </c>
    </row>
    <row r="396" spans="1:9" s="40" customFormat="1" ht="29.25" customHeight="1">
      <c r="A396" s="44"/>
      <c r="B396" s="54" t="s">
        <v>1706</v>
      </c>
      <c r="C396" s="44" t="s">
        <v>1707</v>
      </c>
      <c r="D396" s="44" t="s">
        <v>15</v>
      </c>
      <c r="E396" s="44" t="s">
        <v>15</v>
      </c>
      <c r="F396" s="44"/>
      <c r="G396" s="44"/>
      <c r="H396" s="45" t="s">
        <v>1708</v>
      </c>
      <c r="I396" s="8" t="s">
        <v>1709</v>
      </c>
    </row>
    <row r="397" spans="1:9" s="40" customFormat="1" ht="35.1" customHeight="1">
      <c r="A397" s="46"/>
      <c r="B397" s="31" t="s">
        <v>171</v>
      </c>
      <c r="C397" s="16" t="s">
        <v>1710</v>
      </c>
      <c r="D397" s="44" t="s">
        <v>15</v>
      </c>
      <c r="E397" s="52" t="s">
        <v>15</v>
      </c>
      <c r="F397" s="31"/>
      <c r="G397" s="16"/>
      <c r="H397" s="32" t="s">
        <v>1711</v>
      </c>
      <c r="I397" s="8" t="s">
        <v>1712</v>
      </c>
    </row>
    <row r="398" spans="1:9" s="40" customFormat="1" ht="29.25" customHeight="1">
      <c r="A398" s="44"/>
      <c r="B398" s="54" t="s">
        <v>495</v>
      </c>
      <c r="C398" s="44" t="s">
        <v>1713</v>
      </c>
      <c r="D398" s="44" t="s">
        <v>1714</v>
      </c>
      <c r="E398" s="44" t="s">
        <v>1715</v>
      </c>
      <c r="F398" s="44"/>
      <c r="G398" s="44"/>
      <c r="H398" s="45" t="s">
        <v>1716</v>
      </c>
      <c r="I398" s="8" t="s">
        <v>1717</v>
      </c>
    </row>
    <row r="399" spans="1:9" s="40" customFormat="1" ht="29.25" customHeight="1">
      <c r="A399" s="44"/>
      <c r="B399" s="54" t="s">
        <v>1718</v>
      </c>
      <c r="C399" s="44" t="s">
        <v>1719</v>
      </c>
      <c r="D399" s="44" t="s">
        <v>167</v>
      </c>
      <c r="E399" s="44" t="s">
        <v>167</v>
      </c>
      <c r="F399" s="44"/>
      <c r="G399" s="44"/>
      <c r="H399" s="45" t="s">
        <v>1720</v>
      </c>
      <c r="I399" s="8" t="s">
        <v>1721</v>
      </c>
    </row>
    <row r="400" spans="1:9" s="40" customFormat="1" ht="35.1" customHeight="1">
      <c r="A400" s="46"/>
      <c r="B400" s="31" t="s">
        <v>1032</v>
      </c>
      <c r="C400" s="16" t="s">
        <v>1722</v>
      </c>
      <c r="D400" s="44" t="s">
        <v>18</v>
      </c>
      <c r="E400" s="44" t="s">
        <v>149</v>
      </c>
      <c r="F400" s="31"/>
      <c r="G400" s="16"/>
      <c r="H400" s="32" t="s">
        <v>1723</v>
      </c>
      <c r="I400" s="8" t="s">
        <v>1724</v>
      </c>
    </row>
    <row r="401" spans="1:9" s="40" customFormat="1" ht="35.1" customHeight="1">
      <c r="A401" s="46"/>
      <c r="B401" s="31" t="s">
        <v>1463</v>
      </c>
      <c r="C401" s="16" t="s">
        <v>1725</v>
      </c>
      <c r="D401" s="44" t="s">
        <v>15</v>
      </c>
      <c r="E401" s="52" t="s">
        <v>44</v>
      </c>
      <c r="F401" s="31"/>
      <c r="G401" s="16"/>
      <c r="H401" s="32" t="s">
        <v>1726</v>
      </c>
      <c r="I401" s="8" t="s">
        <v>1724</v>
      </c>
    </row>
    <row r="402" spans="1:9" s="40" customFormat="1" ht="35.1" customHeight="1">
      <c r="A402" s="46"/>
      <c r="B402" s="31" t="s">
        <v>1077</v>
      </c>
      <c r="C402" s="16" t="s">
        <v>1727</v>
      </c>
      <c r="D402" s="44" t="s">
        <v>15</v>
      </c>
      <c r="E402" s="44" t="s">
        <v>44</v>
      </c>
      <c r="F402" s="31"/>
      <c r="G402" s="16"/>
      <c r="H402" s="32" t="s">
        <v>1728</v>
      </c>
      <c r="I402" s="8" t="s">
        <v>1729</v>
      </c>
    </row>
    <row r="403" spans="1:9" s="40" customFormat="1" ht="29.25" customHeight="1">
      <c r="A403" s="44"/>
      <c r="B403" s="54" t="s">
        <v>1241</v>
      </c>
      <c r="C403" s="44" t="s">
        <v>1730</v>
      </c>
      <c r="D403" s="44" t="s">
        <v>44</v>
      </c>
      <c r="E403" s="44" t="s">
        <v>1731</v>
      </c>
      <c r="F403" s="44"/>
      <c r="G403" s="44"/>
      <c r="H403" s="45" t="s">
        <v>1732</v>
      </c>
      <c r="I403" s="8" t="s">
        <v>1733</v>
      </c>
    </row>
    <row r="404" spans="1:9" s="40" customFormat="1" ht="29.25" customHeight="1">
      <c r="A404" s="44"/>
      <c r="B404" s="54" t="s">
        <v>1734</v>
      </c>
      <c r="C404" s="44" t="s">
        <v>1735</v>
      </c>
      <c r="D404" s="44" t="s">
        <v>80</v>
      </c>
      <c r="E404" s="44" t="s">
        <v>44</v>
      </c>
      <c r="F404" s="44"/>
      <c r="G404" s="44"/>
      <c r="H404" s="45" t="s">
        <v>1736</v>
      </c>
      <c r="I404" s="8" t="s">
        <v>1737</v>
      </c>
    </row>
    <row r="405" spans="1:9" s="40" customFormat="1" ht="35.1" customHeight="1">
      <c r="A405" s="46"/>
      <c r="B405" s="31" t="s">
        <v>1077</v>
      </c>
      <c r="C405" s="16" t="s">
        <v>1149</v>
      </c>
      <c r="D405" s="44" t="s">
        <v>15</v>
      </c>
      <c r="E405" s="44" t="s">
        <v>15</v>
      </c>
      <c r="F405" s="31"/>
      <c r="G405" s="16"/>
      <c r="H405" s="32" t="s">
        <v>1738</v>
      </c>
      <c r="I405" s="8" t="s">
        <v>1739</v>
      </c>
    </row>
    <row r="406" spans="1:9" s="40" customFormat="1" ht="24.75" customHeight="1">
      <c r="A406" s="46"/>
      <c r="B406" s="31" t="s">
        <v>19</v>
      </c>
      <c r="C406" s="16" t="s">
        <v>1740</v>
      </c>
      <c r="D406" s="54" t="s">
        <v>15</v>
      </c>
      <c r="E406" s="44" t="s">
        <v>15</v>
      </c>
      <c r="F406" s="31"/>
      <c r="G406" s="16"/>
      <c r="H406" s="48" t="s">
        <v>1741</v>
      </c>
      <c r="I406" s="8" t="s">
        <v>1742</v>
      </c>
    </row>
    <row r="407" spans="1:9" s="40" customFormat="1" ht="35.1" customHeight="1">
      <c r="A407" s="46"/>
      <c r="B407" s="31" t="s">
        <v>1743</v>
      </c>
      <c r="C407" s="16" t="s">
        <v>1744</v>
      </c>
      <c r="D407" s="44" t="s">
        <v>1745</v>
      </c>
      <c r="E407" s="52"/>
      <c r="F407" s="31"/>
      <c r="G407" s="16"/>
      <c r="H407" s="32" t="s">
        <v>1746</v>
      </c>
      <c r="I407" s="8" t="s">
        <v>1747</v>
      </c>
    </row>
    <row r="408" spans="1:9" s="40" customFormat="1" ht="35.1" customHeight="1">
      <c r="A408" s="46"/>
      <c r="B408" s="31" t="s">
        <v>1077</v>
      </c>
      <c r="C408" s="16" t="s">
        <v>1748</v>
      </c>
      <c r="D408" s="44" t="s">
        <v>80</v>
      </c>
      <c r="E408" s="44" t="s">
        <v>15</v>
      </c>
      <c r="F408" s="31"/>
      <c r="G408" s="16"/>
      <c r="H408" s="32">
        <v>43299</v>
      </c>
      <c r="I408" s="8" t="s">
        <v>1749</v>
      </c>
    </row>
    <row r="409" spans="1:9" s="40" customFormat="1" ht="35.1" customHeight="1">
      <c r="A409" s="46"/>
      <c r="B409" s="31" t="s">
        <v>1077</v>
      </c>
      <c r="C409" s="16" t="s">
        <v>1750</v>
      </c>
      <c r="D409" s="44" t="s">
        <v>80</v>
      </c>
      <c r="E409" s="44" t="s">
        <v>15</v>
      </c>
      <c r="F409" s="31"/>
      <c r="G409" s="16"/>
      <c r="H409" s="32" t="s">
        <v>1751</v>
      </c>
      <c r="I409" s="8" t="s">
        <v>1752</v>
      </c>
    </row>
    <row r="410" spans="1:9" s="40" customFormat="1" ht="24.75" customHeight="1">
      <c r="A410" s="46"/>
      <c r="B410" s="31" t="s">
        <v>19</v>
      </c>
      <c r="C410" s="16" t="s">
        <v>1753</v>
      </c>
      <c r="D410" s="54" t="s">
        <v>724</v>
      </c>
      <c r="E410" s="44" t="s">
        <v>149</v>
      </c>
      <c r="F410" s="31"/>
      <c r="G410" s="16"/>
      <c r="H410" s="48" t="s">
        <v>1754</v>
      </c>
      <c r="I410" s="8" t="s">
        <v>1755</v>
      </c>
    </row>
    <row r="411" spans="1:9" s="40" customFormat="1" ht="35.1" customHeight="1">
      <c r="A411" s="46"/>
      <c r="B411" s="31" t="s">
        <v>1756</v>
      </c>
      <c r="C411" s="16" t="s">
        <v>1757</v>
      </c>
      <c r="D411" s="44" t="s">
        <v>165</v>
      </c>
      <c r="E411" s="52" t="s">
        <v>1234</v>
      </c>
      <c r="F411" s="31"/>
      <c r="G411" s="16"/>
      <c r="H411" s="32" t="s">
        <v>1758</v>
      </c>
      <c r="I411" s="8" t="s">
        <v>1759</v>
      </c>
    </row>
    <row r="412" spans="1:9" s="40" customFormat="1" ht="24.75" customHeight="1">
      <c r="A412" s="57"/>
      <c r="B412" s="31" t="s">
        <v>1760</v>
      </c>
      <c r="C412" s="16" t="s">
        <v>1761</v>
      </c>
      <c r="D412" s="44" t="s">
        <v>18</v>
      </c>
      <c r="E412" s="44" t="s">
        <v>1234</v>
      </c>
      <c r="F412" s="16"/>
      <c r="G412" s="16"/>
      <c r="H412" s="41" t="s">
        <v>1762</v>
      </c>
      <c r="I412" s="12" t="s">
        <v>1763</v>
      </c>
    </row>
    <row r="413" spans="1:9" s="40" customFormat="1" ht="35.1" customHeight="1">
      <c r="A413" s="46"/>
      <c r="B413" s="31" t="s">
        <v>1575</v>
      </c>
      <c r="C413" s="16" t="s">
        <v>1764</v>
      </c>
      <c r="D413" s="44" t="s">
        <v>15</v>
      </c>
      <c r="E413" s="52" t="s">
        <v>44</v>
      </c>
      <c r="F413" s="31"/>
      <c r="G413" s="16"/>
      <c r="H413" s="32" t="s">
        <v>1765</v>
      </c>
      <c r="I413" s="8" t="s">
        <v>1766</v>
      </c>
    </row>
    <row r="414" spans="1:9" s="40" customFormat="1" ht="35.1" customHeight="1">
      <c r="A414" s="44"/>
      <c r="B414" s="54" t="s">
        <v>1463</v>
      </c>
      <c r="C414" s="44" t="s">
        <v>1767</v>
      </c>
      <c r="D414" s="44" t="s">
        <v>672</v>
      </c>
      <c r="E414" s="44" t="s">
        <v>672</v>
      </c>
      <c r="F414" s="44"/>
      <c r="G414" s="44"/>
      <c r="H414" s="45" t="s">
        <v>1768</v>
      </c>
      <c r="I414" s="8" t="s">
        <v>1769</v>
      </c>
    </row>
    <row r="415" spans="1:9" s="40" customFormat="1" ht="35.1" customHeight="1">
      <c r="A415" s="46"/>
      <c r="B415" s="31" t="s">
        <v>1770</v>
      </c>
      <c r="C415" s="16" t="s">
        <v>1771</v>
      </c>
      <c r="D415" s="44" t="s">
        <v>15</v>
      </c>
      <c r="E415" s="44" t="s">
        <v>15</v>
      </c>
      <c r="F415" s="31"/>
      <c r="G415" s="16"/>
      <c r="H415" s="32" t="s">
        <v>1772</v>
      </c>
      <c r="I415" s="8" t="s">
        <v>1773</v>
      </c>
    </row>
    <row r="416" spans="1:9" s="40" customFormat="1" ht="29.25" customHeight="1">
      <c r="A416" s="44"/>
      <c r="B416" s="54" t="s">
        <v>1774</v>
      </c>
      <c r="C416" s="44" t="s">
        <v>1775</v>
      </c>
      <c r="D416" s="44" t="s">
        <v>15</v>
      </c>
      <c r="E416" s="44" t="s">
        <v>44</v>
      </c>
      <c r="F416" s="44"/>
      <c r="G416" s="44"/>
      <c r="H416" s="45" t="s">
        <v>1776</v>
      </c>
      <c r="I416" s="8" t="s">
        <v>1777</v>
      </c>
    </row>
    <row r="417" spans="1:9" s="40" customFormat="1" ht="24.75" customHeight="1">
      <c r="A417" s="46"/>
      <c r="B417" s="31" t="s">
        <v>30</v>
      </c>
      <c r="C417" s="16" t="s">
        <v>1778</v>
      </c>
      <c r="D417" s="54" t="s">
        <v>18</v>
      </c>
      <c r="E417" s="44" t="s">
        <v>149</v>
      </c>
      <c r="F417" s="31"/>
      <c r="G417" s="16"/>
      <c r="H417" s="48" t="s">
        <v>1779</v>
      </c>
      <c r="I417" s="8" t="s">
        <v>1780</v>
      </c>
    </row>
    <row r="418" spans="1:9" s="40" customFormat="1" ht="35.1" customHeight="1">
      <c r="A418" s="46"/>
      <c r="B418" s="31" t="s">
        <v>1770</v>
      </c>
      <c r="C418" s="16" t="s">
        <v>1781</v>
      </c>
      <c r="D418" s="44" t="s">
        <v>80</v>
      </c>
      <c r="E418" s="44" t="s">
        <v>15</v>
      </c>
      <c r="F418" s="31"/>
      <c r="G418" s="16"/>
      <c r="H418" s="32" t="s">
        <v>1782</v>
      </c>
      <c r="I418" s="8" t="s">
        <v>1783</v>
      </c>
    </row>
    <row r="419" spans="1:9" s="40" customFormat="1" ht="35.1" customHeight="1">
      <c r="A419" s="46"/>
      <c r="B419" s="31" t="s">
        <v>1770</v>
      </c>
      <c r="C419" s="16" t="s">
        <v>1784</v>
      </c>
      <c r="D419" s="44" t="s">
        <v>15</v>
      </c>
      <c r="E419" s="44" t="s">
        <v>15</v>
      </c>
      <c r="F419" s="31"/>
      <c r="G419" s="16"/>
      <c r="H419" s="32" t="s">
        <v>1785</v>
      </c>
      <c r="I419" s="8" t="s">
        <v>1786</v>
      </c>
    </row>
    <row r="420" spans="1:9" s="40" customFormat="1" ht="35.1" customHeight="1">
      <c r="A420" s="44"/>
      <c r="B420" s="58" t="s">
        <v>1787</v>
      </c>
      <c r="C420" s="58" t="s">
        <v>1788</v>
      </c>
      <c r="D420" s="58" t="s">
        <v>15</v>
      </c>
      <c r="E420" s="58" t="s">
        <v>15</v>
      </c>
      <c r="F420" s="58"/>
      <c r="G420" s="58"/>
      <c r="H420" s="59" t="s">
        <v>1789</v>
      </c>
      <c r="I420" s="8" t="s">
        <v>1790</v>
      </c>
    </row>
    <row r="421" spans="1:9" s="40" customFormat="1" ht="24.75" customHeight="1">
      <c r="A421" s="46"/>
      <c r="B421" s="31" t="s">
        <v>19</v>
      </c>
      <c r="C421" s="16" t="s">
        <v>1791</v>
      </c>
      <c r="D421" s="54" t="s">
        <v>18</v>
      </c>
      <c r="E421" s="44" t="s">
        <v>149</v>
      </c>
      <c r="F421" s="31"/>
      <c r="G421" s="16"/>
      <c r="H421" s="48">
        <v>43187</v>
      </c>
      <c r="I421" s="8" t="s">
        <v>1755</v>
      </c>
    </row>
    <row r="422" spans="1:9" s="40" customFormat="1" ht="35.1" customHeight="1">
      <c r="A422" s="46"/>
      <c r="B422" s="31" t="s">
        <v>1463</v>
      </c>
      <c r="C422" s="16" t="s">
        <v>1792</v>
      </c>
      <c r="D422" s="44" t="s">
        <v>15</v>
      </c>
      <c r="E422" s="52" t="s">
        <v>15</v>
      </c>
      <c r="F422" s="31"/>
      <c r="G422" s="16"/>
      <c r="H422" s="32" t="s">
        <v>1793</v>
      </c>
      <c r="I422" s="8" t="s">
        <v>1794</v>
      </c>
    </row>
    <row r="423" spans="1:9" s="40" customFormat="1" ht="35.1" customHeight="1">
      <c r="A423" s="46"/>
      <c r="B423" s="31" t="s">
        <v>1795</v>
      </c>
      <c r="C423" s="16" t="s">
        <v>1796</v>
      </c>
      <c r="D423" s="44" t="s">
        <v>44</v>
      </c>
      <c r="E423" s="52" t="s">
        <v>15</v>
      </c>
      <c r="F423" s="31"/>
      <c r="G423" s="16"/>
      <c r="H423" s="32" t="s">
        <v>1797</v>
      </c>
      <c r="I423" s="8" t="s">
        <v>1798</v>
      </c>
    </row>
    <row r="424" spans="1:9" s="40" customFormat="1" ht="24.75" customHeight="1">
      <c r="A424" s="57"/>
      <c r="B424" s="31" t="s">
        <v>1694</v>
      </c>
      <c r="C424" s="16" t="s">
        <v>1799</v>
      </c>
      <c r="D424" s="44" t="s">
        <v>89</v>
      </c>
      <c r="E424" s="44" t="s">
        <v>89</v>
      </c>
      <c r="F424" s="16"/>
      <c r="G424" s="16"/>
      <c r="H424" s="41" t="s">
        <v>1800</v>
      </c>
      <c r="I424" s="12" t="s">
        <v>1801</v>
      </c>
    </row>
    <row r="425" spans="1:9" ht="28.5" customHeight="1">
      <c r="A425" s="1"/>
      <c r="B425" s="54" t="s">
        <v>773</v>
      </c>
      <c r="C425" s="1" t="s">
        <v>1802</v>
      </c>
      <c r="D425" s="44" t="s">
        <v>1021</v>
      </c>
      <c r="E425" s="44" t="s">
        <v>149</v>
      </c>
      <c r="F425" s="1"/>
      <c r="G425" s="1"/>
      <c r="H425" s="45" t="s">
        <v>1803</v>
      </c>
      <c r="I425" s="8" t="s">
        <v>1804</v>
      </c>
    </row>
    <row r="426" spans="1:9" s="40" customFormat="1" ht="29.25" customHeight="1">
      <c r="A426" s="44"/>
      <c r="B426" s="54" t="s">
        <v>481</v>
      </c>
      <c r="C426" s="44" t="s">
        <v>1805</v>
      </c>
      <c r="D426" s="44" t="s">
        <v>1619</v>
      </c>
      <c r="E426" s="44" t="s">
        <v>786</v>
      </c>
      <c r="F426" s="44"/>
      <c r="G426" s="44"/>
      <c r="H426" s="45" t="s">
        <v>1806</v>
      </c>
      <c r="I426" s="8" t="s">
        <v>1807</v>
      </c>
    </row>
    <row r="427" spans="1:9" s="40" customFormat="1" ht="29.25" customHeight="1">
      <c r="A427" s="46"/>
      <c r="B427" s="31" t="s">
        <v>1463</v>
      </c>
      <c r="C427" s="16" t="s">
        <v>1808</v>
      </c>
      <c r="D427" s="44" t="s">
        <v>15</v>
      </c>
      <c r="E427" s="52" t="s">
        <v>44</v>
      </c>
      <c r="F427" s="31"/>
      <c r="G427" s="16"/>
      <c r="H427" s="32" t="s">
        <v>1809</v>
      </c>
      <c r="I427" s="8" t="s">
        <v>1810</v>
      </c>
    </row>
    <row r="428" spans="1:9" s="40" customFormat="1" ht="35.1" customHeight="1">
      <c r="A428" s="46"/>
      <c r="B428" s="31" t="s">
        <v>1811</v>
      </c>
      <c r="C428" s="16" t="s">
        <v>1812</v>
      </c>
      <c r="D428" s="44" t="s">
        <v>15</v>
      </c>
      <c r="E428" s="52" t="s">
        <v>15</v>
      </c>
      <c r="F428" s="31"/>
      <c r="G428" s="16"/>
      <c r="H428" s="32" t="s">
        <v>1813</v>
      </c>
      <c r="I428" s="8" t="s">
        <v>1814</v>
      </c>
    </row>
    <row r="429" spans="1:9" s="40" customFormat="1" ht="35.1" customHeight="1">
      <c r="A429" s="46"/>
      <c r="B429" s="31" t="s">
        <v>1815</v>
      </c>
      <c r="C429" s="16" t="s">
        <v>1816</v>
      </c>
      <c r="D429" s="44" t="s">
        <v>18</v>
      </c>
      <c r="E429" s="44" t="s">
        <v>149</v>
      </c>
      <c r="F429" s="31"/>
      <c r="G429" s="16"/>
      <c r="H429" s="32" t="s">
        <v>1817</v>
      </c>
      <c r="I429" s="8" t="s">
        <v>1818</v>
      </c>
    </row>
    <row r="430" spans="1:9" s="40" customFormat="1" ht="35.1" customHeight="1">
      <c r="A430" s="46"/>
      <c r="B430" s="31" t="s">
        <v>1077</v>
      </c>
      <c r="C430" s="16" t="s">
        <v>1819</v>
      </c>
      <c r="D430" s="44" t="s">
        <v>15</v>
      </c>
      <c r="E430" s="44" t="s">
        <v>44</v>
      </c>
      <c r="F430" s="31"/>
      <c r="G430" s="16"/>
      <c r="H430" s="32" t="s">
        <v>1820</v>
      </c>
      <c r="I430" s="8" t="s">
        <v>1821</v>
      </c>
    </row>
    <row r="431" spans="1:9" s="40" customFormat="1" ht="35.1" customHeight="1">
      <c r="A431" s="46"/>
      <c r="B431" s="31" t="s">
        <v>1077</v>
      </c>
      <c r="C431" s="16" t="s">
        <v>1822</v>
      </c>
      <c r="D431" s="44" t="s">
        <v>80</v>
      </c>
      <c r="E431" s="44" t="s">
        <v>15</v>
      </c>
      <c r="F431" s="31"/>
      <c r="G431" s="16"/>
      <c r="H431" s="32" t="s">
        <v>1823</v>
      </c>
      <c r="I431" s="8" t="s">
        <v>1824</v>
      </c>
    </row>
    <row r="432" spans="1:9" s="40" customFormat="1" ht="35.1" customHeight="1">
      <c r="A432" s="46"/>
      <c r="B432" s="31" t="s">
        <v>1825</v>
      </c>
      <c r="C432" s="16" t="s">
        <v>1826</v>
      </c>
      <c r="D432" s="44" t="s">
        <v>1827</v>
      </c>
      <c r="E432" s="44" t="s">
        <v>1210</v>
      </c>
      <c r="F432" s="31"/>
      <c r="G432" s="16"/>
      <c r="H432" s="32" t="s">
        <v>1828</v>
      </c>
      <c r="I432" s="8" t="s">
        <v>1829</v>
      </c>
    </row>
    <row r="433" spans="1:9" s="40" customFormat="1" ht="35.1" customHeight="1">
      <c r="A433" s="46"/>
      <c r="B433" s="31" t="s">
        <v>1830</v>
      </c>
      <c r="C433" s="16" t="s">
        <v>1831</v>
      </c>
      <c r="D433" s="44" t="s">
        <v>15</v>
      </c>
      <c r="E433" s="52" t="s">
        <v>44</v>
      </c>
      <c r="F433" s="31"/>
      <c r="G433" s="16"/>
      <c r="H433" s="32" t="s">
        <v>1832</v>
      </c>
      <c r="I433" s="8" t="s">
        <v>1833</v>
      </c>
    </row>
    <row r="434" spans="1:9" s="40" customFormat="1" ht="29.25" customHeight="1">
      <c r="A434" s="44"/>
      <c r="B434" s="54" t="s">
        <v>1706</v>
      </c>
      <c r="C434" s="44" t="s">
        <v>1834</v>
      </c>
      <c r="D434" s="44" t="s">
        <v>15</v>
      </c>
      <c r="E434" s="44" t="s">
        <v>44</v>
      </c>
      <c r="F434" s="44"/>
      <c r="G434" s="44"/>
      <c r="H434" s="45" t="s">
        <v>1835</v>
      </c>
      <c r="I434" s="8" t="s">
        <v>1824</v>
      </c>
    </row>
    <row r="435" spans="1:9" s="40" customFormat="1" ht="35.1" customHeight="1">
      <c r="A435" s="46"/>
      <c r="B435" s="31" t="s">
        <v>1463</v>
      </c>
      <c r="C435" s="16" t="s">
        <v>1836</v>
      </c>
      <c r="D435" s="44" t="s">
        <v>672</v>
      </c>
      <c r="E435" s="52" t="s">
        <v>672</v>
      </c>
      <c r="F435" s="31"/>
      <c r="G435" s="16"/>
      <c r="H435" s="32" t="s">
        <v>1837</v>
      </c>
      <c r="I435" s="8" t="s">
        <v>1838</v>
      </c>
    </row>
    <row r="436" spans="1:9" s="40" customFormat="1" ht="29.25" customHeight="1">
      <c r="A436" s="44"/>
      <c r="B436" s="54" t="s">
        <v>155</v>
      </c>
      <c r="C436" s="44" t="s">
        <v>1839</v>
      </c>
      <c r="D436" s="44" t="s">
        <v>1840</v>
      </c>
      <c r="E436" s="44" t="s">
        <v>1841</v>
      </c>
      <c r="F436" s="44"/>
      <c r="G436" s="44"/>
      <c r="H436" s="45" t="s">
        <v>1842</v>
      </c>
      <c r="I436" s="8" t="s">
        <v>1843</v>
      </c>
    </row>
    <row r="437" spans="1:9" s="40" customFormat="1" ht="24.75" customHeight="1">
      <c r="A437" s="46"/>
      <c r="B437" s="31" t="s">
        <v>30</v>
      </c>
      <c r="C437" s="16" t="s">
        <v>1844</v>
      </c>
      <c r="D437" s="54" t="s">
        <v>18</v>
      </c>
      <c r="E437" s="44" t="s">
        <v>149</v>
      </c>
      <c r="F437" s="31"/>
      <c r="G437" s="16"/>
      <c r="H437" s="48" t="s">
        <v>1845</v>
      </c>
      <c r="I437" s="8" t="s">
        <v>1846</v>
      </c>
    </row>
    <row r="438" spans="1:9" s="40" customFormat="1" ht="31.5" customHeight="1">
      <c r="A438" s="46"/>
      <c r="B438" s="31" t="s">
        <v>412</v>
      </c>
      <c r="C438" s="16" t="s">
        <v>1847</v>
      </c>
      <c r="D438" s="44" t="s">
        <v>15</v>
      </c>
      <c r="E438" s="44" t="s">
        <v>15</v>
      </c>
      <c r="F438" s="16"/>
      <c r="G438" s="16"/>
      <c r="H438" s="41" t="s">
        <v>1848</v>
      </c>
      <c r="I438" s="12" t="s">
        <v>1849</v>
      </c>
    </row>
    <row r="439" spans="1:9" s="40" customFormat="1" ht="29.25" customHeight="1">
      <c r="A439" s="44"/>
      <c r="B439" s="54" t="s">
        <v>1850</v>
      </c>
      <c r="C439" s="44" t="s">
        <v>1851</v>
      </c>
      <c r="D439" s="44" t="s">
        <v>1619</v>
      </c>
      <c r="E439" s="44" t="s">
        <v>786</v>
      </c>
      <c r="F439" s="44"/>
      <c r="G439" s="44"/>
      <c r="H439" s="45" t="s">
        <v>1852</v>
      </c>
      <c r="I439" s="8" t="s">
        <v>1853</v>
      </c>
    </row>
    <row r="440" spans="1:9" s="40" customFormat="1" ht="29.25" customHeight="1">
      <c r="A440" s="44"/>
      <c r="B440" s="54" t="s">
        <v>45</v>
      </c>
      <c r="C440" s="44" t="s">
        <v>1854</v>
      </c>
      <c r="D440" s="44" t="s">
        <v>15</v>
      </c>
      <c r="E440" s="44" t="s">
        <v>44</v>
      </c>
      <c r="F440" s="44"/>
      <c r="G440" s="44"/>
      <c r="H440" s="45" t="s">
        <v>1855</v>
      </c>
      <c r="I440" s="8" t="s">
        <v>1856</v>
      </c>
    </row>
    <row r="441" spans="1:9" s="40" customFormat="1" ht="35.1" customHeight="1">
      <c r="A441" s="46"/>
      <c r="B441" s="31" t="s">
        <v>1857</v>
      </c>
      <c r="C441" s="16" t="s">
        <v>1858</v>
      </c>
      <c r="D441" s="44" t="s">
        <v>1859</v>
      </c>
      <c r="E441" s="52" t="s">
        <v>1859</v>
      </c>
      <c r="F441" s="31"/>
      <c r="G441" s="16"/>
      <c r="H441" s="32" t="s">
        <v>1860</v>
      </c>
      <c r="I441" s="8" t="s">
        <v>1856</v>
      </c>
    </row>
    <row r="442" spans="1:9" s="40" customFormat="1" ht="35.1" customHeight="1">
      <c r="A442" s="46"/>
      <c r="B442" s="31" t="s">
        <v>1861</v>
      </c>
      <c r="C442" s="16" t="s">
        <v>1862</v>
      </c>
      <c r="D442" s="44" t="s">
        <v>1863</v>
      </c>
      <c r="E442" s="44" t="s">
        <v>1863</v>
      </c>
      <c r="F442" s="31"/>
      <c r="G442" s="16"/>
      <c r="H442" s="32" t="s">
        <v>1864</v>
      </c>
      <c r="I442" s="8" t="s">
        <v>1865</v>
      </c>
    </row>
    <row r="443" spans="1:9" s="40" customFormat="1" ht="24.75" customHeight="1">
      <c r="A443" s="46"/>
      <c r="B443" s="31" t="s">
        <v>30</v>
      </c>
      <c r="C443" s="16" t="s">
        <v>1866</v>
      </c>
      <c r="D443" s="54" t="s">
        <v>1589</v>
      </c>
      <c r="E443" s="44" t="s">
        <v>149</v>
      </c>
      <c r="F443" s="31"/>
      <c r="G443" s="16"/>
      <c r="H443" s="48" t="s">
        <v>1867</v>
      </c>
      <c r="I443" s="8" t="s">
        <v>1868</v>
      </c>
    </row>
    <row r="444" spans="1:9" s="40" customFormat="1" ht="35.1" customHeight="1">
      <c r="A444" s="46"/>
      <c r="B444" s="60" t="s">
        <v>1869</v>
      </c>
      <c r="C444" s="16" t="s">
        <v>1870</v>
      </c>
      <c r="D444" s="44" t="s">
        <v>15</v>
      </c>
      <c r="E444" s="52" t="s">
        <v>44</v>
      </c>
      <c r="F444" s="31"/>
      <c r="G444" s="16"/>
      <c r="H444" s="32" t="s">
        <v>1871</v>
      </c>
      <c r="I444" s="8" t="s">
        <v>1872</v>
      </c>
    </row>
    <row r="445" spans="1:9" s="40" customFormat="1" ht="29.25" customHeight="1">
      <c r="A445" s="44"/>
      <c r="B445" s="54" t="s">
        <v>1873</v>
      </c>
      <c r="C445" s="44" t="s">
        <v>1874</v>
      </c>
      <c r="D445" s="44" t="s">
        <v>1619</v>
      </c>
      <c r="E445" s="44" t="s">
        <v>786</v>
      </c>
      <c r="F445" s="44"/>
      <c r="G445" s="44"/>
      <c r="H445" s="45" t="s">
        <v>1875</v>
      </c>
      <c r="I445" s="42" t="s">
        <v>1876</v>
      </c>
    </row>
    <row r="446" spans="1:9" s="40" customFormat="1" ht="29.25" customHeight="1">
      <c r="A446" s="44"/>
      <c r="B446" s="54" t="s">
        <v>1877</v>
      </c>
      <c r="C446" s="44" t="s">
        <v>1878</v>
      </c>
      <c r="D446" s="44" t="s">
        <v>1879</v>
      </c>
      <c r="E446" s="44" t="s">
        <v>167</v>
      </c>
      <c r="F446" s="44"/>
      <c r="G446" s="44"/>
      <c r="H446" s="45" t="s">
        <v>1880</v>
      </c>
      <c r="I446" s="8" t="s">
        <v>1881</v>
      </c>
    </row>
    <row r="447" spans="1:9" s="40" customFormat="1" ht="35.1" customHeight="1">
      <c r="A447" s="46"/>
      <c r="B447" s="31" t="s">
        <v>1882</v>
      </c>
      <c r="C447" s="16" t="s">
        <v>1883</v>
      </c>
      <c r="D447" s="44" t="s">
        <v>15</v>
      </c>
      <c r="E447" s="52" t="s">
        <v>44</v>
      </c>
      <c r="F447" s="31"/>
      <c r="G447" s="16"/>
      <c r="H447" s="32" t="s">
        <v>1884</v>
      </c>
      <c r="I447" s="8" t="s">
        <v>1885</v>
      </c>
    </row>
    <row r="448" spans="1:9" s="40" customFormat="1" ht="26.25" customHeight="1">
      <c r="A448" s="46"/>
      <c r="B448" s="31" t="s">
        <v>1567</v>
      </c>
      <c r="C448" s="16" t="s">
        <v>1886</v>
      </c>
      <c r="D448" s="15" t="s">
        <v>15</v>
      </c>
      <c r="E448" s="15" t="s">
        <v>15</v>
      </c>
      <c r="F448" s="16"/>
      <c r="G448" s="16"/>
      <c r="H448" s="41">
        <v>43249</v>
      </c>
      <c r="I448" s="8" t="s">
        <v>1856</v>
      </c>
    </row>
    <row r="449" spans="1:9" s="40" customFormat="1" ht="35.1" customHeight="1">
      <c r="A449" s="44"/>
      <c r="B449" s="54" t="s">
        <v>1463</v>
      </c>
      <c r="C449" s="44" t="s">
        <v>1767</v>
      </c>
      <c r="D449" s="44" t="s">
        <v>672</v>
      </c>
      <c r="E449" s="44" t="s">
        <v>672</v>
      </c>
      <c r="F449" s="44"/>
      <c r="G449" s="44"/>
      <c r="H449" s="45" t="s">
        <v>1887</v>
      </c>
      <c r="I449" s="8" t="s">
        <v>1888</v>
      </c>
    </row>
    <row r="450" spans="1:9" s="40" customFormat="1" ht="30" customHeight="1">
      <c r="A450" s="44"/>
      <c r="B450" s="54" t="s">
        <v>1191</v>
      </c>
      <c r="C450" s="44" t="s">
        <v>1889</v>
      </c>
      <c r="D450" s="44" t="s">
        <v>963</v>
      </c>
      <c r="E450" s="44" t="s">
        <v>963</v>
      </c>
      <c r="F450" s="44"/>
      <c r="G450" s="44"/>
      <c r="H450" s="45" t="s">
        <v>1890</v>
      </c>
      <c r="I450" s="8" t="s">
        <v>1891</v>
      </c>
    </row>
    <row r="451" spans="1:9" s="40" customFormat="1" ht="35.1" customHeight="1">
      <c r="A451" s="46"/>
      <c r="B451" s="31" t="s">
        <v>1892</v>
      </c>
      <c r="C451" s="16" t="s">
        <v>1893</v>
      </c>
      <c r="D451" s="44" t="s">
        <v>176</v>
      </c>
      <c r="E451" s="44" t="s">
        <v>1894</v>
      </c>
      <c r="F451" s="31"/>
      <c r="G451" s="16"/>
      <c r="H451" s="32">
        <v>43186</v>
      </c>
      <c r="I451" s="8" t="s">
        <v>1895</v>
      </c>
    </row>
    <row r="452" spans="1:9" ht="28.5" customHeight="1">
      <c r="A452" s="1"/>
      <c r="B452" s="54" t="s">
        <v>1896</v>
      </c>
      <c r="C452" s="1" t="s">
        <v>1897</v>
      </c>
      <c r="D452" s="44" t="s">
        <v>89</v>
      </c>
      <c r="E452" s="44" t="s">
        <v>89</v>
      </c>
      <c r="F452" s="1"/>
      <c r="G452" s="1"/>
      <c r="H452" s="45" t="s">
        <v>1898</v>
      </c>
      <c r="I452" s="8" t="s">
        <v>1899</v>
      </c>
    </row>
    <row r="453" spans="1:9" s="40" customFormat="1" ht="35.1" customHeight="1">
      <c r="A453" s="46"/>
      <c r="B453" s="31" t="s">
        <v>1614</v>
      </c>
      <c r="C453" s="16" t="s">
        <v>1900</v>
      </c>
      <c r="D453" s="44" t="s">
        <v>1901</v>
      </c>
      <c r="E453" s="52" t="s">
        <v>15</v>
      </c>
      <c r="F453" s="31"/>
      <c r="G453" s="16"/>
      <c r="H453" s="32">
        <v>43311</v>
      </c>
      <c r="I453" s="8" t="s">
        <v>1902</v>
      </c>
    </row>
    <row r="454" spans="1:9" s="40" customFormat="1" ht="35.1" customHeight="1">
      <c r="A454" s="46"/>
      <c r="B454" s="31" t="s">
        <v>1077</v>
      </c>
      <c r="C454" s="16" t="s">
        <v>1903</v>
      </c>
      <c r="D454" s="44" t="s">
        <v>1021</v>
      </c>
      <c r="E454" s="44" t="s">
        <v>1234</v>
      </c>
      <c r="F454" s="31"/>
      <c r="G454" s="16"/>
      <c r="H454" s="32" t="s">
        <v>1904</v>
      </c>
      <c r="I454" s="8" t="s">
        <v>1905</v>
      </c>
    </row>
    <row r="455" spans="1:9" ht="28.5" customHeight="1">
      <c r="A455" s="1"/>
      <c r="B455" s="54" t="s">
        <v>1906</v>
      </c>
      <c r="C455" s="1" t="s">
        <v>1907</v>
      </c>
      <c r="D455" s="44" t="s">
        <v>1908</v>
      </c>
      <c r="E455" s="44" t="s">
        <v>1909</v>
      </c>
      <c r="F455" s="1"/>
      <c r="G455" s="1"/>
      <c r="H455" s="45" t="s">
        <v>1910</v>
      </c>
      <c r="I455" s="8" t="s">
        <v>1911</v>
      </c>
    </row>
    <row r="456" spans="1:9" s="40" customFormat="1" ht="29.25" customHeight="1">
      <c r="A456" s="44"/>
      <c r="B456" s="54" t="s">
        <v>1706</v>
      </c>
      <c r="C456" s="44" t="s">
        <v>1912</v>
      </c>
      <c r="D456" s="44" t="s">
        <v>89</v>
      </c>
      <c r="E456" s="44" t="s">
        <v>89</v>
      </c>
      <c r="F456" s="44"/>
      <c r="G456" s="44"/>
      <c r="H456" s="45" t="s">
        <v>1913</v>
      </c>
      <c r="I456" s="8" t="s">
        <v>1914</v>
      </c>
    </row>
    <row r="457" spans="1:9" s="40" customFormat="1" ht="35.1" customHeight="1">
      <c r="A457" s="46"/>
      <c r="B457" s="60" t="s">
        <v>1869</v>
      </c>
      <c r="C457" s="16" t="s">
        <v>1915</v>
      </c>
      <c r="D457" s="44" t="s">
        <v>44</v>
      </c>
      <c r="E457" s="52" t="s">
        <v>44</v>
      </c>
      <c r="F457" s="31"/>
      <c r="G457" s="16"/>
      <c r="H457" s="32" t="s">
        <v>1916</v>
      </c>
      <c r="I457" s="8" t="s">
        <v>1917</v>
      </c>
    </row>
    <row r="458" spans="1:9" s="40" customFormat="1" ht="24.75" customHeight="1">
      <c r="A458" s="57"/>
      <c r="B458" s="31" t="s">
        <v>1694</v>
      </c>
      <c r="C458" s="16" t="s">
        <v>1918</v>
      </c>
      <c r="D458" s="44" t="s">
        <v>1919</v>
      </c>
      <c r="E458" s="44" t="s">
        <v>1919</v>
      </c>
      <c r="F458" s="16"/>
      <c r="G458" s="16"/>
      <c r="H458" s="41" t="s">
        <v>1920</v>
      </c>
      <c r="I458" s="12" t="s">
        <v>1921</v>
      </c>
    </row>
    <row r="459" spans="1:9" s="40" customFormat="1" ht="29.25" customHeight="1">
      <c r="A459" s="44"/>
      <c r="B459" s="54" t="s">
        <v>1873</v>
      </c>
      <c r="C459" s="44" t="s">
        <v>1922</v>
      </c>
      <c r="D459" s="44" t="s">
        <v>1619</v>
      </c>
      <c r="E459" s="44" t="s">
        <v>786</v>
      </c>
      <c r="F459" s="44"/>
      <c r="G459" s="44"/>
      <c r="H459" s="45" t="s">
        <v>1923</v>
      </c>
      <c r="I459" s="8" t="s">
        <v>1924</v>
      </c>
    </row>
    <row r="460" spans="1:9" s="40" customFormat="1" ht="35.1" customHeight="1">
      <c r="A460" s="46"/>
      <c r="B460" s="31" t="s">
        <v>37</v>
      </c>
      <c r="C460" s="16" t="s">
        <v>1925</v>
      </c>
      <c r="D460" s="44" t="s">
        <v>18</v>
      </c>
      <c r="E460" s="44" t="s">
        <v>149</v>
      </c>
      <c r="F460" s="31"/>
      <c r="G460" s="16"/>
      <c r="H460" s="32" t="s">
        <v>1926</v>
      </c>
      <c r="I460" s="8" t="s">
        <v>1927</v>
      </c>
    </row>
    <row r="461" spans="1:9" s="40" customFormat="1" ht="24" customHeight="1">
      <c r="A461" s="46"/>
      <c r="B461" s="31" t="s">
        <v>1928</v>
      </c>
      <c r="C461" s="16" t="s">
        <v>1928</v>
      </c>
      <c r="D461" s="44" t="s">
        <v>15</v>
      </c>
      <c r="E461" s="44" t="s">
        <v>44</v>
      </c>
      <c r="F461" s="31"/>
      <c r="G461" s="16"/>
      <c r="H461" s="32">
        <v>43628</v>
      </c>
      <c r="I461" s="8" t="s">
        <v>1924</v>
      </c>
    </row>
    <row r="462" spans="1:9" s="40" customFormat="1" ht="29.25" customHeight="1">
      <c r="A462" s="44"/>
      <c r="B462" s="54" t="s">
        <v>90</v>
      </c>
      <c r="C462" s="44" t="s">
        <v>1929</v>
      </c>
      <c r="D462" s="44" t="s">
        <v>1930</v>
      </c>
      <c r="E462" s="44" t="s">
        <v>1930</v>
      </c>
      <c r="F462" s="44"/>
      <c r="G462" s="44"/>
      <c r="H462" s="45" t="s">
        <v>1931</v>
      </c>
      <c r="I462" s="8" t="s">
        <v>1932</v>
      </c>
    </row>
    <row r="463" spans="1:9" s="40" customFormat="1" ht="35.1" customHeight="1">
      <c r="A463" s="46"/>
      <c r="B463" s="31" t="s">
        <v>1933</v>
      </c>
      <c r="C463" s="16" t="s">
        <v>1934</v>
      </c>
      <c r="D463" s="44" t="s">
        <v>1611</v>
      </c>
      <c r="E463" s="44" t="s">
        <v>1611</v>
      </c>
      <c r="F463" s="31"/>
      <c r="G463" s="16"/>
      <c r="H463" s="32" t="s">
        <v>1935</v>
      </c>
      <c r="I463" s="8" t="s">
        <v>1936</v>
      </c>
    </row>
    <row r="464" spans="1:9" s="40" customFormat="1" ht="24" customHeight="1">
      <c r="A464" s="46"/>
      <c r="B464" s="31" t="s">
        <v>1538</v>
      </c>
      <c r="C464" s="16" t="s">
        <v>1539</v>
      </c>
      <c r="D464" s="44" t="s">
        <v>1540</v>
      </c>
      <c r="E464" s="44" t="s">
        <v>1540</v>
      </c>
      <c r="F464" s="31"/>
      <c r="G464" s="16"/>
      <c r="H464" s="32" t="s">
        <v>1937</v>
      </c>
      <c r="I464" s="8" t="s">
        <v>1938</v>
      </c>
    </row>
    <row r="465" spans="1:13" s="40" customFormat="1" ht="24.75" customHeight="1">
      <c r="A465" s="46"/>
      <c r="B465" s="31" t="s">
        <v>30</v>
      </c>
      <c r="C465" s="16" t="s">
        <v>1939</v>
      </c>
      <c r="D465" s="54" t="s">
        <v>1940</v>
      </c>
      <c r="E465" s="44" t="s">
        <v>120</v>
      </c>
      <c r="F465" s="31"/>
      <c r="G465" s="16"/>
      <c r="H465" s="48" t="s">
        <v>1941</v>
      </c>
      <c r="I465" s="8" t="s">
        <v>1936</v>
      </c>
    </row>
    <row r="466" spans="1:13" s="40" customFormat="1" ht="29.25" customHeight="1">
      <c r="A466" s="46"/>
      <c r="B466" s="31" t="s">
        <v>1463</v>
      </c>
      <c r="C466" s="16" t="s">
        <v>1808</v>
      </c>
      <c r="D466" s="44" t="s">
        <v>15</v>
      </c>
      <c r="E466" s="52" t="s">
        <v>44</v>
      </c>
      <c r="F466" s="31"/>
      <c r="G466" s="16"/>
      <c r="H466" s="32" t="s">
        <v>1942</v>
      </c>
      <c r="I466" s="8" t="s">
        <v>1943</v>
      </c>
    </row>
    <row r="467" spans="1:13" s="40" customFormat="1" ht="35.1" customHeight="1">
      <c r="A467" s="46"/>
      <c r="B467" s="31" t="s">
        <v>1077</v>
      </c>
      <c r="C467" s="16" t="s">
        <v>1819</v>
      </c>
      <c r="D467" s="44" t="s">
        <v>15</v>
      </c>
      <c r="E467" s="44" t="s">
        <v>44</v>
      </c>
      <c r="F467" s="31"/>
      <c r="G467" s="16"/>
      <c r="H467" s="32" t="s">
        <v>1944</v>
      </c>
      <c r="I467" s="8" t="s">
        <v>1945</v>
      </c>
    </row>
    <row r="468" spans="1:13" s="40" customFormat="1" ht="29.25" customHeight="1">
      <c r="A468" s="44"/>
      <c r="B468" s="54" t="s">
        <v>1946</v>
      </c>
      <c r="C468" s="44" t="s">
        <v>1947</v>
      </c>
      <c r="D468" s="44" t="s">
        <v>15</v>
      </c>
      <c r="E468" s="44" t="s">
        <v>1948</v>
      </c>
      <c r="F468" s="44"/>
      <c r="G468" s="44"/>
      <c r="H468" s="45" t="s">
        <v>1949</v>
      </c>
      <c r="I468" s="8" t="s">
        <v>1950</v>
      </c>
      <c r="M468"/>
    </row>
    <row r="469" spans="1:13" s="40" customFormat="1" ht="24.75" customHeight="1">
      <c r="A469" s="46"/>
      <c r="B469" s="31" t="s">
        <v>1951</v>
      </c>
      <c r="C469" s="16" t="s">
        <v>1952</v>
      </c>
      <c r="D469" s="54" t="s">
        <v>15</v>
      </c>
      <c r="E469" s="44" t="s">
        <v>15</v>
      </c>
      <c r="F469" s="31"/>
      <c r="G469" s="16"/>
      <c r="H469" s="48" t="s">
        <v>1953</v>
      </c>
      <c r="I469" s="8" t="s">
        <v>1954</v>
      </c>
    </row>
    <row r="470" spans="1:13" s="40" customFormat="1" ht="31.5" customHeight="1">
      <c r="A470" s="46"/>
      <c r="B470" s="31" t="s">
        <v>412</v>
      </c>
      <c r="C470" s="16" t="s">
        <v>1955</v>
      </c>
      <c r="D470" s="44" t="s">
        <v>1956</v>
      </c>
      <c r="E470" s="44" t="s">
        <v>44</v>
      </c>
      <c r="F470" s="16"/>
      <c r="G470" s="16"/>
      <c r="H470" s="41" t="s">
        <v>1957</v>
      </c>
      <c r="I470" s="12" t="s">
        <v>1958</v>
      </c>
    </row>
    <row r="471" spans="1:13" ht="28.5" customHeight="1">
      <c r="A471" s="46"/>
      <c r="B471" s="31" t="s">
        <v>1959</v>
      </c>
      <c r="C471" s="16" t="s">
        <v>1960</v>
      </c>
      <c r="D471" s="44" t="s">
        <v>1021</v>
      </c>
      <c r="E471" s="52" t="s">
        <v>1234</v>
      </c>
      <c r="F471" s="31"/>
      <c r="G471" s="16"/>
      <c r="H471" s="32" t="s">
        <v>1961</v>
      </c>
      <c r="I471" s="8" t="s">
        <v>1962</v>
      </c>
      <c r="J471" s="40"/>
      <c r="K471" s="40"/>
      <c r="L471" s="40"/>
      <c r="M471" s="40"/>
    </row>
    <row r="472" spans="1:13" s="40" customFormat="1" ht="26.25" customHeight="1">
      <c r="A472" s="46"/>
      <c r="B472" s="31" t="s">
        <v>1567</v>
      </c>
      <c r="C472" s="16" t="s">
        <v>1963</v>
      </c>
      <c r="D472" s="15" t="s">
        <v>1964</v>
      </c>
      <c r="E472" s="15" t="s">
        <v>1964</v>
      </c>
      <c r="F472" s="16"/>
      <c r="G472" s="16"/>
      <c r="H472" s="41" t="s">
        <v>1965</v>
      </c>
      <c r="I472" s="8" t="s">
        <v>1966</v>
      </c>
    </row>
    <row r="473" spans="1:13" s="40" customFormat="1" ht="24" customHeight="1">
      <c r="A473" s="46"/>
      <c r="B473" s="31" t="s">
        <v>1967</v>
      </c>
      <c r="C473" s="16" t="s">
        <v>1968</v>
      </c>
      <c r="D473" s="44" t="s">
        <v>167</v>
      </c>
      <c r="E473" s="44" t="s">
        <v>89</v>
      </c>
      <c r="F473" s="31"/>
      <c r="G473" s="16"/>
      <c r="H473" s="32" t="s">
        <v>1969</v>
      </c>
      <c r="I473" s="8" t="s">
        <v>1962</v>
      </c>
    </row>
    <row r="474" spans="1:13" s="40" customFormat="1" ht="31.5" customHeight="1">
      <c r="A474" s="46"/>
      <c r="B474" s="31" t="s">
        <v>1970</v>
      </c>
      <c r="C474" s="16" t="s">
        <v>1971</v>
      </c>
      <c r="D474" s="44" t="s">
        <v>15</v>
      </c>
      <c r="E474" s="44" t="s">
        <v>44</v>
      </c>
      <c r="F474" s="31"/>
      <c r="G474" s="16"/>
      <c r="H474" s="32" t="s">
        <v>1972</v>
      </c>
      <c r="I474" s="8" t="s">
        <v>1973</v>
      </c>
    </row>
    <row r="475" spans="1:13" s="40" customFormat="1" ht="35.1" customHeight="1">
      <c r="A475" s="46"/>
      <c r="B475" s="16" t="s">
        <v>1463</v>
      </c>
      <c r="C475" s="16" t="s">
        <v>1974</v>
      </c>
      <c r="D475" s="44" t="s">
        <v>15</v>
      </c>
      <c r="E475" s="52" t="s">
        <v>44</v>
      </c>
      <c r="F475" s="31"/>
      <c r="G475" s="16"/>
      <c r="H475" s="32" t="s">
        <v>1975</v>
      </c>
      <c r="I475" s="8" t="s">
        <v>1976</v>
      </c>
    </row>
    <row r="476" spans="1:13" s="40" customFormat="1" ht="35.1" customHeight="1">
      <c r="A476" s="46"/>
      <c r="B476" s="31" t="s">
        <v>1977</v>
      </c>
      <c r="C476" s="16" t="s">
        <v>1978</v>
      </c>
      <c r="D476" s="44" t="s">
        <v>1979</v>
      </c>
      <c r="E476" s="44" t="s">
        <v>1979</v>
      </c>
      <c r="F476" s="31"/>
      <c r="G476" s="16"/>
      <c r="H476" s="32" t="s">
        <v>1980</v>
      </c>
      <c r="I476" s="8" t="s">
        <v>1981</v>
      </c>
    </row>
    <row r="477" spans="1:13" s="40" customFormat="1" ht="35.1" customHeight="1">
      <c r="A477" s="46"/>
      <c r="B477" s="18" t="s">
        <v>1463</v>
      </c>
      <c r="C477" s="16" t="s">
        <v>1836</v>
      </c>
      <c r="D477" s="44" t="s">
        <v>15</v>
      </c>
      <c r="E477" s="52" t="s">
        <v>44</v>
      </c>
      <c r="F477" s="31"/>
      <c r="G477" s="16"/>
      <c r="H477" s="32" t="s">
        <v>1982</v>
      </c>
      <c r="I477" s="8" t="s">
        <v>1983</v>
      </c>
    </row>
    <row r="478" spans="1:13" s="40" customFormat="1" ht="24.75" customHeight="1">
      <c r="A478" s="46"/>
      <c r="B478" s="31" t="s">
        <v>1951</v>
      </c>
      <c r="C478" s="16" t="s">
        <v>1984</v>
      </c>
      <c r="D478" s="44" t="s">
        <v>1985</v>
      </c>
      <c r="E478" s="44" t="s">
        <v>1986</v>
      </c>
      <c r="F478" s="31"/>
      <c r="G478" s="16"/>
      <c r="H478" s="48" t="s">
        <v>1987</v>
      </c>
      <c r="I478" s="8" t="s">
        <v>1988</v>
      </c>
    </row>
    <row r="479" spans="1:13" s="40" customFormat="1" ht="36" customHeight="1">
      <c r="A479" s="44"/>
      <c r="B479" s="54" t="s">
        <v>1989</v>
      </c>
      <c r="C479" s="44" t="s">
        <v>1990</v>
      </c>
      <c r="D479" s="44" t="s">
        <v>15</v>
      </c>
      <c r="E479" s="44" t="s">
        <v>15</v>
      </c>
      <c r="F479" s="44"/>
      <c r="G479" s="44"/>
      <c r="H479" s="45" t="s">
        <v>1991</v>
      </c>
      <c r="I479" s="8" t="s">
        <v>1992</v>
      </c>
      <c r="J479" s="40" t="s">
        <v>1993</v>
      </c>
    </row>
    <row r="480" spans="1:13" s="40" customFormat="1" ht="29.25" customHeight="1">
      <c r="A480" s="44"/>
      <c r="B480" s="54" t="s">
        <v>124</v>
      </c>
      <c r="C480" s="44" t="s">
        <v>1994</v>
      </c>
      <c r="D480" s="44" t="s">
        <v>44</v>
      </c>
      <c r="E480" s="44" t="s">
        <v>44</v>
      </c>
      <c r="F480" s="44"/>
      <c r="G480" s="44"/>
      <c r="H480" s="45" t="s">
        <v>1995</v>
      </c>
      <c r="I480" s="8" t="s">
        <v>1996</v>
      </c>
      <c r="J480" s="40" t="s">
        <v>1997</v>
      </c>
    </row>
    <row r="481" spans="1:13" s="40" customFormat="1" ht="29.25" customHeight="1">
      <c r="A481" s="44"/>
      <c r="B481" s="54" t="s">
        <v>1617</v>
      </c>
      <c r="C481" s="44" t="s">
        <v>1998</v>
      </c>
      <c r="D481" s="44" t="s">
        <v>1263</v>
      </c>
      <c r="E481" s="44" t="s">
        <v>1263</v>
      </c>
      <c r="F481" s="44"/>
      <c r="G481" s="44"/>
      <c r="H481" s="45" t="s">
        <v>1999</v>
      </c>
      <c r="I481" s="8" t="s">
        <v>2000</v>
      </c>
    </row>
    <row r="482" spans="1:13" s="40" customFormat="1" ht="31.5" customHeight="1">
      <c r="A482" s="46"/>
      <c r="B482" s="31" t="s">
        <v>2001</v>
      </c>
      <c r="C482" s="16" t="s">
        <v>2002</v>
      </c>
      <c r="D482" s="44" t="s">
        <v>15</v>
      </c>
      <c r="E482" s="44" t="s">
        <v>44</v>
      </c>
      <c r="F482" s="16"/>
      <c r="G482" s="16"/>
      <c r="H482" s="41" t="s">
        <v>2003</v>
      </c>
      <c r="I482" s="12" t="s">
        <v>2004</v>
      </c>
      <c r="J482" s="40" t="s">
        <v>2005</v>
      </c>
    </row>
    <row r="483" spans="1:13" s="40" customFormat="1" ht="35.1" customHeight="1">
      <c r="A483" s="46"/>
      <c r="B483" s="31" t="s">
        <v>2006</v>
      </c>
      <c r="C483" s="16" t="s">
        <v>2007</v>
      </c>
      <c r="D483" s="44" t="s">
        <v>80</v>
      </c>
      <c r="E483" s="44" t="s">
        <v>1956</v>
      </c>
      <c r="F483" s="31"/>
      <c r="G483" s="16"/>
      <c r="H483" s="32" t="s">
        <v>2008</v>
      </c>
      <c r="I483" s="8" t="s">
        <v>2009</v>
      </c>
      <c r="J483" s="40" t="s">
        <v>1993</v>
      </c>
    </row>
    <row r="484" spans="1:13" s="40" customFormat="1" ht="29.25" customHeight="1">
      <c r="A484" s="46"/>
      <c r="B484" s="18" t="s">
        <v>261</v>
      </c>
      <c r="C484" s="16" t="s">
        <v>2010</v>
      </c>
      <c r="D484" s="44" t="s">
        <v>15</v>
      </c>
      <c r="E484" s="52" t="s">
        <v>44</v>
      </c>
      <c r="F484" s="31"/>
      <c r="G484" s="16"/>
      <c r="H484" s="32" t="s">
        <v>2011</v>
      </c>
      <c r="I484" s="8" t="s">
        <v>2012</v>
      </c>
      <c r="J484" s="40" t="s">
        <v>2013</v>
      </c>
      <c r="M484" s="15"/>
    </row>
    <row r="485" spans="1:13" s="40" customFormat="1" ht="24.75" customHeight="1">
      <c r="A485" s="46"/>
      <c r="B485" s="31" t="s">
        <v>822</v>
      </c>
      <c r="C485" s="16" t="s">
        <v>2014</v>
      </c>
      <c r="D485" s="54" t="s">
        <v>15</v>
      </c>
      <c r="E485" s="44" t="s">
        <v>15</v>
      </c>
      <c r="F485" s="31"/>
      <c r="G485" s="16"/>
      <c r="H485" s="48" t="s">
        <v>2015</v>
      </c>
      <c r="I485" s="8" t="s">
        <v>2016</v>
      </c>
      <c r="J485" s="40" t="s">
        <v>2017</v>
      </c>
    </row>
    <row r="486" spans="1:13" s="40" customFormat="1" ht="31.5" customHeight="1">
      <c r="A486" s="46"/>
      <c r="B486" s="31" t="s">
        <v>2018</v>
      </c>
      <c r="C486" s="16" t="s">
        <v>2019</v>
      </c>
      <c r="D486" s="44" t="s">
        <v>89</v>
      </c>
      <c r="E486" s="44" t="s">
        <v>89</v>
      </c>
      <c r="F486" s="16"/>
      <c r="G486" s="16"/>
      <c r="H486" s="41" t="s">
        <v>2020</v>
      </c>
      <c r="I486" s="12" t="s">
        <v>2021</v>
      </c>
    </row>
    <row r="487" spans="1:13" s="40" customFormat="1" ht="35.1" customHeight="1">
      <c r="A487" s="46"/>
      <c r="B487" s="31" t="s">
        <v>2022</v>
      </c>
      <c r="C487" s="16" t="s">
        <v>2023</v>
      </c>
      <c r="D487" s="44" t="s">
        <v>80</v>
      </c>
      <c r="E487" s="52" t="s">
        <v>15</v>
      </c>
      <c r="F487" s="31"/>
      <c r="G487" s="16"/>
      <c r="H487" s="32" t="s">
        <v>2024</v>
      </c>
      <c r="I487" s="8" t="s">
        <v>2025</v>
      </c>
      <c r="J487" s="40" t="s">
        <v>2026</v>
      </c>
    </row>
    <row r="488" spans="1:13" s="40" customFormat="1" ht="35.1" customHeight="1">
      <c r="A488" s="46"/>
      <c r="B488" s="31" t="s">
        <v>1892</v>
      </c>
      <c r="C488" s="16" t="s">
        <v>2027</v>
      </c>
      <c r="D488" s="44" t="s">
        <v>18</v>
      </c>
      <c r="E488" s="44" t="s">
        <v>149</v>
      </c>
      <c r="F488" s="31"/>
      <c r="G488" s="16"/>
      <c r="H488" s="32" t="s">
        <v>2028</v>
      </c>
      <c r="I488" s="8" t="s">
        <v>2029</v>
      </c>
    </row>
    <row r="489" spans="1:13" s="40" customFormat="1" ht="24.75" customHeight="1">
      <c r="A489" s="46"/>
      <c r="B489" s="31" t="s">
        <v>30</v>
      </c>
      <c r="C489" s="16" t="s">
        <v>2030</v>
      </c>
      <c r="D489" s="54" t="s">
        <v>18</v>
      </c>
      <c r="E489" s="44" t="s">
        <v>149</v>
      </c>
      <c r="F489" s="31"/>
      <c r="G489" s="16"/>
      <c r="H489" s="48" t="s">
        <v>2031</v>
      </c>
      <c r="I489" s="8" t="s">
        <v>2032</v>
      </c>
    </row>
    <row r="490" spans="1:13" ht="28.5" customHeight="1">
      <c r="A490" s="46"/>
      <c r="B490" s="31" t="s">
        <v>773</v>
      </c>
      <c r="C490" s="16" t="s">
        <v>2033</v>
      </c>
      <c r="D490" s="44" t="s">
        <v>2034</v>
      </c>
      <c r="E490" s="44" t="s">
        <v>2034</v>
      </c>
      <c r="F490" s="31"/>
      <c r="G490" s="16"/>
      <c r="H490" s="32" t="s">
        <v>2035</v>
      </c>
      <c r="I490" s="61" t="s">
        <v>2036</v>
      </c>
      <c r="J490" s="40"/>
      <c r="K490" s="40"/>
      <c r="L490" s="40"/>
      <c r="M490" s="40"/>
    </row>
    <row r="491" spans="1:13" s="40" customFormat="1" ht="29.25" customHeight="1">
      <c r="A491" s="44"/>
      <c r="B491" s="54" t="s">
        <v>1660</v>
      </c>
      <c r="C491" s="44" t="s">
        <v>2037</v>
      </c>
      <c r="D491" s="44" t="s">
        <v>2038</v>
      </c>
      <c r="E491" s="44" t="s">
        <v>2038</v>
      </c>
      <c r="F491" s="44"/>
      <c r="G491" s="44"/>
      <c r="H491" s="45" t="s">
        <v>2039</v>
      </c>
      <c r="I491" s="8" t="s">
        <v>2032</v>
      </c>
    </row>
    <row r="492" spans="1:13" s="40" customFormat="1" ht="31.5" customHeight="1">
      <c r="A492" s="46"/>
      <c r="B492" s="31" t="s">
        <v>412</v>
      </c>
      <c r="C492" s="16" t="s">
        <v>2040</v>
      </c>
      <c r="D492" s="44" t="s">
        <v>80</v>
      </c>
      <c r="E492" s="44" t="s">
        <v>15</v>
      </c>
      <c r="F492" s="16"/>
      <c r="G492" s="16"/>
      <c r="H492" s="41" t="s">
        <v>2041</v>
      </c>
      <c r="I492" s="12" t="s">
        <v>2042</v>
      </c>
    </row>
    <row r="493" spans="1:13" s="40" customFormat="1" ht="35.1" customHeight="1">
      <c r="A493" s="46"/>
      <c r="B493" s="16" t="s">
        <v>1484</v>
      </c>
      <c r="C493" s="16" t="s">
        <v>2043</v>
      </c>
      <c r="D493" s="44" t="s">
        <v>15</v>
      </c>
      <c r="E493" s="52" t="s">
        <v>44</v>
      </c>
      <c r="F493" s="31"/>
      <c r="G493" s="16"/>
      <c r="H493" s="32" t="s">
        <v>2044</v>
      </c>
      <c r="I493" s="8" t="s">
        <v>2045</v>
      </c>
      <c r="J493" s="40" t="s">
        <v>2046</v>
      </c>
    </row>
    <row r="494" spans="1:13" s="40" customFormat="1" ht="30" customHeight="1">
      <c r="A494" s="44"/>
      <c r="B494" s="54" t="s">
        <v>2047</v>
      </c>
      <c r="C494" s="44" t="s">
        <v>2048</v>
      </c>
      <c r="D494" s="44" t="s">
        <v>44</v>
      </c>
      <c r="E494" s="44" t="s">
        <v>44</v>
      </c>
      <c r="F494" s="44"/>
      <c r="G494" s="44"/>
      <c r="H494" s="45" t="s">
        <v>2049</v>
      </c>
      <c r="I494" s="8" t="s">
        <v>2050</v>
      </c>
      <c r="J494" s="40" t="s">
        <v>2051</v>
      </c>
    </row>
    <row r="495" spans="1:13" s="40" customFormat="1" ht="35.1" customHeight="1">
      <c r="A495" s="46"/>
      <c r="B495" s="16" t="s">
        <v>1484</v>
      </c>
      <c r="C495" s="16" t="s">
        <v>2052</v>
      </c>
      <c r="D495" s="44" t="s">
        <v>15</v>
      </c>
      <c r="E495" s="52" t="s">
        <v>44</v>
      </c>
      <c r="F495" s="31"/>
      <c r="G495" s="16"/>
      <c r="H495" s="32" t="s">
        <v>2053</v>
      </c>
      <c r="I495" s="8" t="s">
        <v>2054</v>
      </c>
      <c r="J495" s="40" t="s">
        <v>2055</v>
      </c>
    </row>
    <row r="496" spans="1:13" s="40" customFormat="1" ht="35.1" customHeight="1">
      <c r="A496" s="46"/>
      <c r="B496" s="18" t="s">
        <v>1463</v>
      </c>
      <c r="C496" s="16" t="s">
        <v>2056</v>
      </c>
      <c r="D496" s="44" t="s">
        <v>2057</v>
      </c>
      <c r="E496" s="52" t="s">
        <v>2057</v>
      </c>
      <c r="F496" s="31"/>
      <c r="G496" s="16"/>
      <c r="H496" s="32" t="s">
        <v>2058</v>
      </c>
      <c r="I496" s="8" t="s">
        <v>2059</v>
      </c>
    </row>
    <row r="497" spans="1:10" s="40" customFormat="1" ht="24.75" customHeight="1">
      <c r="A497" s="46"/>
      <c r="B497" s="31" t="s">
        <v>2060</v>
      </c>
      <c r="C497" s="16" t="s">
        <v>2061</v>
      </c>
      <c r="D497" s="58" t="s">
        <v>2062</v>
      </c>
      <c r="E497" s="44"/>
      <c r="F497" s="31"/>
      <c r="G497" s="16"/>
      <c r="H497" s="48" t="s">
        <v>2063</v>
      </c>
      <c r="I497" s="8" t="s">
        <v>2064</v>
      </c>
    </row>
    <row r="498" spans="1:10" s="40" customFormat="1" ht="35.1" customHeight="1">
      <c r="A498" s="46"/>
      <c r="B498" s="31" t="s">
        <v>1077</v>
      </c>
      <c r="C498" s="16" t="s">
        <v>2065</v>
      </c>
      <c r="D498" s="44" t="s">
        <v>15</v>
      </c>
      <c r="E498" s="44" t="s">
        <v>44</v>
      </c>
      <c r="F498" s="31"/>
      <c r="G498" s="16"/>
      <c r="H498" s="32" t="s">
        <v>2066</v>
      </c>
      <c r="I498" s="8" t="s">
        <v>2067</v>
      </c>
      <c r="J498" s="40" t="s">
        <v>2005</v>
      </c>
    </row>
    <row r="499" spans="1:10" s="40" customFormat="1" ht="31.5" customHeight="1">
      <c r="A499" s="46"/>
      <c r="B499" s="31" t="s">
        <v>412</v>
      </c>
      <c r="C499" s="16" t="s">
        <v>2068</v>
      </c>
      <c r="D499" s="44" t="s">
        <v>15</v>
      </c>
      <c r="E499" s="44" t="s">
        <v>44</v>
      </c>
      <c r="F499" s="16"/>
      <c r="G499" s="16"/>
      <c r="H499" s="41" t="s">
        <v>2069</v>
      </c>
      <c r="I499" s="12" t="s">
        <v>2070</v>
      </c>
      <c r="J499" s="40" t="s">
        <v>2071</v>
      </c>
    </row>
    <row r="500" spans="1:10" s="40" customFormat="1" ht="35.1" customHeight="1">
      <c r="A500" s="46"/>
      <c r="B500" s="31" t="s">
        <v>1933</v>
      </c>
      <c r="C500" s="16" t="s">
        <v>2072</v>
      </c>
      <c r="D500" s="44" t="s">
        <v>18</v>
      </c>
      <c r="E500" s="44" t="s">
        <v>149</v>
      </c>
      <c r="F500" s="31"/>
      <c r="G500" s="16"/>
      <c r="H500" s="32" t="s">
        <v>2073</v>
      </c>
      <c r="I500" s="8" t="s">
        <v>2074</v>
      </c>
    </row>
    <row r="501" spans="1:10" s="40" customFormat="1" ht="29.25" customHeight="1">
      <c r="A501" s="44"/>
      <c r="B501" s="54" t="s">
        <v>2075</v>
      </c>
      <c r="C501" s="44" t="s">
        <v>2076</v>
      </c>
      <c r="D501" s="44" t="s">
        <v>2077</v>
      </c>
      <c r="E501" s="44" t="s">
        <v>2077</v>
      </c>
      <c r="F501" s="44"/>
      <c r="G501" s="44"/>
      <c r="H501" s="45" t="s">
        <v>2078</v>
      </c>
      <c r="I501" s="8" t="s">
        <v>2025</v>
      </c>
    </row>
    <row r="502" spans="1:10" s="40" customFormat="1" ht="35.1" customHeight="1">
      <c r="A502" s="46"/>
      <c r="B502" s="18" t="s">
        <v>1463</v>
      </c>
      <c r="C502" s="16" t="s">
        <v>2079</v>
      </c>
      <c r="D502" s="44" t="s">
        <v>15</v>
      </c>
      <c r="E502" s="52" t="s">
        <v>44</v>
      </c>
      <c r="F502" s="31"/>
      <c r="G502" s="16"/>
      <c r="H502" s="32">
        <v>43619</v>
      </c>
      <c r="I502" s="8" t="s">
        <v>1983</v>
      </c>
      <c r="J502" s="40" t="s">
        <v>1993</v>
      </c>
    </row>
    <row r="503" spans="1:10" s="40" customFormat="1" ht="29.25" customHeight="1">
      <c r="A503" s="44"/>
      <c r="B503" s="54" t="s">
        <v>1660</v>
      </c>
      <c r="C503" s="44" t="s">
        <v>2080</v>
      </c>
      <c r="D503" s="44" t="s">
        <v>2081</v>
      </c>
      <c r="E503" s="44" t="s">
        <v>2081</v>
      </c>
      <c r="F503" s="44"/>
      <c r="G503" s="44"/>
      <c r="H503" s="45" t="s">
        <v>2082</v>
      </c>
      <c r="I503" s="8" t="s">
        <v>2083</v>
      </c>
    </row>
    <row r="504" spans="1:10" s="40" customFormat="1" ht="29.25" customHeight="1">
      <c r="A504" s="44"/>
      <c r="B504" s="54" t="s">
        <v>2084</v>
      </c>
      <c r="C504" s="44" t="s">
        <v>2085</v>
      </c>
      <c r="D504" s="44" t="s">
        <v>18</v>
      </c>
      <c r="E504" s="44" t="s">
        <v>149</v>
      </c>
      <c r="F504" s="44"/>
      <c r="G504" s="44"/>
      <c r="H504" s="45" t="s">
        <v>2086</v>
      </c>
      <c r="I504" s="8" t="s">
        <v>2087</v>
      </c>
    </row>
    <row r="505" spans="1:10" s="40" customFormat="1" ht="29.25" customHeight="1">
      <c r="A505" s="44"/>
      <c r="B505" s="54" t="s">
        <v>90</v>
      </c>
      <c r="C505" s="44" t="s">
        <v>2088</v>
      </c>
      <c r="D505" s="44" t="s">
        <v>18</v>
      </c>
      <c r="E505" s="44" t="s">
        <v>149</v>
      </c>
      <c r="F505" s="44"/>
      <c r="G505" s="44"/>
      <c r="H505" s="45" t="s">
        <v>2089</v>
      </c>
      <c r="I505" s="8" t="s">
        <v>2090</v>
      </c>
    </row>
    <row r="506" spans="1:10" s="40" customFormat="1" ht="29.25" customHeight="1">
      <c r="A506" s="54"/>
      <c r="B506" s="54" t="s">
        <v>1873</v>
      </c>
      <c r="C506" s="44" t="s">
        <v>2091</v>
      </c>
      <c r="D506" s="44" t="s">
        <v>786</v>
      </c>
      <c r="E506" s="44" t="s">
        <v>786</v>
      </c>
      <c r="F506" s="44"/>
      <c r="G506" s="44"/>
      <c r="H506" s="45" t="s">
        <v>2092</v>
      </c>
      <c r="I506" s="42" t="s">
        <v>2093</v>
      </c>
    </row>
    <row r="507" spans="1:10" s="40" customFormat="1" ht="35.1" customHeight="1">
      <c r="A507" s="57"/>
      <c r="B507" s="31" t="s">
        <v>1933</v>
      </c>
      <c r="C507" s="16" t="s">
        <v>2094</v>
      </c>
      <c r="D507" s="44" t="s">
        <v>1654</v>
      </c>
      <c r="E507" s="44" t="s">
        <v>176</v>
      </c>
      <c r="F507" s="31"/>
      <c r="G507" s="16"/>
      <c r="H507" s="32" t="s">
        <v>2095</v>
      </c>
      <c r="I507" s="8" t="s">
        <v>2096</v>
      </c>
    </row>
    <row r="508" spans="1:10" s="40" customFormat="1" ht="31.5" customHeight="1">
      <c r="A508" s="46"/>
      <c r="B508" s="31" t="s">
        <v>2097</v>
      </c>
      <c r="C508" s="16" t="s">
        <v>1387</v>
      </c>
      <c r="D508" s="44" t="s">
        <v>80</v>
      </c>
      <c r="E508" s="44" t="s">
        <v>15</v>
      </c>
      <c r="F508" s="16"/>
      <c r="G508" s="16"/>
      <c r="H508" s="41" t="s">
        <v>2098</v>
      </c>
      <c r="I508" s="12" t="s">
        <v>2099</v>
      </c>
    </row>
    <row r="509" spans="1:10" s="40" customFormat="1" ht="26.25" customHeight="1">
      <c r="A509" s="54"/>
      <c r="B509" s="54" t="s">
        <v>2100</v>
      </c>
      <c r="C509" s="44" t="s">
        <v>2101</v>
      </c>
      <c r="D509" s="44" t="s">
        <v>167</v>
      </c>
      <c r="E509" s="44" t="s">
        <v>2102</v>
      </c>
      <c r="F509" s="44"/>
      <c r="G509" s="44"/>
      <c r="H509" s="45" t="s">
        <v>2103</v>
      </c>
      <c r="I509" s="8" t="s">
        <v>2104</v>
      </c>
    </row>
    <row r="510" spans="1:10" s="40" customFormat="1" ht="35.1" customHeight="1">
      <c r="A510" s="79"/>
      <c r="B510" s="31" t="s">
        <v>1137</v>
      </c>
      <c r="C510" s="16" t="s">
        <v>2105</v>
      </c>
      <c r="D510" s="44" t="s">
        <v>44</v>
      </c>
      <c r="E510" s="44" t="s">
        <v>44</v>
      </c>
      <c r="F510" s="16"/>
      <c r="G510" s="16"/>
      <c r="H510" s="41" t="s">
        <v>2106</v>
      </c>
      <c r="I510" s="12" t="s">
        <v>2107</v>
      </c>
      <c r="J510" s="40" t="s">
        <v>2108</v>
      </c>
    </row>
    <row r="511" spans="1:10" s="40" customFormat="1" ht="35.1" customHeight="1">
      <c r="A511" s="79"/>
      <c r="B511" s="31" t="s">
        <v>2109</v>
      </c>
      <c r="C511" s="16" t="s">
        <v>2110</v>
      </c>
      <c r="D511" s="44" t="s">
        <v>15</v>
      </c>
      <c r="E511" s="44" t="s">
        <v>15</v>
      </c>
      <c r="F511" s="31"/>
      <c r="G511" s="16"/>
      <c r="H511" s="32" t="s">
        <v>2111</v>
      </c>
      <c r="I511" s="8" t="s">
        <v>2112</v>
      </c>
    </row>
    <row r="512" spans="1:10" s="40" customFormat="1" ht="31.5" customHeight="1">
      <c r="A512" s="79"/>
      <c r="B512" s="31" t="s">
        <v>2113</v>
      </c>
      <c r="C512" s="16" t="s">
        <v>2114</v>
      </c>
      <c r="D512" s="44" t="s">
        <v>15</v>
      </c>
      <c r="E512" s="44" t="s">
        <v>15</v>
      </c>
      <c r="F512" s="16"/>
      <c r="G512" s="16"/>
      <c r="H512" s="41" t="s">
        <v>2115</v>
      </c>
      <c r="I512" s="12" t="s">
        <v>2116</v>
      </c>
      <c r="J512" s="40" t="s">
        <v>2117</v>
      </c>
    </row>
    <row r="513" spans="1:10" s="40" customFormat="1" ht="29.25" customHeight="1">
      <c r="A513" s="80"/>
      <c r="B513" s="54" t="s">
        <v>1873</v>
      </c>
      <c r="C513" s="44" t="s">
        <v>2118</v>
      </c>
      <c r="D513" s="44" t="s">
        <v>1859</v>
      </c>
      <c r="E513" s="44" t="s">
        <v>1859</v>
      </c>
      <c r="F513" s="44"/>
      <c r="G513" s="44"/>
      <c r="H513" s="45" t="s">
        <v>2119</v>
      </c>
      <c r="I513" s="42" t="s">
        <v>2120</v>
      </c>
    </row>
    <row r="514" spans="1:10" s="40" customFormat="1" ht="33" customHeight="1">
      <c r="A514" s="46"/>
      <c r="B514" s="31" t="s">
        <v>19</v>
      </c>
      <c r="C514" s="16" t="s">
        <v>2121</v>
      </c>
      <c r="D514" s="54" t="s">
        <v>149</v>
      </c>
      <c r="E514" s="44" t="s">
        <v>149</v>
      </c>
      <c r="F514" s="31"/>
      <c r="G514" s="16"/>
      <c r="H514" s="48" t="s">
        <v>2122</v>
      </c>
      <c r="I514" s="8" t="s">
        <v>2123</v>
      </c>
    </row>
    <row r="515" spans="1:10" s="40" customFormat="1" ht="29.25" customHeight="1">
      <c r="A515" s="80"/>
      <c r="B515" s="54" t="s">
        <v>2124</v>
      </c>
      <c r="C515" s="44" t="s">
        <v>2125</v>
      </c>
      <c r="D515" s="44" t="s">
        <v>2126</v>
      </c>
      <c r="E515" s="44" t="s">
        <v>2126</v>
      </c>
      <c r="F515" s="44"/>
      <c r="G515" s="44"/>
      <c r="H515" s="45" t="s">
        <v>2127</v>
      </c>
      <c r="I515" s="8" t="s">
        <v>2128</v>
      </c>
    </row>
    <row r="516" spans="1:10" s="40" customFormat="1" ht="39" customHeight="1">
      <c r="A516" s="84"/>
      <c r="B516" s="54" t="s">
        <v>2129</v>
      </c>
      <c r="C516" s="1" t="s">
        <v>2130</v>
      </c>
      <c r="D516" s="44" t="s">
        <v>15</v>
      </c>
      <c r="E516" s="44" t="s">
        <v>15</v>
      </c>
      <c r="F516" s="1"/>
      <c r="G516" s="1"/>
      <c r="H516" s="45" t="s">
        <v>2131</v>
      </c>
      <c r="I516" s="8" t="s">
        <v>2132</v>
      </c>
      <c r="J516"/>
    </row>
    <row r="517" spans="1:10" s="40" customFormat="1" ht="30" customHeight="1">
      <c r="A517" s="44"/>
      <c r="B517" s="54" t="s">
        <v>1191</v>
      </c>
      <c r="C517" s="44" t="s">
        <v>2133</v>
      </c>
      <c r="D517" s="44" t="s">
        <v>2134</v>
      </c>
      <c r="E517" s="44" t="s">
        <v>149</v>
      </c>
      <c r="F517" s="44"/>
      <c r="G517" s="44"/>
      <c r="H517" s="45" t="s">
        <v>2135</v>
      </c>
      <c r="I517" s="8" t="s">
        <v>2136</v>
      </c>
    </row>
    <row r="518" spans="1:10" s="40" customFormat="1" ht="29.25" customHeight="1">
      <c r="A518" s="44"/>
      <c r="B518" s="54" t="s">
        <v>2137</v>
      </c>
      <c r="C518" s="44" t="s">
        <v>2138</v>
      </c>
      <c r="D518" s="44" t="s">
        <v>2139</v>
      </c>
      <c r="E518" s="44" t="s">
        <v>89</v>
      </c>
      <c r="F518" s="44"/>
      <c r="G518" s="44"/>
      <c r="H518" s="45" t="s">
        <v>2140</v>
      </c>
      <c r="I518" s="8" t="s">
        <v>2132</v>
      </c>
      <c r="J518" s="78"/>
    </row>
    <row r="519" spans="1:10" s="40" customFormat="1" ht="29.25" customHeight="1">
      <c r="A519" s="83"/>
      <c r="B519" s="54" t="s">
        <v>2141</v>
      </c>
      <c r="C519" s="44" t="s">
        <v>2142</v>
      </c>
      <c r="D519" s="44" t="s">
        <v>15</v>
      </c>
      <c r="E519" s="44" t="s">
        <v>15</v>
      </c>
      <c r="F519" s="44"/>
      <c r="G519" s="44"/>
      <c r="H519" s="45">
        <v>43404</v>
      </c>
      <c r="I519" s="8" t="s">
        <v>2143</v>
      </c>
      <c r="J519" s="40" t="s">
        <v>2144</v>
      </c>
    </row>
    <row r="520" spans="1:10" s="40" customFormat="1" ht="35.1" customHeight="1">
      <c r="A520" s="57"/>
      <c r="B520" s="31" t="s">
        <v>2145</v>
      </c>
      <c r="C520" s="16" t="s">
        <v>2146</v>
      </c>
      <c r="D520" s="44" t="s">
        <v>15</v>
      </c>
      <c r="E520" s="44" t="s">
        <v>2147</v>
      </c>
      <c r="F520" s="31"/>
      <c r="G520" s="25"/>
      <c r="H520" s="32" t="s">
        <v>2148</v>
      </c>
      <c r="I520" s="8" t="s">
        <v>2149</v>
      </c>
    </row>
    <row r="521" spans="1:10" s="40" customFormat="1" ht="31.5" customHeight="1">
      <c r="A521" s="79"/>
      <c r="B521" s="31" t="s">
        <v>412</v>
      </c>
      <c r="C521" s="16" t="s">
        <v>2150</v>
      </c>
      <c r="D521" s="44" t="s">
        <v>44</v>
      </c>
      <c r="E521" s="44" t="s">
        <v>44</v>
      </c>
      <c r="F521" s="16"/>
      <c r="G521" s="16"/>
      <c r="H521" s="41" t="s">
        <v>2151</v>
      </c>
      <c r="I521" s="12" t="s">
        <v>2152</v>
      </c>
      <c r="J521" s="40" t="s">
        <v>2153</v>
      </c>
    </row>
    <row r="522" spans="1:10" s="40" customFormat="1" ht="29.25" customHeight="1">
      <c r="A522" s="44"/>
      <c r="B522" s="54" t="s">
        <v>2154</v>
      </c>
      <c r="C522" s="44" t="s">
        <v>2155</v>
      </c>
      <c r="D522" s="44" t="s">
        <v>2156</v>
      </c>
      <c r="E522" s="44" t="s">
        <v>149</v>
      </c>
      <c r="F522" s="44"/>
      <c r="G522" s="44"/>
      <c r="H522" s="45" t="s">
        <v>2157</v>
      </c>
      <c r="I522" s="8" t="s">
        <v>2158</v>
      </c>
    </row>
    <row r="523" spans="1:10" s="40" customFormat="1" ht="29.25" customHeight="1">
      <c r="A523" s="44"/>
      <c r="B523" s="54" t="s">
        <v>16</v>
      </c>
      <c r="C523" s="44" t="s">
        <v>2159</v>
      </c>
      <c r="D523" s="44" t="s">
        <v>2160</v>
      </c>
      <c r="E523" s="44" t="s">
        <v>2160</v>
      </c>
      <c r="F523" s="44"/>
      <c r="G523" s="44"/>
      <c r="H523" s="45" t="s">
        <v>2161</v>
      </c>
      <c r="I523" s="8" t="s">
        <v>2162</v>
      </c>
    </row>
    <row r="524" spans="1:10" s="40" customFormat="1" ht="29.25" customHeight="1">
      <c r="A524" s="46"/>
      <c r="B524" s="31" t="s">
        <v>1198</v>
      </c>
      <c r="C524" s="16" t="s">
        <v>2163</v>
      </c>
      <c r="D524" s="44" t="s">
        <v>1263</v>
      </c>
      <c r="E524" s="52" t="s">
        <v>1263</v>
      </c>
      <c r="F524" s="31"/>
      <c r="G524" s="16"/>
      <c r="H524" s="32" t="s">
        <v>2164</v>
      </c>
      <c r="I524" s="88">
        <v>43800</v>
      </c>
    </row>
    <row r="525" spans="1:10" s="40" customFormat="1" ht="29.25" customHeight="1">
      <c r="A525" s="79"/>
      <c r="B525" s="16" t="s">
        <v>1484</v>
      </c>
      <c r="C525" s="16" t="s">
        <v>2165</v>
      </c>
      <c r="D525" s="44" t="s">
        <v>15</v>
      </c>
      <c r="E525" s="52" t="s">
        <v>44</v>
      </c>
      <c r="F525" s="31"/>
      <c r="G525" s="16"/>
      <c r="H525" s="32" t="s">
        <v>2166</v>
      </c>
      <c r="I525" s="88">
        <v>43908</v>
      </c>
      <c r="J525" s="40" t="s">
        <v>2167</v>
      </c>
    </row>
    <row r="526" spans="1:10" s="40" customFormat="1" ht="36" customHeight="1">
      <c r="A526" s="44"/>
      <c r="B526" s="54" t="s">
        <v>741</v>
      </c>
      <c r="C526" s="44" t="s">
        <v>2168</v>
      </c>
      <c r="D526" s="44" t="s">
        <v>18</v>
      </c>
      <c r="E526" s="44" t="s">
        <v>149</v>
      </c>
      <c r="F526" s="44"/>
      <c r="G526" s="44"/>
      <c r="H526" s="45" t="s">
        <v>2169</v>
      </c>
      <c r="I526" s="88">
        <v>43944</v>
      </c>
    </row>
    <row r="527" spans="1:10" s="40" customFormat="1" ht="29.25" customHeight="1">
      <c r="A527" s="54"/>
      <c r="B527" s="54" t="s">
        <v>2124</v>
      </c>
      <c r="C527" s="44" t="s">
        <v>2170</v>
      </c>
      <c r="D527" s="44" t="s">
        <v>2171</v>
      </c>
      <c r="E527" s="44" t="s">
        <v>2171</v>
      </c>
      <c r="F527" s="44"/>
      <c r="G527" s="44"/>
      <c r="H527" s="91" t="s">
        <v>2172</v>
      </c>
      <c r="I527" s="88">
        <v>43958</v>
      </c>
    </row>
    <row r="528" spans="1:10" s="40" customFormat="1" ht="29.25" customHeight="1">
      <c r="A528" s="44"/>
      <c r="B528" s="54" t="s">
        <v>2173</v>
      </c>
      <c r="C528" s="44" t="s">
        <v>2174</v>
      </c>
      <c r="D528" s="44" t="s">
        <v>15</v>
      </c>
      <c r="E528" s="44" t="s">
        <v>15</v>
      </c>
      <c r="F528" s="44"/>
      <c r="G528" s="44"/>
      <c r="H528" s="91" t="s">
        <v>2175</v>
      </c>
      <c r="I528" s="88">
        <v>43964</v>
      </c>
    </row>
    <row r="529" spans="1:9" s="40" customFormat="1" ht="35.1" customHeight="1">
      <c r="A529" s="57"/>
      <c r="B529" s="31" t="s">
        <v>1463</v>
      </c>
      <c r="C529" s="16" t="s">
        <v>2176</v>
      </c>
      <c r="D529" s="44" t="s">
        <v>1956</v>
      </c>
      <c r="E529" s="52" t="s">
        <v>44</v>
      </c>
      <c r="F529" s="31"/>
      <c r="G529" s="16"/>
      <c r="H529" s="92" t="s">
        <v>2177</v>
      </c>
      <c r="I529" s="88">
        <v>43965</v>
      </c>
    </row>
    <row r="530" spans="1:9" s="40" customFormat="1" ht="29.25" customHeight="1">
      <c r="A530" s="54"/>
      <c r="B530" s="54" t="s">
        <v>2178</v>
      </c>
      <c r="C530" s="44" t="s">
        <v>2179</v>
      </c>
      <c r="D530" s="44" t="s">
        <v>15</v>
      </c>
      <c r="E530" s="44" t="s">
        <v>15</v>
      </c>
      <c r="F530" s="44"/>
      <c r="G530" s="44"/>
      <c r="H530" s="91" t="s">
        <v>2180</v>
      </c>
      <c r="I530" s="88">
        <v>43971</v>
      </c>
    </row>
    <row r="531" spans="1:9" s="40" customFormat="1" ht="35.1" customHeight="1">
      <c r="A531" s="79"/>
      <c r="B531" s="31" t="s">
        <v>198</v>
      </c>
      <c r="C531" s="16" t="s">
        <v>2181</v>
      </c>
      <c r="D531" s="44" t="s">
        <v>18</v>
      </c>
      <c r="E531" s="44" t="s">
        <v>149</v>
      </c>
      <c r="F531" s="31"/>
      <c r="G531" s="16"/>
      <c r="H531" s="92" t="s">
        <v>2182</v>
      </c>
      <c r="I531" s="88">
        <v>43951</v>
      </c>
    </row>
    <row r="532" spans="1:9" s="40" customFormat="1" ht="35.1" customHeight="1">
      <c r="A532" s="79"/>
      <c r="B532" s="31" t="s">
        <v>2183</v>
      </c>
      <c r="C532" s="16" t="s">
        <v>2174</v>
      </c>
      <c r="D532" s="44" t="s">
        <v>15</v>
      </c>
      <c r="E532" s="44" t="s">
        <v>15</v>
      </c>
      <c r="F532" s="31"/>
      <c r="G532" s="16"/>
      <c r="H532" s="92" t="s">
        <v>2184</v>
      </c>
      <c r="I532" s="88">
        <v>43957</v>
      </c>
    </row>
    <row r="533" spans="1:9" s="40" customFormat="1" ht="31.5" customHeight="1">
      <c r="A533" s="46"/>
      <c r="B533" s="31" t="s">
        <v>279</v>
      </c>
      <c r="C533" s="16" t="s">
        <v>2185</v>
      </c>
      <c r="D533" s="44" t="s">
        <v>89</v>
      </c>
      <c r="E533" s="44" t="s">
        <v>167</v>
      </c>
      <c r="F533" s="31"/>
      <c r="G533" s="16"/>
      <c r="H533" s="92" t="s">
        <v>2186</v>
      </c>
      <c r="I533" s="88">
        <v>43978</v>
      </c>
    </row>
    <row r="534" spans="1:9" s="40" customFormat="1" ht="35.1" customHeight="1">
      <c r="A534" s="44"/>
      <c r="B534" s="54" t="s">
        <v>1289</v>
      </c>
      <c r="C534" s="44" t="s">
        <v>2187</v>
      </c>
      <c r="D534" s="44" t="s">
        <v>15</v>
      </c>
      <c r="E534" s="44" t="s">
        <v>15</v>
      </c>
      <c r="F534" s="44"/>
      <c r="G534" s="44"/>
      <c r="H534" s="91" t="s">
        <v>2188</v>
      </c>
      <c r="I534" s="88">
        <v>43979</v>
      </c>
    </row>
    <row r="535" spans="1:9" s="40" customFormat="1" ht="36" customHeight="1">
      <c r="A535" s="46"/>
      <c r="B535" s="31" t="s">
        <v>822</v>
      </c>
      <c r="C535" s="16" t="s">
        <v>2189</v>
      </c>
      <c r="D535" s="54" t="s">
        <v>1986</v>
      </c>
      <c r="E535" s="44" t="s">
        <v>1986</v>
      </c>
      <c r="F535" s="31"/>
      <c r="G535" s="16"/>
      <c r="H535" s="93" t="s">
        <v>2190</v>
      </c>
      <c r="I535" s="88">
        <v>43979</v>
      </c>
    </row>
    <row r="536" spans="1:9" s="40" customFormat="1" ht="36" customHeight="1">
      <c r="A536" s="79"/>
      <c r="B536" s="31" t="s">
        <v>822</v>
      </c>
      <c r="C536" s="16" t="s">
        <v>2191</v>
      </c>
      <c r="D536" s="54" t="s">
        <v>15</v>
      </c>
      <c r="E536" s="44" t="s">
        <v>15</v>
      </c>
      <c r="F536" s="31"/>
      <c r="G536" s="16"/>
      <c r="H536" s="93" t="s">
        <v>2192</v>
      </c>
      <c r="I536" s="88">
        <v>43993</v>
      </c>
    </row>
    <row r="537" spans="1:9" s="40" customFormat="1" ht="35.1" customHeight="1">
      <c r="A537" s="57"/>
      <c r="B537" s="31" t="s">
        <v>2193</v>
      </c>
      <c r="C537" s="16" t="s">
        <v>2194</v>
      </c>
      <c r="D537" s="44" t="s">
        <v>498</v>
      </c>
      <c r="E537" s="52" t="s">
        <v>2195</v>
      </c>
      <c r="F537" s="31"/>
      <c r="G537" s="16"/>
      <c r="H537" s="92" t="s">
        <v>2196</v>
      </c>
      <c r="I537" s="88">
        <v>44004</v>
      </c>
    </row>
    <row r="538" spans="1:9" s="40" customFormat="1" ht="29.25" customHeight="1">
      <c r="A538" s="57"/>
      <c r="B538" s="31" t="s">
        <v>2197</v>
      </c>
      <c r="C538" s="16" t="s">
        <v>2198</v>
      </c>
      <c r="D538" s="44" t="s">
        <v>15</v>
      </c>
      <c r="E538" s="52" t="s">
        <v>44</v>
      </c>
      <c r="F538" s="31"/>
      <c r="G538" s="16"/>
      <c r="H538" s="92" t="s">
        <v>2199</v>
      </c>
      <c r="I538" s="88">
        <v>44009</v>
      </c>
    </row>
    <row r="539" spans="1:9" s="40" customFormat="1" ht="29.25" customHeight="1">
      <c r="A539" s="44"/>
      <c r="B539" s="54" t="s">
        <v>2200</v>
      </c>
      <c r="C539" s="44" t="s">
        <v>2201</v>
      </c>
      <c r="D539" s="44" t="s">
        <v>15</v>
      </c>
      <c r="E539" s="44" t="s">
        <v>15</v>
      </c>
      <c r="F539" s="44"/>
      <c r="G539" s="44"/>
      <c r="H539" s="91" t="s">
        <v>2202</v>
      </c>
      <c r="I539" s="88">
        <v>44008</v>
      </c>
    </row>
    <row r="540" spans="1:9" s="40" customFormat="1" ht="29.25" customHeight="1">
      <c r="A540" s="80"/>
      <c r="B540" s="54" t="s">
        <v>2178</v>
      </c>
      <c r="C540" s="44" t="s">
        <v>2203</v>
      </c>
      <c r="D540" s="44" t="s">
        <v>15</v>
      </c>
      <c r="E540" s="44" t="s">
        <v>15</v>
      </c>
      <c r="F540" s="44"/>
      <c r="G540" s="44"/>
      <c r="H540" s="91" t="s">
        <v>2204</v>
      </c>
      <c r="I540" s="88">
        <v>43997</v>
      </c>
    </row>
    <row r="541" spans="1:9" s="40" customFormat="1" ht="30" customHeight="1">
      <c r="A541" s="44"/>
      <c r="B541" s="54" t="s">
        <v>2205</v>
      </c>
      <c r="C541" s="44" t="s">
        <v>2206</v>
      </c>
      <c r="D541" s="44" t="s">
        <v>149</v>
      </c>
      <c r="E541" s="44" t="s">
        <v>149</v>
      </c>
      <c r="F541" s="44"/>
      <c r="G541" s="44"/>
      <c r="H541" s="91" t="s">
        <v>2207</v>
      </c>
      <c r="I541" s="88">
        <v>44013</v>
      </c>
    </row>
    <row r="542" spans="1:9" s="40" customFormat="1" ht="29.25" customHeight="1">
      <c r="A542" s="57"/>
      <c r="B542" s="31" t="s">
        <v>1463</v>
      </c>
      <c r="C542" s="16" t="s">
        <v>2208</v>
      </c>
      <c r="D542" s="44" t="s">
        <v>44</v>
      </c>
      <c r="E542" s="52" t="s">
        <v>44</v>
      </c>
      <c r="F542" s="31"/>
      <c r="G542" s="16"/>
      <c r="H542" s="92" t="s">
        <v>2209</v>
      </c>
      <c r="I542" s="88">
        <v>44020</v>
      </c>
    </row>
    <row r="543" spans="1:9" s="40" customFormat="1" ht="29.25" customHeight="1">
      <c r="A543" s="57"/>
      <c r="B543" s="31" t="s">
        <v>1463</v>
      </c>
      <c r="C543" s="16" t="s">
        <v>2056</v>
      </c>
      <c r="D543" s="44" t="s">
        <v>44</v>
      </c>
      <c r="E543" s="52" t="s">
        <v>44</v>
      </c>
      <c r="F543" s="31"/>
      <c r="G543" s="16"/>
      <c r="H543" s="92" t="s">
        <v>2210</v>
      </c>
      <c r="I543" s="88">
        <v>44022</v>
      </c>
    </row>
    <row r="544" spans="1:9" s="40" customFormat="1" ht="29.25" customHeight="1">
      <c r="A544" s="46"/>
      <c r="B544" s="18" t="s">
        <v>467</v>
      </c>
      <c r="C544" s="16" t="s">
        <v>2211</v>
      </c>
      <c r="D544" s="44" t="s">
        <v>18</v>
      </c>
      <c r="E544" s="52" t="s">
        <v>149</v>
      </c>
      <c r="F544" s="31"/>
      <c r="G544" s="16"/>
      <c r="H544" s="92" t="s">
        <v>2212</v>
      </c>
      <c r="I544" s="88">
        <v>43987</v>
      </c>
    </row>
    <row r="545" spans="1:14" s="40" customFormat="1" ht="36" customHeight="1">
      <c r="A545" s="44"/>
      <c r="B545" s="54" t="s">
        <v>2213</v>
      </c>
      <c r="C545" s="44" t="s">
        <v>2214</v>
      </c>
      <c r="D545" s="44" t="s">
        <v>2215</v>
      </c>
      <c r="E545" s="44" t="s">
        <v>2216</v>
      </c>
      <c r="F545" s="44"/>
      <c r="G545" s="44"/>
      <c r="H545" s="91" t="s">
        <v>2217</v>
      </c>
      <c r="I545" s="88">
        <v>44052</v>
      </c>
    </row>
    <row r="546" spans="1:14" s="40" customFormat="1" ht="35.1" customHeight="1">
      <c r="A546" s="79"/>
      <c r="B546" s="31" t="s">
        <v>1463</v>
      </c>
      <c r="C546" s="16" t="s">
        <v>2218</v>
      </c>
      <c r="D546" s="44" t="s">
        <v>80</v>
      </c>
      <c r="E546" s="52" t="s">
        <v>44</v>
      </c>
      <c r="F546" s="31"/>
      <c r="G546" s="16"/>
      <c r="H546" s="92" t="s">
        <v>2219</v>
      </c>
      <c r="I546" s="88">
        <v>44029</v>
      </c>
    </row>
    <row r="547" spans="1:14" s="40" customFormat="1" ht="35.1" customHeight="1">
      <c r="A547" s="46"/>
      <c r="B547" s="31" t="s">
        <v>905</v>
      </c>
      <c r="C547" s="16" t="s">
        <v>2220</v>
      </c>
      <c r="D547" s="44" t="s">
        <v>2221</v>
      </c>
      <c r="E547" s="44" t="s">
        <v>2221</v>
      </c>
      <c r="F547" s="16"/>
      <c r="G547" s="16"/>
      <c r="H547" s="94" t="s">
        <v>2222</v>
      </c>
      <c r="I547" s="89">
        <v>44028</v>
      </c>
    </row>
    <row r="548" spans="1:14" s="40" customFormat="1" ht="36.75" customHeight="1">
      <c r="A548" s="79"/>
      <c r="B548" s="31" t="s">
        <v>2223</v>
      </c>
      <c r="C548" s="16" t="s">
        <v>2224</v>
      </c>
      <c r="D548" s="44" t="s">
        <v>44</v>
      </c>
      <c r="E548" s="44" t="s">
        <v>15</v>
      </c>
      <c r="F548" s="31"/>
      <c r="G548" s="16"/>
      <c r="H548" s="92" t="s">
        <v>2225</v>
      </c>
      <c r="I548" s="88">
        <v>44029</v>
      </c>
    </row>
    <row r="549" spans="1:14" s="40" customFormat="1" ht="29.25" customHeight="1">
      <c r="A549" s="46"/>
      <c r="B549" s="31" t="s">
        <v>2226</v>
      </c>
      <c r="C549" s="16" t="s">
        <v>2227</v>
      </c>
      <c r="D549" s="44" t="s">
        <v>2228</v>
      </c>
      <c r="E549" s="44" t="s">
        <v>1234</v>
      </c>
      <c r="F549" s="31"/>
      <c r="G549" s="16"/>
      <c r="H549" s="92" t="s">
        <v>2229</v>
      </c>
      <c r="I549" s="88">
        <v>44014</v>
      </c>
      <c r="K549"/>
      <c r="L549"/>
      <c r="M549"/>
      <c r="N549" s="15"/>
    </row>
    <row r="550" spans="1:14" s="40" customFormat="1" ht="35.1" customHeight="1">
      <c r="A550" s="1"/>
      <c r="B550" s="54" t="s">
        <v>39</v>
      </c>
      <c r="C550" s="1" t="s">
        <v>2230</v>
      </c>
      <c r="D550" s="44" t="s">
        <v>1263</v>
      </c>
      <c r="E550" s="44" t="s">
        <v>1263</v>
      </c>
      <c r="F550" s="1"/>
      <c r="G550" s="1"/>
      <c r="H550" s="91" t="s">
        <v>2231</v>
      </c>
      <c r="I550" s="88">
        <v>44028</v>
      </c>
      <c r="J550"/>
    </row>
    <row r="551" spans="1:14" s="40" customFormat="1" ht="29.25" customHeight="1">
      <c r="A551" s="44"/>
      <c r="B551" s="54" t="s">
        <v>741</v>
      </c>
      <c r="C551" s="44" t="s">
        <v>2232</v>
      </c>
      <c r="D551" s="44" t="s">
        <v>18</v>
      </c>
      <c r="E551" s="44" t="s">
        <v>18</v>
      </c>
      <c r="F551" s="44"/>
      <c r="G551" s="44"/>
      <c r="H551" s="91" t="s">
        <v>2233</v>
      </c>
      <c r="I551" s="88">
        <v>44053</v>
      </c>
    </row>
    <row r="552" spans="1:14" s="40" customFormat="1" ht="29.25" customHeight="1">
      <c r="A552" s="44"/>
      <c r="B552" s="54" t="s">
        <v>481</v>
      </c>
      <c r="C552" s="44" t="s">
        <v>2234</v>
      </c>
      <c r="D552" s="44" t="s">
        <v>2235</v>
      </c>
      <c r="E552" s="44" t="s">
        <v>2235</v>
      </c>
      <c r="F552" s="44"/>
      <c r="G552" s="44"/>
      <c r="H552" s="91" t="s">
        <v>2236</v>
      </c>
      <c r="I552" s="88">
        <v>44043</v>
      </c>
    </row>
    <row r="553" spans="1:14" s="40" customFormat="1" ht="35.1" customHeight="1">
      <c r="A553" s="57"/>
      <c r="B553" s="31" t="s">
        <v>1463</v>
      </c>
      <c r="C553" s="16" t="s">
        <v>1767</v>
      </c>
      <c r="D553" s="44" t="s">
        <v>15</v>
      </c>
      <c r="E553" s="52" t="s">
        <v>44</v>
      </c>
      <c r="F553" s="31"/>
      <c r="G553" s="16"/>
      <c r="H553" s="92" t="s">
        <v>2237</v>
      </c>
      <c r="I553" s="88">
        <v>44051</v>
      </c>
    </row>
    <row r="554" spans="1:14" s="40" customFormat="1" ht="37.5" customHeight="1">
      <c r="A554" s="46"/>
      <c r="B554" s="31" t="s">
        <v>2238</v>
      </c>
      <c r="C554" s="16" t="s">
        <v>2239</v>
      </c>
      <c r="D554" s="44" t="s">
        <v>44</v>
      </c>
      <c r="E554" s="44" t="s">
        <v>44</v>
      </c>
      <c r="F554" s="16"/>
      <c r="G554" s="16"/>
      <c r="H554" s="94" t="s">
        <v>2240</v>
      </c>
      <c r="I554" s="89">
        <v>44061</v>
      </c>
    </row>
    <row r="555" spans="1:14" s="40" customFormat="1" ht="35.1" customHeight="1">
      <c r="A555" s="79"/>
      <c r="B555" s="31" t="s">
        <v>2241</v>
      </c>
      <c r="C555" s="16" t="s">
        <v>2242</v>
      </c>
      <c r="D555" s="44" t="s">
        <v>18</v>
      </c>
      <c r="E555" s="52" t="s">
        <v>149</v>
      </c>
      <c r="F555" s="31"/>
      <c r="G555" s="16"/>
      <c r="H555" s="92" t="s">
        <v>2243</v>
      </c>
      <c r="I555" s="88">
        <v>44060</v>
      </c>
    </row>
    <row r="556" spans="1:14" s="40" customFormat="1" ht="33.75" customHeight="1">
      <c r="A556" s="57"/>
      <c r="B556" s="31" t="s">
        <v>30</v>
      </c>
      <c r="C556" s="16" t="s">
        <v>2244</v>
      </c>
      <c r="D556" s="44" t="s">
        <v>1234</v>
      </c>
      <c r="E556" s="44" t="s">
        <v>1234</v>
      </c>
      <c r="F556" s="16"/>
      <c r="G556" s="16"/>
      <c r="H556" s="94" t="s">
        <v>2245</v>
      </c>
      <c r="I556" s="89">
        <v>44062</v>
      </c>
    </row>
    <row r="557" spans="1:14" s="40" customFormat="1" ht="29.25" customHeight="1">
      <c r="A557" s="57"/>
      <c r="B557" s="31" t="s">
        <v>1694</v>
      </c>
      <c r="C557" s="16" t="s">
        <v>2246</v>
      </c>
      <c r="D557" s="44" t="s">
        <v>2247</v>
      </c>
      <c r="E557" s="44" t="s">
        <v>2248</v>
      </c>
      <c r="F557" s="16"/>
      <c r="G557" s="16"/>
      <c r="H557" s="94" t="s">
        <v>2249</v>
      </c>
      <c r="I557" s="89">
        <v>44031</v>
      </c>
    </row>
    <row r="558" spans="1:14" s="40" customFormat="1" ht="29.25" customHeight="1">
      <c r="A558" s="44"/>
      <c r="B558" s="54" t="s">
        <v>1077</v>
      </c>
      <c r="C558" s="44" t="s">
        <v>1819</v>
      </c>
      <c r="D558" s="44" t="s">
        <v>44</v>
      </c>
      <c r="E558" s="44" t="s">
        <v>2250</v>
      </c>
      <c r="F558" s="44"/>
      <c r="G558" s="44"/>
      <c r="H558" s="91" t="s">
        <v>2251</v>
      </c>
      <c r="I558" s="88">
        <v>44050</v>
      </c>
    </row>
    <row r="559" spans="1:14" s="40" customFormat="1" ht="35.1" customHeight="1">
      <c r="A559" s="79"/>
      <c r="B559" s="31" t="s">
        <v>1463</v>
      </c>
      <c r="C559" s="16" t="s">
        <v>2252</v>
      </c>
      <c r="D559" s="44" t="s">
        <v>44</v>
      </c>
      <c r="E559" s="52" t="s">
        <v>44</v>
      </c>
      <c r="F559" s="31"/>
      <c r="G559" s="16"/>
      <c r="H559" s="92" t="s">
        <v>2253</v>
      </c>
      <c r="I559" s="88">
        <v>44063</v>
      </c>
      <c r="M559"/>
      <c r="N559" s="15"/>
    </row>
    <row r="560" spans="1:14" s="40" customFormat="1" ht="35.1" customHeight="1">
      <c r="A560" s="79"/>
      <c r="B560" s="31" t="s">
        <v>1463</v>
      </c>
      <c r="C560" s="16" t="s">
        <v>2254</v>
      </c>
      <c r="D560" s="44" t="s">
        <v>44</v>
      </c>
      <c r="E560" s="52" t="s">
        <v>44</v>
      </c>
      <c r="F560" s="31"/>
      <c r="G560" s="16"/>
      <c r="H560" s="92" t="s">
        <v>2255</v>
      </c>
      <c r="I560" s="88">
        <v>44051</v>
      </c>
    </row>
    <row r="561" spans="1:13" s="40" customFormat="1" ht="35.1" customHeight="1">
      <c r="A561" s="44"/>
      <c r="B561" s="54" t="s">
        <v>2256</v>
      </c>
      <c r="C561" s="44" t="s">
        <v>2257</v>
      </c>
      <c r="D561" s="44" t="s">
        <v>15</v>
      </c>
      <c r="E561" s="44" t="s">
        <v>15</v>
      </c>
      <c r="F561" s="44"/>
      <c r="G561" s="44"/>
      <c r="H561" s="91" t="s">
        <v>2258</v>
      </c>
      <c r="I561" s="88">
        <v>44080</v>
      </c>
    </row>
    <row r="562" spans="1:13" ht="45.75" customHeight="1">
      <c r="A562" s="79"/>
      <c r="B562" s="31" t="s">
        <v>1463</v>
      </c>
      <c r="C562" s="16" t="s">
        <v>1836</v>
      </c>
      <c r="D562" s="44" t="s">
        <v>15</v>
      </c>
      <c r="E562" s="52" t="s">
        <v>15</v>
      </c>
      <c r="F562" s="31"/>
      <c r="G562" s="16"/>
      <c r="H562" s="92" t="s">
        <v>2259</v>
      </c>
      <c r="I562" s="88">
        <v>44067</v>
      </c>
    </row>
    <row r="563" spans="1:13" s="40" customFormat="1" ht="39" customHeight="1">
      <c r="A563" s="57"/>
      <c r="B563" s="31" t="s">
        <v>1892</v>
      </c>
      <c r="C563" s="16" t="s">
        <v>2260</v>
      </c>
      <c r="D563" s="44" t="s">
        <v>1619</v>
      </c>
      <c r="E563" s="52" t="s">
        <v>786</v>
      </c>
      <c r="F563" s="31"/>
      <c r="G563" s="16"/>
      <c r="H563" s="92" t="s">
        <v>2261</v>
      </c>
      <c r="I563" s="88">
        <v>44091</v>
      </c>
    </row>
    <row r="564" spans="1:13" s="40" customFormat="1" ht="35.1" customHeight="1">
      <c r="A564" s="79"/>
      <c r="B564" s="31" t="s">
        <v>198</v>
      </c>
      <c r="C564" s="16" t="s">
        <v>2262</v>
      </c>
      <c r="D564" s="44" t="s">
        <v>18</v>
      </c>
      <c r="E564" s="44" t="s">
        <v>149</v>
      </c>
      <c r="F564" s="31"/>
      <c r="G564" s="16"/>
      <c r="H564" s="92" t="s">
        <v>2263</v>
      </c>
      <c r="I564" s="88">
        <v>44088</v>
      </c>
    </row>
    <row r="565" spans="1:13" s="40" customFormat="1" ht="44.25" customHeight="1">
      <c r="A565" s="44"/>
      <c r="B565" s="54" t="s">
        <v>2264</v>
      </c>
      <c r="C565" s="44" t="s">
        <v>2265</v>
      </c>
      <c r="D565" s="44" t="s">
        <v>2266</v>
      </c>
      <c r="E565" s="44" t="s">
        <v>2266</v>
      </c>
      <c r="F565" s="44"/>
      <c r="G565" s="44"/>
      <c r="H565" s="91" t="s">
        <v>2267</v>
      </c>
      <c r="I565" s="88">
        <v>44061</v>
      </c>
    </row>
    <row r="566" spans="1:13" s="40" customFormat="1" ht="35.1" customHeight="1">
      <c r="A566" s="80"/>
      <c r="B566" s="44" t="s">
        <v>1706</v>
      </c>
      <c r="C566" s="44" t="s">
        <v>1912</v>
      </c>
      <c r="D566" s="44" t="s">
        <v>15</v>
      </c>
      <c r="E566" s="44" t="s">
        <v>15</v>
      </c>
      <c r="F566" s="44"/>
      <c r="G566" s="44"/>
      <c r="H566" s="91" t="s">
        <v>2268</v>
      </c>
      <c r="I566" s="88">
        <v>44092</v>
      </c>
    </row>
    <row r="567" spans="1:13" s="40" customFormat="1" ht="29.25" customHeight="1">
      <c r="A567" s="57"/>
      <c r="B567" s="31" t="s">
        <v>1967</v>
      </c>
      <c r="C567" s="16" t="s">
        <v>2269</v>
      </c>
      <c r="D567" s="44" t="s">
        <v>15</v>
      </c>
      <c r="E567" s="44" t="s">
        <v>15</v>
      </c>
      <c r="F567" s="31"/>
      <c r="G567" s="16"/>
      <c r="H567" s="92" t="s">
        <v>2270</v>
      </c>
      <c r="I567" s="88">
        <v>44084</v>
      </c>
    </row>
    <row r="568" spans="1:13" s="40" customFormat="1" ht="30" customHeight="1">
      <c r="A568" s="44"/>
      <c r="B568" s="54" t="s">
        <v>500</v>
      </c>
      <c r="C568" s="44" t="s">
        <v>2271</v>
      </c>
      <c r="D568" s="44" t="s">
        <v>2272</v>
      </c>
      <c r="E568" s="44" t="s">
        <v>2273</v>
      </c>
      <c r="F568" s="44"/>
      <c r="G568" s="44"/>
      <c r="H568" s="91" t="s">
        <v>2274</v>
      </c>
      <c r="I568" s="88">
        <v>44107</v>
      </c>
      <c r="J568" s="78"/>
    </row>
    <row r="569" spans="1:13" s="40" customFormat="1" ht="30" customHeight="1">
      <c r="A569" s="44"/>
      <c r="B569" s="54" t="s">
        <v>500</v>
      </c>
      <c r="C569" s="44" t="s">
        <v>2275</v>
      </c>
      <c r="D569" s="44" t="s">
        <v>89</v>
      </c>
      <c r="E569" s="44" t="s">
        <v>89</v>
      </c>
      <c r="F569" s="44"/>
      <c r="G569" s="44"/>
      <c r="H569" s="91" t="s">
        <v>2276</v>
      </c>
      <c r="I569" s="88">
        <v>44110</v>
      </c>
    </row>
    <row r="570" spans="1:13" s="40" customFormat="1" ht="35.1" customHeight="1">
      <c r="A570" s="79"/>
      <c r="B570" s="31" t="s">
        <v>2006</v>
      </c>
      <c r="C570" s="16" t="s">
        <v>2277</v>
      </c>
      <c r="D570" s="54" t="s">
        <v>44</v>
      </c>
      <c r="E570" s="44" t="s">
        <v>44</v>
      </c>
      <c r="F570" s="31"/>
      <c r="G570" s="16"/>
      <c r="H570" s="93" t="s">
        <v>2278</v>
      </c>
      <c r="I570" s="88">
        <v>44112</v>
      </c>
    </row>
    <row r="571" spans="1:13" s="40" customFormat="1" ht="29.25" customHeight="1">
      <c r="A571" s="44"/>
      <c r="B571" s="54" t="s">
        <v>1660</v>
      </c>
      <c r="C571" s="44" t="s">
        <v>2279</v>
      </c>
      <c r="D571" s="44" t="s">
        <v>2280</v>
      </c>
      <c r="E571" s="44"/>
      <c r="F571" s="44"/>
      <c r="G571" s="44"/>
      <c r="H571" s="91" t="s">
        <v>2281</v>
      </c>
      <c r="I571" s="88">
        <v>44092</v>
      </c>
    </row>
    <row r="572" spans="1:13" s="40" customFormat="1" ht="29.25" customHeight="1">
      <c r="A572" s="44"/>
      <c r="B572" s="54" t="s">
        <v>2282</v>
      </c>
      <c r="C572" s="44" t="s">
        <v>2283</v>
      </c>
      <c r="D572" s="44" t="s">
        <v>2284</v>
      </c>
      <c r="E572" s="44" t="s">
        <v>2284</v>
      </c>
      <c r="F572" s="44"/>
      <c r="G572" s="44"/>
      <c r="H572" s="91" t="s">
        <v>2285</v>
      </c>
      <c r="I572" s="88">
        <v>44097</v>
      </c>
    </row>
    <row r="573" spans="1:13" s="40" customFormat="1" ht="36.75" customHeight="1">
      <c r="A573" s="57"/>
      <c r="B573" s="31" t="s">
        <v>2286</v>
      </c>
      <c r="C573" s="16" t="s">
        <v>2287</v>
      </c>
      <c r="D573" s="44" t="s">
        <v>89</v>
      </c>
      <c r="E573" s="52" t="s">
        <v>89</v>
      </c>
      <c r="F573" s="31"/>
      <c r="G573" s="16"/>
      <c r="H573" s="92">
        <v>43886</v>
      </c>
      <c r="I573" s="88">
        <v>44140</v>
      </c>
    </row>
    <row r="574" spans="1:13" s="40" customFormat="1" ht="25.35" customHeight="1">
      <c r="A574" s="57"/>
      <c r="B574" s="31" t="s">
        <v>2256</v>
      </c>
      <c r="C574" s="16" t="s">
        <v>2288</v>
      </c>
      <c r="D574" s="44" t="s">
        <v>15</v>
      </c>
      <c r="E574" s="44" t="s">
        <v>15</v>
      </c>
      <c r="F574" s="16"/>
      <c r="G574" s="16"/>
      <c r="H574" s="41" t="s">
        <v>2289</v>
      </c>
      <c r="I574" s="88">
        <v>44150</v>
      </c>
    </row>
    <row r="575" spans="1:13" s="40" customFormat="1" ht="35.1" customHeight="1">
      <c r="A575" s="80"/>
      <c r="B575" s="44" t="s">
        <v>1706</v>
      </c>
      <c r="C575" s="44" t="s">
        <v>2290</v>
      </c>
      <c r="D575" s="44" t="s">
        <v>44</v>
      </c>
      <c r="E575" s="44" t="s">
        <v>44</v>
      </c>
      <c r="F575" s="44"/>
      <c r="G575" s="44"/>
      <c r="H575" s="91" t="s">
        <v>2291</v>
      </c>
      <c r="I575" s="88">
        <v>44134</v>
      </c>
      <c r="M575"/>
    </row>
    <row r="576" spans="1:13" s="40" customFormat="1" ht="35.1" customHeight="1">
      <c r="A576" s="44"/>
      <c r="B576" s="54" t="s">
        <v>322</v>
      </c>
      <c r="C576" s="44" t="s">
        <v>2292</v>
      </c>
      <c r="D576" s="44" t="s">
        <v>18</v>
      </c>
      <c r="E576" s="44" t="s">
        <v>149</v>
      </c>
      <c r="F576" s="44"/>
      <c r="G576" s="44"/>
      <c r="H576" s="91" t="s">
        <v>2293</v>
      </c>
      <c r="I576" s="88">
        <v>44134</v>
      </c>
    </row>
    <row r="577" spans="1:10" s="40" customFormat="1" ht="35.1" customHeight="1">
      <c r="A577" s="46"/>
      <c r="B577" s="31" t="s">
        <v>966</v>
      </c>
      <c r="C577" s="16" t="s">
        <v>2294</v>
      </c>
      <c r="D577" s="15" t="s">
        <v>18</v>
      </c>
      <c r="E577" s="15" t="s">
        <v>18</v>
      </c>
      <c r="F577" s="16"/>
      <c r="G577" s="16"/>
      <c r="H577" s="94" t="s">
        <v>2295</v>
      </c>
      <c r="I577" s="88">
        <v>44124</v>
      </c>
    </row>
    <row r="578" spans="1:10" s="40" customFormat="1" ht="29.25" customHeight="1">
      <c r="A578" s="46"/>
      <c r="B578" s="31" t="s">
        <v>2296</v>
      </c>
      <c r="C578" s="16" t="s">
        <v>2297</v>
      </c>
      <c r="D578" s="54" t="s">
        <v>2298</v>
      </c>
      <c r="E578" s="54" t="s">
        <v>2298</v>
      </c>
      <c r="F578" s="31"/>
      <c r="G578" s="16"/>
      <c r="H578" s="93" t="s">
        <v>2299</v>
      </c>
      <c r="I578" s="88">
        <v>44146</v>
      </c>
    </row>
    <row r="579" spans="1:10" s="40" customFormat="1" ht="29.25" customHeight="1">
      <c r="A579" s="80"/>
      <c r="B579" s="54" t="s">
        <v>2300</v>
      </c>
      <c r="C579" s="44" t="s">
        <v>2301</v>
      </c>
      <c r="D579" s="44" t="s">
        <v>15</v>
      </c>
      <c r="E579" s="44" t="s">
        <v>15</v>
      </c>
      <c r="F579" s="44"/>
      <c r="G579" s="44"/>
      <c r="H579" s="91" t="s">
        <v>2302</v>
      </c>
      <c r="I579" s="88">
        <v>44144</v>
      </c>
    </row>
    <row r="580" spans="1:10" s="40" customFormat="1" ht="35.1" customHeight="1">
      <c r="A580" s="46"/>
      <c r="B580" s="31" t="s">
        <v>2303</v>
      </c>
      <c r="C580" s="16" t="s">
        <v>2304</v>
      </c>
      <c r="D580" s="44" t="s">
        <v>15</v>
      </c>
      <c r="E580" s="44" t="s">
        <v>15</v>
      </c>
      <c r="F580" s="31"/>
      <c r="G580" s="16"/>
      <c r="H580" s="92" t="s">
        <v>2305</v>
      </c>
      <c r="I580" s="88">
        <v>44151</v>
      </c>
    </row>
    <row r="581" spans="1:10" s="40" customFormat="1" ht="29.25" customHeight="1">
      <c r="A581" s="46"/>
      <c r="B581" s="31" t="s">
        <v>2306</v>
      </c>
      <c r="C581" s="16" t="s">
        <v>2307</v>
      </c>
      <c r="D581" s="44" t="s">
        <v>15</v>
      </c>
      <c r="E581" s="52" t="s">
        <v>44</v>
      </c>
      <c r="F581" s="31"/>
      <c r="G581" s="16"/>
      <c r="H581" s="92" t="s">
        <v>2308</v>
      </c>
      <c r="I581" s="88">
        <v>44167</v>
      </c>
    </row>
    <row r="582" spans="1:10" s="40" customFormat="1" ht="31.35" customHeight="1">
      <c r="A582" s="80"/>
      <c r="B582" s="54" t="s">
        <v>2309</v>
      </c>
      <c r="C582" s="44" t="s">
        <v>2310</v>
      </c>
      <c r="D582" s="44" t="s">
        <v>15</v>
      </c>
      <c r="E582" s="44" t="s">
        <v>15</v>
      </c>
      <c r="F582" s="44"/>
      <c r="G582" s="44"/>
      <c r="H582" s="91" t="s">
        <v>2311</v>
      </c>
      <c r="I582" s="88">
        <v>44011</v>
      </c>
    </row>
    <row r="583" spans="1:10" s="40" customFormat="1" ht="25.35" customHeight="1">
      <c r="A583" s="57"/>
      <c r="B583" s="31" t="s">
        <v>1077</v>
      </c>
      <c r="C583" s="16" t="s">
        <v>1727</v>
      </c>
      <c r="D583" s="44"/>
      <c r="E583" s="52" t="s">
        <v>15</v>
      </c>
      <c r="F583" s="31"/>
      <c r="G583" s="16"/>
      <c r="H583" s="92" t="s">
        <v>2312</v>
      </c>
      <c r="I583" s="88">
        <v>44175</v>
      </c>
    </row>
    <row r="584" spans="1:10" s="40" customFormat="1" ht="33" customHeight="1">
      <c r="A584" s="79"/>
      <c r="B584" s="16" t="s">
        <v>2313</v>
      </c>
      <c r="C584" s="16" t="s">
        <v>2314</v>
      </c>
      <c r="D584" s="44" t="s">
        <v>44</v>
      </c>
      <c r="E584" s="52" t="s">
        <v>15</v>
      </c>
      <c r="F584" s="31"/>
      <c r="G584" s="16"/>
      <c r="H584" s="92" t="s">
        <v>2315</v>
      </c>
      <c r="I584" s="88">
        <v>44173</v>
      </c>
    </row>
    <row r="585" spans="1:10" s="40" customFormat="1" ht="35.1" customHeight="1">
      <c r="A585" s="44"/>
      <c r="B585" s="54" t="s">
        <v>2316</v>
      </c>
      <c r="C585" s="44" t="s">
        <v>2317</v>
      </c>
      <c r="D585" s="44" t="s">
        <v>2318</v>
      </c>
      <c r="E585" s="44" t="s">
        <v>2318</v>
      </c>
      <c r="F585" s="44"/>
      <c r="G585" s="44"/>
      <c r="H585" s="91" t="s">
        <v>2319</v>
      </c>
      <c r="I585" s="88">
        <v>44194</v>
      </c>
      <c r="J585" s="77"/>
    </row>
    <row r="586" spans="1:10" s="40" customFormat="1" ht="29.25" customHeight="1">
      <c r="A586" s="80"/>
      <c r="B586" s="54" t="s">
        <v>16</v>
      </c>
      <c r="C586" s="44" t="s">
        <v>2320</v>
      </c>
      <c r="D586" s="44" t="s">
        <v>2321</v>
      </c>
      <c r="E586" s="44" t="s">
        <v>2321</v>
      </c>
      <c r="F586" s="44"/>
      <c r="G586" s="44"/>
      <c r="H586" s="91" t="s">
        <v>2322</v>
      </c>
      <c r="I586" s="88">
        <v>44188</v>
      </c>
    </row>
    <row r="587" spans="1:10" s="40" customFormat="1" ht="29.25" customHeight="1">
      <c r="A587" s="57"/>
      <c r="B587" s="31" t="s">
        <v>1694</v>
      </c>
      <c r="C587" s="16" t="s">
        <v>2323</v>
      </c>
      <c r="D587" s="44" t="s">
        <v>2324</v>
      </c>
      <c r="E587" s="44" t="s">
        <v>89</v>
      </c>
      <c r="F587" s="16"/>
      <c r="G587" s="16"/>
      <c r="H587" s="94" t="s">
        <v>2325</v>
      </c>
      <c r="I587" s="89">
        <v>44185</v>
      </c>
    </row>
    <row r="588" spans="1:10" s="40" customFormat="1" ht="24.75" customHeight="1">
      <c r="A588" s="57"/>
      <c r="B588" s="31" t="s">
        <v>19</v>
      </c>
      <c r="C588" s="16" t="s">
        <v>2326</v>
      </c>
      <c r="D588" s="44" t="s">
        <v>1234</v>
      </c>
      <c r="E588" s="44" t="s">
        <v>1234</v>
      </c>
      <c r="F588" s="16"/>
      <c r="G588" s="16"/>
      <c r="H588" s="94" t="s">
        <v>2327</v>
      </c>
      <c r="I588" s="89">
        <v>44158</v>
      </c>
    </row>
    <row r="589" spans="1:10" s="40" customFormat="1" ht="30" customHeight="1">
      <c r="A589" s="46"/>
      <c r="B589" s="31" t="s">
        <v>37</v>
      </c>
      <c r="C589" s="16" t="s">
        <v>2328</v>
      </c>
      <c r="D589" s="44" t="s">
        <v>15</v>
      </c>
      <c r="E589" s="44" t="s">
        <v>15</v>
      </c>
      <c r="F589" s="31"/>
      <c r="G589" s="16"/>
      <c r="H589" s="92" t="s">
        <v>2329</v>
      </c>
      <c r="I589" s="88">
        <v>44128</v>
      </c>
    </row>
    <row r="590" spans="1:10" s="40" customFormat="1" ht="28.5" customHeight="1">
      <c r="A590" s="46"/>
      <c r="B590" s="31" t="s">
        <v>727</v>
      </c>
      <c r="C590" s="16" t="s">
        <v>2330</v>
      </c>
      <c r="D590" s="44" t="s">
        <v>2331</v>
      </c>
      <c r="E590" s="44" t="s">
        <v>149</v>
      </c>
      <c r="F590" s="31"/>
      <c r="G590" s="16"/>
      <c r="H590" s="92" t="s">
        <v>2332</v>
      </c>
      <c r="I590" s="88">
        <v>44217</v>
      </c>
    </row>
    <row r="591" spans="1:10" s="40" customFormat="1" ht="36" customHeight="1">
      <c r="A591" s="46"/>
      <c r="B591" s="31" t="s">
        <v>87</v>
      </c>
      <c r="C591" s="16" t="s">
        <v>2333</v>
      </c>
      <c r="D591" s="54" t="s">
        <v>89</v>
      </c>
      <c r="E591" s="44" t="s">
        <v>89</v>
      </c>
      <c r="F591" s="31"/>
      <c r="G591" s="16"/>
      <c r="H591" s="93" t="s">
        <v>2334</v>
      </c>
      <c r="I591" s="88">
        <v>44193</v>
      </c>
    </row>
    <row r="592" spans="1:10" s="40" customFormat="1" ht="35.1" customHeight="1">
      <c r="A592" s="57"/>
      <c r="B592" s="31" t="s">
        <v>1694</v>
      </c>
      <c r="C592" s="16" t="s">
        <v>1918</v>
      </c>
      <c r="D592" s="44" t="s">
        <v>1919</v>
      </c>
      <c r="E592" s="44" t="s">
        <v>1919</v>
      </c>
      <c r="F592" s="16"/>
      <c r="G592" s="16"/>
      <c r="H592" s="41" t="s">
        <v>2335</v>
      </c>
      <c r="I592" s="88">
        <v>44209</v>
      </c>
    </row>
    <row r="593" spans="1:14" s="40" customFormat="1" ht="29.25" customHeight="1">
      <c r="A593" s="54"/>
      <c r="B593" s="54" t="s">
        <v>2178</v>
      </c>
      <c r="C593" s="44" t="s">
        <v>2336</v>
      </c>
      <c r="D593" s="44" t="s">
        <v>232</v>
      </c>
      <c r="E593" s="44" t="s">
        <v>15</v>
      </c>
      <c r="F593" s="44"/>
      <c r="G593" s="44"/>
      <c r="H593" s="91" t="s">
        <v>2337</v>
      </c>
      <c r="I593" s="88">
        <v>44209</v>
      </c>
    </row>
    <row r="594" spans="1:14" s="40" customFormat="1" ht="29.25" customHeight="1">
      <c r="A594" s="46"/>
      <c r="B594" s="31" t="s">
        <v>1614</v>
      </c>
      <c r="C594" s="16" t="s">
        <v>2338</v>
      </c>
      <c r="D594" s="44" t="s">
        <v>2339</v>
      </c>
      <c r="E594" s="52" t="s">
        <v>2340</v>
      </c>
      <c r="F594" s="31"/>
      <c r="G594" s="16"/>
      <c r="H594" s="92" t="s">
        <v>2341</v>
      </c>
      <c r="I594" s="88">
        <v>44210</v>
      </c>
    </row>
    <row r="595" spans="1:14" s="40" customFormat="1" ht="39" customHeight="1">
      <c r="A595" s="44"/>
      <c r="B595" s="54" t="s">
        <v>2342</v>
      </c>
      <c r="C595" s="44" t="s">
        <v>2343</v>
      </c>
      <c r="D595" s="44" t="s">
        <v>690</v>
      </c>
      <c r="E595" s="44" t="s">
        <v>690</v>
      </c>
      <c r="F595" s="44"/>
      <c r="G595" s="44"/>
      <c r="H595" s="91" t="s">
        <v>2344</v>
      </c>
      <c r="I595" s="88">
        <v>44215</v>
      </c>
    </row>
    <row r="596" spans="1:14" s="40" customFormat="1" ht="29.25" customHeight="1">
      <c r="A596" s="57"/>
      <c r="B596" s="31" t="s">
        <v>2345</v>
      </c>
      <c r="C596" s="16" t="s">
        <v>2346</v>
      </c>
      <c r="D596" s="44" t="s">
        <v>15</v>
      </c>
      <c r="E596" s="44" t="s">
        <v>15</v>
      </c>
      <c r="F596" s="31"/>
      <c r="G596" s="16"/>
      <c r="H596" s="92" t="s">
        <v>2347</v>
      </c>
      <c r="I596" s="88">
        <v>44217</v>
      </c>
      <c r="N596"/>
    </row>
    <row r="597" spans="1:14" s="40" customFormat="1" ht="35.1" customHeight="1">
      <c r="A597" s="80"/>
      <c r="B597" s="44" t="s">
        <v>931</v>
      </c>
      <c r="C597" s="44" t="s">
        <v>2348</v>
      </c>
      <c r="D597" s="44" t="s">
        <v>15</v>
      </c>
      <c r="E597" s="44" t="s">
        <v>15</v>
      </c>
      <c r="F597" s="44"/>
      <c r="G597" s="44"/>
      <c r="H597" s="91" t="s">
        <v>2349</v>
      </c>
      <c r="I597" s="88">
        <v>43851</v>
      </c>
    </row>
    <row r="598" spans="1:14" s="40" customFormat="1" ht="29.25" customHeight="1">
      <c r="A598" s="44"/>
      <c r="B598" s="54" t="s">
        <v>2154</v>
      </c>
      <c r="C598" s="44" t="s">
        <v>2350</v>
      </c>
      <c r="D598" s="44" t="s">
        <v>2351</v>
      </c>
      <c r="E598" s="44" t="s">
        <v>18</v>
      </c>
      <c r="F598" s="44"/>
      <c r="G598" s="44"/>
      <c r="H598" s="91" t="s">
        <v>2352</v>
      </c>
      <c r="I598" s="88">
        <v>44188</v>
      </c>
    </row>
    <row r="599" spans="1:14" s="40" customFormat="1" ht="35.1" customHeight="1">
      <c r="A599" s="57"/>
      <c r="B599" s="31" t="s">
        <v>198</v>
      </c>
      <c r="C599" s="16" t="s">
        <v>2353</v>
      </c>
      <c r="D599" s="44" t="s">
        <v>18</v>
      </c>
      <c r="E599" s="44" t="s">
        <v>149</v>
      </c>
      <c r="F599" s="31"/>
      <c r="G599" s="16"/>
      <c r="H599" s="92" t="s">
        <v>2354</v>
      </c>
      <c r="I599" s="88">
        <v>44222</v>
      </c>
    </row>
    <row r="600" spans="1:14" s="40" customFormat="1" ht="25.35" customHeight="1">
      <c r="A600" s="44"/>
      <c r="B600" s="54" t="s">
        <v>155</v>
      </c>
      <c r="C600" s="44" t="s">
        <v>1839</v>
      </c>
      <c r="D600" s="44" t="s">
        <v>1909</v>
      </c>
      <c r="E600" s="44" t="s">
        <v>1841</v>
      </c>
      <c r="F600" s="44"/>
      <c r="G600" s="44"/>
      <c r="H600" s="91" t="s">
        <v>2355</v>
      </c>
      <c r="I600" s="88">
        <v>44232</v>
      </c>
    </row>
    <row r="601" spans="1:14" s="40" customFormat="1" ht="25.35" customHeight="1">
      <c r="A601" s="46"/>
      <c r="B601" s="31" t="s">
        <v>279</v>
      </c>
      <c r="C601" s="16" t="s">
        <v>2356</v>
      </c>
      <c r="D601" s="44" t="s">
        <v>18</v>
      </c>
      <c r="E601" s="44" t="s">
        <v>149</v>
      </c>
      <c r="F601" s="31"/>
      <c r="G601" s="16"/>
      <c r="H601" s="92" t="s">
        <v>2357</v>
      </c>
      <c r="I601" s="88">
        <v>44238</v>
      </c>
    </row>
    <row r="602" spans="1:14" s="40" customFormat="1" ht="23.1" customHeight="1">
      <c r="A602" s="46"/>
      <c r="B602" s="31" t="s">
        <v>2358</v>
      </c>
      <c r="C602" s="16" t="s">
        <v>2359</v>
      </c>
      <c r="D602" s="44" t="s">
        <v>2360</v>
      </c>
      <c r="E602" s="15"/>
      <c r="F602" s="16"/>
      <c r="G602" s="16"/>
      <c r="H602" s="94" t="s">
        <v>2361</v>
      </c>
      <c r="I602" s="89">
        <v>44238</v>
      </c>
    </row>
    <row r="603" spans="1:14" s="40" customFormat="1" ht="30" customHeight="1">
      <c r="A603" s="79"/>
      <c r="B603" s="31" t="s">
        <v>1463</v>
      </c>
      <c r="C603" s="16" t="s">
        <v>2362</v>
      </c>
      <c r="D603" s="44" t="s">
        <v>15</v>
      </c>
      <c r="E603" s="52" t="s">
        <v>15</v>
      </c>
      <c r="F603" s="31"/>
      <c r="G603" s="16"/>
      <c r="H603" s="92" t="s">
        <v>2363</v>
      </c>
      <c r="I603" s="88">
        <v>44252</v>
      </c>
    </row>
    <row r="604" spans="1:14" s="40" customFormat="1" ht="29.25" customHeight="1">
      <c r="A604" s="57"/>
      <c r="B604" s="31" t="s">
        <v>30</v>
      </c>
      <c r="C604" s="16" t="s">
        <v>2364</v>
      </c>
      <c r="D604" s="44" t="s">
        <v>1234</v>
      </c>
      <c r="E604" s="44" t="s">
        <v>1234</v>
      </c>
      <c r="F604" s="16"/>
      <c r="G604" s="16"/>
      <c r="H604" s="94" t="s">
        <v>2365</v>
      </c>
      <c r="I604" s="89">
        <v>44275</v>
      </c>
    </row>
    <row r="605" spans="1:14" s="40" customFormat="1" ht="36" customHeight="1">
      <c r="A605" s="57"/>
      <c r="B605" s="31" t="s">
        <v>2366</v>
      </c>
      <c r="C605" s="16" t="s">
        <v>2367</v>
      </c>
      <c r="D605" s="44" t="s">
        <v>15</v>
      </c>
      <c r="E605" s="44" t="s">
        <v>15</v>
      </c>
      <c r="F605" s="16"/>
      <c r="G605" s="16"/>
      <c r="H605" s="94" t="s">
        <v>2368</v>
      </c>
      <c r="I605" s="89">
        <v>44265</v>
      </c>
    </row>
    <row r="606" spans="1:14" s="40" customFormat="1" ht="29.25" customHeight="1">
      <c r="A606" s="46"/>
      <c r="B606" s="31" t="s">
        <v>1743</v>
      </c>
      <c r="C606" s="16" t="s">
        <v>2369</v>
      </c>
      <c r="D606" s="44" t="s">
        <v>2370</v>
      </c>
      <c r="E606" s="44" t="s">
        <v>2370</v>
      </c>
      <c r="F606" s="16"/>
      <c r="G606" s="16"/>
      <c r="H606" s="94" t="s">
        <v>2371</v>
      </c>
      <c r="I606" s="89">
        <v>44266</v>
      </c>
    </row>
    <row r="607" spans="1:14" s="40" customFormat="1" ht="29.25" customHeight="1">
      <c r="A607" s="44"/>
      <c r="B607" s="54" t="s">
        <v>155</v>
      </c>
      <c r="C607" s="44" t="s">
        <v>2372</v>
      </c>
      <c r="D607" s="44"/>
      <c r="E607" s="44" t="s">
        <v>15</v>
      </c>
      <c r="F607" s="44"/>
      <c r="G607" s="44"/>
      <c r="H607" s="91" t="s">
        <v>2373</v>
      </c>
      <c r="I607" s="88">
        <v>43877</v>
      </c>
    </row>
    <row r="608" spans="1:14" s="40" customFormat="1" ht="29.25" customHeight="1">
      <c r="A608" s="44"/>
      <c r="B608" s="54" t="s">
        <v>227</v>
      </c>
      <c r="C608" s="44" t="s">
        <v>2374</v>
      </c>
      <c r="D608" s="44" t="s">
        <v>44</v>
      </c>
      <c r="E608" s="44" t="s">
        <v>44</v>
      </c>
      <c r="F608" s="44"/>
      <c r="G608" s="44"/>
      <c r="H608" s="91" t="s">
        <v>2375</v>
      </c>
      <c r="I608" s="88">
        <v>44264</v>
      </c>
    </row>
    <row r="609" spans="1:10" s="40" customFormat="1" ht="36" customHeight="1">
      <c r="A609" s="80"/>
      <c r="B609" s="54" t="s">
        <v>141</v>
      </c>
      <c r="C609" s="44" t="s">
        <v>1581</v>
      </c>
      <c r="D609" s="44" t="s">
        <v>44</v>
      </c>
      <c r="E609" s="44" t="s">
        <v>15</v>
      </c>
      <c r="F609" s="44" t="s">
        <v>117</v>
      </c>
      <c r="G609" s="44"/>
      <c r="H609" s="91" t="s">
        <v>2376</v>
      </c>
      <c r="I609" s="88">
        <v>44258</v>
      </c>
      <c r="J609" s="77"/>
    </row>
    <row r="610" spans="1:10" s="40" customFormat="1" ht="35.1" customHeight="1">
      <c r="A610" s="46"/>
      <c r="B610" s="31" t="s">
        <v>2377</v>
      </c>
      <c r="C610" s="16" t="s">
        <v>2378</v>
      </c>
      <c r="D610" s="44" t="s">
        <v>15</v>
      </c>
      <c r="E610" s="15"/>
      <c r="F610" s="16"/>
      <c r="G610" s="16"/>
      <c r="H610" s="94" t="s">
        <v>2379</v>
      </c>
      <c r="I610" s="89">
        <v>44278</v>
      </c>
    </row>
    <row r="611" spans="1:10" s="40" customFormat="1" ht="33.6" customHeight="1">
      <c r="A611" s="44"/>
      <c r="B611" s="54" t="s">
        <v>1463</v>
      </c>
      <c r="C611" s="44" t="s">
        <v>1767</v>
      </c>
      <c r="D611" s="44" t="s">
        <v>672</v>
      </c>
      <c r="E611" s="44"/>
      <c r="F611" s="44"/>
      <c r="G611" s="44"/>
      <c r="H611" s="91" t="s">
        <v>2380</v>
      </c>
      <c r="I611" s="88">
        <v>44281</v>
      </c>
    </row>
    <row r="612" spans="1:10" s="40" customFormat="1" ht="35.1" customHeight="1">
      <c r="A612" s="54"/>
      <c r="B612" s="54" t="s">
        <v>90</v>
      </c>
      <c r="C612" s="44" t="s">
        <v>2381</v>
      </c>
      <c r="D612" s="44" t="s">
        <v>2382</v>
      </c>
      <c r="E612" s="44" t="s">
        <v>2382</v>
      </c>
      <c r="F612" s="44"/>
      <c r="G612" s="44"/>
      <c r="H612" s="91" t="s">
        <v>2383</v>
      </c>
      <c r="I612" s="88">
        <v>44270</v>
      </c>
    </row>
    <row r="613" spans="1:10" s="40" customFormat="1" ht="25.35" customHeight="1">
      <c r="A613" s="44"/>
      <c r="B613" s="54" t="s">
        <v>16</v>
      </c>
      <c r="C613" s="44" t="s">
        <v>1934</v>
      </c>
      <c r="D613" s="44" t="s">
        <v>2384</v>
      </c>
      <c r="E613" s="44" t="s">
        <v>2384</v>
      </c>
      <c r="F613" s="44"/>
      <c r="G613" s="44"/>
      <c r="H613" s="91" t="s">
        <v>2385</v>
      </c>
      <c r="I613" s="88">
        <v>44285</v>
      </c>
    </row>
    <row r="614" spans="1:10" s="40" customFormat="1" ht="35.1" customHeight="1">
      <c r="A614" s="44"/>
      <c r="B614" s="54" t="s">
        <v>2386</v>
      </c>
      <c r="C614" s="44" t="s">
        <v>2387</v>
      </c>
      <c r="D614" s="44" t="s">
        <v>15</v>
      </c>
      <c r="E614" s="44"/>
      <c r="F614" s="44"/>
      <c r="G614" s="44"/>
      <c r="H614" s="91" t="s">
        <v>2388</v>
      </c>
      <c r="I614" s="88">
        <v>44285</v>
      </c>
    </row>
    <row r="615" spans="1:10" s="40" customFormat="1" ht="35.1" customHeight="1">
      <c r="A615" s="44"/>
      <c r="B615" s="54" t="s">
        <v>322</v>
      </c>
      <c r="C615" s="44" t="s">
        <v>2389</v>
      </c>
      <c r="D615" s="44" t="s">
        <v>18</v>
      </c>
      <c r="E615" s="44" t="s">
        <v>18</v>
      </c>
      <c r="F615" s="44"/>
      <c r="G615" s="44"/>
      <c r="H615" s="91" t="s">
        <v>2390</v>
      </c>
      <c r="I615" s="88">
        <v>44289</v>
      </c>
    </row>
    <row r="616" spans="1:10" s="40" customFormat="1" ht="35.1" customHeight="1">
      <c r="A616" s="46"/>
      <c r="B616" s="31" t="s">
        <v>2391</v>
      </c>
      <c r="C616" s="16" t="s">
        <v>2392</v>
      </c>
      <c r="D616" s="15" t="s">
        <v>15</v>
      </c>
      <c r="E616" s="15" t="s">
        <v>15</v>
      </c>
      <c r="F616" s="16"/>
      <c r="G616" s="16"/>
      <c r="H616" s="94" t="s">
        <v>2393</v>
      </c>
      <c r="I616" s="88">
        <v>44298</v>
      </c>
    </row>
    <row r="617" spans="1:10" s="40" customFormat="1" ht="28.5" customHeight="1">
      <c r="A617" s="44"/>
      <c r="B617" s="54" t="s">
        <v>727</v>
      </c>
      <c r="C617" s="44" t="s">
        <v>2394</v>
      </c>
      <c r="D617" s="44" t="s">
        <v>1234</v>
      </c>
      <c r="E617" s="44" t="s">
        <v>1234</v>
      </c>
      <c r="F617" s="44"/>
      <c r="G617" s="44"/>
      <c r="H617" s="91" t="s">
        <v>2395</v>
      </c>
      <c r="I617" s="88">
        <v>44298</v>
      </c>
    </row>
    <row r="618" spans="1:10" s="40" customFormat="1" ht="36" customHeight="1">
      <c r="A618" s="44"/>
      <c r="B618" s="54" t="s">
        <v>1191</v>
      </c>
      <c r="C618" s="44" t="s">
        <v>2396</v>
      </c>
      <c r="D618" s="44" t="s">
        <v>2397</v>
      </c>
      <c r="E618" s="44" t="s">
        <v>149</v>
      </c>
      <c r="F618" s="44"/>
      <c r="G618" s="44"/>
      <c r="H618" s="91" t="s">
        <v>2398</v>
      </c>
      <c r="I618" s="88">
        <v>44305</v>
      </c>
    </row>
    <row r="619" spans="1:10" s="40" customFormat="1" ht="28.5" customHeight="1">
      <c r="A619" s="44"/>
      <c r="B619" s="54" t="s">
        <v>2377</v>
      </c>
      <c r="C619" s="44" t="s">
        <v>2399</v>
      </c>
      <c r="D619" s="44" t="s">
        <v>44</v>
      </c>
      <c r="E619" s="44" t="s">
        <v>44</v>
      </c>
      <c r="F619" s="44"/>
      <c r="G619" s="44"/>
      <c r="H619" s="91" t="s">
        <v>2400</v>
      </c>
      <c r="I619" s="88">
        <v>44309</v>
      </c>
    </row>
    <row r="620" spans="1:10" s="40" customFormat="1" ht="31.5" customHeight="1">
      <c r="A620" s="46"/>
      <c r="B620" s="31" t="s">
        <v>2377</v>
      </c>
      <c r="C620" s="16" t="s">
        <v>2401</v>
      </c>
      <c r="D620" s="44" t="s">
        <v>15</v>
      </c>
      <c r="E620" s="15"/>
      <c r="F620" s="16"/>
      <c r="G620" s="16"/>
      <c r="H620" s="94" t="s">
        <v>2402</v>
      </c>
      <c r="I620" s="89">
        <v>44298</v>
      </c>
    </row>
    <row r="621" spans="1:10" s="40" customFormat="1" ht="29.25" customHeight="1">
      <c r="A621" s="44"/>
      <c r="B621" s="54" t="s">
        <v>2403</v>
      </c>
      <c r="C621" s="44" t="s">
        <v>2404</v>
      </c>
      <c r="D621" s="44" t="s">
        <v>2405</v>
      </c>
      <c r="E621" s="44" t="s">
        <v>2405</v>
      </c>
      <c r="F621" s="44"/>
      <c r="G621" s="44"/>
      <c r="H621" s="91" t="s">
        <v>2406</v>
      </c>
      <c r="I621" s="88">
        <v>44310</v>
      </c>
    </row>
    <row r="622" spans="1:10" s="40" customFormat="1" ht="29.25" customHeight="1">
      <c r="A622" s="46"/>
      <c r="B622" s="31" t="s">
        <v>2407</v>
      </c>
      <c r="C622" s="16" t="s">
        <v>2408</v>
      </c>
      <c r="D622" s="44" t="s">
        <v>44</v>
      </c>
      <c r="E622" s="52"/>
      <c r="F622" s="31"/>
      <c r="G622" s="16"/>
      <c r="H622" s="92" t="s">
        <v>2409</v>
      </c>
      <c r="I622" s="88">
        <v>44321</v>
      </c>
    </row>
    <row r="623" spans="1:10" s="40" customFormat="1" ht="28.5" customHeight="1">
      <c r="A623" s="44"/>
      <c r="B623" s="54" t="s">
        <v>2410</v>
      </c>
      <c r="C623" s="44" t="s">
        <v>2411</v>
      </c>
      <c r="D623" s="44" t="s">
        <v>498</v>
      </c>
      <c r="E623" s="44"/>
      <c r="F623" s="44"/>
      <c r="G623" s="44"/>
      <c r="H623" s="91" t="s">
        <v>2412</v>
      </c>
      <c r="I623" s="88">
        <v>44345</v>
      </c>
    </row>
    <row r="624" spans="1:10" s="40" customFormat="1" ht="28.5" customHeight="1">
      <c r="A624" s="44"/>
      <c r="B624" s="54" t="s">
        <v>2413</v>
      </c>
      <c r="C624" s="44" t="s">
        <v>2414</v>
      </c>
      <c r="D624" s="44" t="s">
        <v>15</v>
      </c>
      <c r="E624" s="44"/>
      <c r="F624" s="44"/>
      <c r="G624" s="44"/>
      <c r="H624" s="91" t="s">
        <v>2415</v>
      </c>
      <c r="I624" s="88">
        <v>44357</v>
      </c>
    </row>
    <row r="625" spans="1:10" s="40" customFormat="1" ht="35.1" customHeight="1">
      <c r="A625" s="80"/>
      <c r="B625" s="54" t="s">
        <v>2416</v>
      </c>
      <c r="C625" s="44" t="s">
        <v>2367</v>
      </c>
      <c r="D625" s="44" t="s">
        <v>15</v>
      </c>
      <c r="E625" s="44" t="s">
        <v>15</v>
      </c>
      <c r="F625" s="44"/>
      <c r="G625" s="44"/>
      <c r="H625" s="91" t="s">
        <v>2417</v>
      </c>
      <c r="I625" s="88">
        <v>44336</v>
      </c>
    </row>
    <row r="626" spans="1:10" s="40" customFormat="1" ht="29.85" customHeight="1">
      <c r="A626" s="44"/>
      <c r="B626" s="54" t="s">
        <v>2418</v>
      </c>
      <c r="C626" s="44" t="s">
        <v>2419</v>
      </c>
      <c r="D626" s="44" t="s">
        <v>2420</v>
      </c>
      <c r="E626" s="44" t="s">
        <v>2420</v>
      </c>
      <c r="F626" s="44"/>
      <c r="G626" s="44"/>
      <c r="H626" s="91" t="s">
        <v>2421</v>
      </c>
      <c r="I626" s="88">
        <v>44335</v>
      </c>
    </row>
    <row r="627" spans="1:10" s="40" customFormat="1" ht="31.5" customHeight="1">
      <c r="A627" s="79"/>
      <c r="B627" s="31" t="s">
        <v>1463</v>
      </c>
      <c r="C627" s="16" t="s">
        <v>2422</v>
      </c>
      <c r="D627" s="44" t="s">
        <v>15</v>
      </c>
      <c r="E627" s="52" t="s">
        <v>44</v>
      </c>
      <c r="F627" s="31"/>
      <c r="G627" s="16"/>
      <c r="H627" s="92" t="s">
        <v>2423</v>
      </c>
      <c r="I627" s="88">
        <v>44341</v>
      </c>
      <c r="J627"/>
    </row>
    <row r="628" spans="1:10" s="40" customFormat="1" ht="36" customHeight="1">
      <c r="A628" s="44"/>
      <c r="B628" s="54" t="s">
        <v>90</v>
      </c>
      <c r="C628" s="44" t="s">
        <v>2424</v>
      </c>
      <c r="D628" s="44" t="s">
        <v>2425</v>
      </c>
      <c r="E628" s="44" t="s">
        <v>18</v>
      </c>
      <c r="F628" s="44"/>
      <c r="G628" s="44"/>
      <c r="H628" s="91" t="s">
        <v>2426</v>
      </c>
      <c r="I628" s="88">
        <v>44314</v>
      </c>
    </row>
    <row r="629" spans="1:10" s="40" customFormat="1" ht="35.1" customHeight="1">
      <c r="A629" s="44"/>
      <c r="B629" s="54" t="s">
        <v>2427</v>
      </c>
      <c r="C629" s="44" t="s">
        <v>2428</v>
      </c>
      <c r="D629" s="44" t="s">
        <v>2216</v>
      </c>
      <c r="E629" s="44"/>
      <c r="F629" s="44"/>
      <c r="G629" s="44"/>
      <c r="H629" s="91" t="s">
        <v>2429</v>
      </c>
      <c r="I629" s="88">
        <v>44342</v>
      </c>
      <c r="J629" s="77"/>
    </row>
    <row r="630" spans="1:10" s="40" customFormat="1" ht="26.85" customHeight="1">
      <c r="A630" s="44"/>
      <c r="B630" s="54" t="s">
        <v>2430</v>
      </c>
      <c r="C630" s="44" t="s">
        <v>2431</v>
      </c>
      <c r="D630" s="44" t="s">
        <v>89</v>
      </c>
      <c r="E630" s="44" t="s">
        <v>167</v>
      </c>
      <c r="F630" s="44"/>
      <c r="G630" s="44"/>
      <c r="H630" s="91" t="s">
        <v>2432</v>
      </c>
      <c r="I630" s="88">
        <v>44339</v>
      </c>
    </row>
    <row r="631" spans="1:10" s="40" customFormat="1" ht="35.1" customHeight="1">
      <c r="A631" s="46"/>
      <c r="B631" s="31" t="s">
        <v>2316</v>
      </c>
      <c r="C631" s="16" t="s">
        <v>2433</v>
      </c>
      <c r="D631" s="44" t="s">
        <v>1956</v>
      </c>
      <c r="E631" s="15"/>
      <c r="F631" s="16"/>
      <c r="G631" s="16"/>
      <c r="H631" s="94" t="s">
        <v>2434</v>
      </c>
      <c r="I631" s="89">
        <v>44350</v>
      </c>
    </row>
    <row r="632" spans="1:10" s="40" customFormat="1" ht="29.25" customHeight="1">
      <c r="A632" s="44"/>
      <c r="B632" s="54" t="s">
        <v>90</v>
      </c>
      <c r="C632" s="44" t="s">
        <v>2435</v>
      </c>
      <c r="D632" s="44" t="s">
        <v>2425</v>
      </c>
      <c r="E632" s="44" t="s">
        <v>18</v>
      </c>
      <c r="F632" s="44"/>
      <c r="G632" s="44"/>
      <c r="H632" s="91" t="s">
        <v>2436</v>
      </c>
      <c r="I632" s="88">
        <v>44340</v>
      </c>
    </row>
    <row r="633" spans="1:10" s="40" customFormat="1" ht="29.25" customHeight="1">
      <c r="A633" s="79"/>
      <c r="B633" s="31" t="s">
        <v>1463</v>
      </c>
      <c r="C633" s="16" t="s">
        <v>2437</v>
      </c>
      <c r="D633" s="44" t="s">
        <v>80</v>
      </c>
      <c r="E633" s="52" t="s">
        <v>44</v>
      </c>
      <c r="F633" s="31"/>
      <c r="G633" s="16"/>
      <c r="H633" s="92">
        <v>43929</v>
      </c>
      <c r="I633" s="88">
        <v>44324</v>
      </c>
      <c r="J633" s="40" t="s">
        <v>2438</v>
      </c>
    </row>
    <row r="634" spans="1:10" s="40" customFormat="1" ht="35.1" customHeight="1">
      <c r="A634" s="46"/>
      <c r="B634" s="31" t="s">
        <v>30</v>
      </c>
      <c r="C634" s="16" t="s">
        <v>2439</v>
      </c>
      <c r="D634" s="54" t="s">
        <v>2440</v>
      </c>
      <c r="E634" s="44" t="s">
        <v>1234</v>
      </c>
      <c r="F634" s="31"/>
      <c r="G634" s="16"/>
      <c r="H634" s="93" t="s">
        <v>2441</v>
      </c>
      <c r="I634" s="88">
        <v>44354</v>
      </c>
    </row>
    <row r="635" spans="1:10" s="40" customFormat="1" ht="28.5" customHeight="1">
      <c r="A635" s="44"/>
      <c r="B635" s="54" t="s">
        <v>2303</v>
      </c>
      <c r="C635" s="44" t="s">
        <v>2442</v>
      </c>
      <c r="D635" s="44" t="s">
        <v>15</v>
      </c>
      <c r="E635" s="44"/>
      <c r="F635" s="44"/>
      <c r="G635" s="44"/>
      <c r="H635" s="91" t="s">
        <v>2443</v>
      </c>
      <c r="I635" s="88">
        <v>44352</v>
      </c>
    </row>
    <row r="636" spans="1:10" s="40" customFormat="1" ht="28.5" customHeight="1">
      <c r="A636" s="44"/>
      <c r="B636" s="54" t="s">
        <v>2413</v>
      </c>
      <c r="C636" s="44" t="s">
        <v>2444</v>
      </c>
      <c r="D636" s="44" t="s">
        <v>15</v>
      </c>
      <c r="E636" s="44"/>
      <c r="F636" s="44"/>
      <c r="G636" s="44"/>
      <c r="H636" s="91" t="s">
        <v>2445</v>
      </c>
      <c r="I636" s="88">
        <v>44365</v>
      </c>
    </row>
    <row r="637" spans="1:10" s="40" customFormat="1" ht="35.1" customHeight="1">
      <c r="A637" s="44"/>
      <c r="B637" s="54" t="s">
        <v>2446</v>
      </c>
      <c r="C637" s="44" t="s">
        <v>2447</v>
      </c>
      <c r="D637" s="44"/>
      <c r="E637" s="44" t="s">
        <v>2448</v>
      </c>
      <c r="F637" s="44"/>
      <c r="G637" s="44"/>
      <c r="H637" s="91" t="s">
        <v>2449</v>
      </c>
      <c r="I637" s="88">
        <v>44372</v>
      </c>
    </row>
    <row r="638" spans="1:10" s="40" customFormat="1" ht="35.1" customHeight="1">
      <c r="A638" s="44"/>
      <c r="B638" s="54" t="s">
        <v>2154</v>
      </c>
      <c r="C638" s="44" t="s">
        <v>2450</v>
      </c>
      <c r="D638" s="44" t="s">
        <v>2451</v>
      </c>
      <c r="E638" s="44" t="s">
        <v>18</v>
      </c>
      <c r="F638" s="44"/>
      <c r="G638" s="44"/>
      <c r="H638" s="91" t="s">
        <v>2452</v>
      </c>
      <c r="I638" s="88">
        <v>44384</v>
      </c>
    </row>
    <row r="639" spans="1:10" s="40" customFormat="1" ht="30" customHeight="1">
      <c r="A639" s="80"/>
      <c r="B639" s="44" t="s">
        <v>2453</v>
      </c>
      <c r="C639" s="44" t="s">
        <v>2454</v>
      </c>
      <c r="D639" s="44" t="s">
        <v>15</v>
      </c>
      <c r="E639" s="44" t="s">
        <v>15</v>
      </c>
      <c r="F639" s="44"/>
      <c r="G639" s="44"/>
      <c r="H639" s="91" t="s">
        <v>2455</v>
      </c>
      <c r="I639" s="88">
        <v>44382</v>
      </c>
    </row>
    <row r="640" spans="1:10" s="40" customFormat="1" ht="35.1" customHeight="1">
      <c r="A640" s="44"/>
      <c r="B640" s="54" t="s">
        <v>2456</v>
      </c>
      <c r="C640" s="44" t="s">
        <v>2457</v>
      </c>
      <c r="D640" s="44"/>
      <c r="E640" s="44" t="s">
        <v>2458</v>
      </c>
      <c r="F640" s="44"/>
      <c r="G640" s="44"/>
      <c r="H640" s="91" t="s">
        <v>2459</v>
      </c>
      <c r="I640" s="88">
        <v>44386</v>
      </c>
    </row>
    <row r="641" spans="1:13" s="40" customFormat="1" ht="28.5" customHeight="1">
      <c r="A641" s="46"/>
      <c r="B641" s="31" t="s">
        <v>2460</v>
      </c>
      <c r="C641" s="16" t="s">
        <v>1727</v>
      </c>
      <c r="D641" s="54" t="s">
        <v>15</v>
      </c>
      <c r="E641" s="44"/>
      <c r="F641" s="31"/>
      <c r="G641" s="16"/>
      <c r="H641" s="93" t="s">
        <v>2461</v>
      </c>
      <c r="I641" s="88">
        <v>44388</v>
      </c>
    </row>
    <row r="642" spans="1:13" s="40" customFormat="1" ht="28.5" customHeight="1">
      <c r="A642" s="46"/>
      <c r="B642" s="31" t="s">
        <v>2462</v>
      </c>
      <c r="C642" s="16" t="s">
        <v>2463</v>
      </c>
      <c r="D642" s="44" t="s">
        <v>1247</v>
      </c>
      <c r="E642" s="15"/>
      <c r="F642" s="16"/>
      <c r="G642" s="16"/>
      <c r="H642" s="94" t="s">
        <v>2464</v>
      </c>
      <c r="I642" s="89">
        <v>44393</v>
      </c>
    </row>
    <row r="643" spans="1:13" s="40" customFormat="1" ht="29.25" customHeight="1">
      <c r="A643" s="46"/>
      <c r="B643" s="31" t="s">
        <v>2465</v>
      </c>
      <c r="C643" s="16" t="s">
        <v>2466</v>
      </c>
      <c r="D643" s="15" t="s">
        <v>15</v>
      </c>
      <c r="E643" s="15" t="s">
        <v>15</v>
      </c>
      <c r="F643" s="16"/>
      <c r="G643" s="16"/>
      <c r="H643" s="94" t="s">
        <v>2467</v>
      </c>
      <c r="I643" s="88">
        <v>44398</v>
      </c>
      <c r="M643"/>
    </row>
    <row r="644" spans="1:13" s="40" customFormat="1" ht="28.5" customHeight="1">
      <c r="A644" s="44"/>
      <c r="B644" s="54" t="s">
        <v>2468</v>
      </c>
      <c r="C644" s="44" t="s">
        <v>2469</v>
      </c>
      <c r="D644" s="44" t="s">
        <v>1859</v>
      </c>
      <c r="E644" s="44" t="s">
        <v>1859</v>
      </c>
      <c r="F644" s="44"/>
      <c r="G644" s="44"/>
      <c r="H644" s="91" t="s">
        <v>2470</v>
      </c>
      <c r="I644" s="88">
        <v>44405</v>
      </c>
    </row>
    <row r="645" spans="1:13" s="40" customFormat="1" ht="35.1" customHeight="1">
      <c r="A645" s="44"/>
      <c r="B645" s="54" t="s">
        <v>2456</v>
      </c>
      <c r="C645" s="44" t="s">
        <v>2471</v>
      </c>
      <c r="D645" s="44" t="s">
        <v>2472</v>
      </c>
      <c r="E645" s="44" t="s">
        <v>2472</v>
      </c>
      <c r="F645" s="44"/>
      <c r="G645" s="44"/>
      <c r="H645" s="91">
        <v>44223</v>
      </c>
      <c r="I645" s="88">
        <v>44386</v>
      </c>
    </row>
    <row r="646" spans="1:13" s="40" customFormat="1" ht="28.5" customHeight="1">
      <c r="A646" s="46"/>
      <c r="B646" s="31" t="s">
        <v>2473</v>
      </c>
      <c r="C646" s="16" t="s">
        <v>2474</v>
      </c>
      <c r="D646" s="15" t="s">
        <v>2475</v>
      </c>
      <c r="E646" s="15"/>
      <c r="F646" s="16"/>
      <c r="G646" s="16"/>
      <c r="H646" s="94" t="s">
        <v>2476</v>
      </c>
      <c r="I646" s="88">
        <v>44407</v>
      </c>
    </row>
    <row r="647" spans="1:13" s="40" customFormat="1" ht="28.5" customHeight="1">
      <c r="A647" s="44"/>
      <c r="B647" s="54" t="s">
        <v>2477</v>
      </c>
      <c r="C647" s="44" t="s">
        <v>2478</v>
      </c>
      <c r="D647" s="44" t="s">
        <v>15</v>
      </c>
      <c r="E647" s="44" t="s">
        <v>15</v>
      </c>
      <c r="F647" s="44"/>
      <c r="G647" s="44"/>
      <c r="H647" s="91" t="s">
        <v>2479</v>
      </c>
      <c r="I647" s="88">
        <v>44403</v>
      </c>
    </row>
    <row r="648" spans="1:13" s="40" customFormat="1" ht="29.1" customHeight="1">
      <c r="A648" s="46"/>
      <c r="B648" s="31" t="s">
        <v>2480</v>
      </c>
      <c r="C648" s="16" t="s">
        <v>2481</v>
      </c>
      <c r="D648" s="44" t="s">
        <v>1234</v>
      </c>
      <c r="E648" s="15"/>
      <c r="F648" s="16"/>
      <c r="G648" s="16"/>
      <c r="H648" s="94" t="s">
        <v>2482</v>
      </c>
      <c r="I648" s="89">
        <v>44395</v>
      </c>
    </row>
    <row r="649" spans="1:13" s="40" customFormat="1" ht="25.35" customHeight="1">
      <c r="A649" s="79"/>
      <c r="B649" s="31" t="s">
        <v>2483</v>
      </c>
      <c r="C649" s="16" t="s">
        <v>2484</v>
      </c>
      <c r="D649" s="44" t="s">
        <v>15</v>
      </c>
      <c r="E649" s="44" t="s">
        <v>44</v>
      </c>
      <c r="F649" s="16"/>
      <c r="G649" s="16"/>
      <c r="H649" s="94" t="s">
        <v>2485</v>
      </c>
      <c r="I649" s="89">
        <v>44414</v>
      </c>
    </row>
    <row r="650" spans="1:13" s="40" customFormat="1" ht="28.5" customHeight="1">
      <c r="A650" s="44"/>
      <c r="B650" s="54" t="s">
        <v>741</v>
      </c>
      <c r="C650" s="44" t="s">
        <v>2486</v>
      </c>
      <c r="D650" s="44" t="s">
        <v>2487</v>
      </c>
      <c r="E650" s="44"/>
      <c r="F650" s="44"/>
      <c r="G650" s="44"/>
      <c r="H650" s="91" t="s">
        <v>2488</v>
      </c>
      <c r="I650" s="88">
        <v>44418</v>
      </c>
    </row>
    <row r="651" spans="1:13" s="40" customFormat="1" ht="35.1" customHeight="1">
      <c r="A651" s="57"/>
      <c r="B651" s="31" t="s">
        <v>2489</v>
      </c>
      <c r="C651" s="16" t="s">
        <v>2490</v>
      </c>
      <c r="D651" s="44" t="s">
        <v>2491</v>
      </c>
      <c r="E651" s="52"/>
      <c r="F651" s="31"/>
      <c r="G651" s="16"/>
      <c r="H651" s="92" t="s">
        <v>2492</v>
      </c>
      <c r="I651" s="88">
        <v>44407</v>
      </c>
    </row>
    <row r="652" spans="1:13" s="40" customFormat="1" ht="28.5" customHeight="1">
      <c r="A652" s="44"/>
      <c r="B652" s="54" t="s">
        <v>2493</v>
      </c>
      <c r="C652" s="44" t="s">
        <v>2494</v>
      </c>
      <c r="D652" s="44" t="s">
        <v>232</v>
      </c>
      <c r="E652" s="44"/>
      <c r="F652" s="44"/>
      <c r="G652" s="44"/>
      <c r="H652" s="91" t="s">
        <v>2495</v>
      </c>
      <c r="I652" s="88">
        <v>44417</v>
      </c>
    </row>
    <row r="653" spans="1:13" s="40" customFormat="1" ht="28.35" customHeight="1">
      <c r="A653" s="46"/>
      <c r="B653" s="31" t="s">
        <v>124</v>
      </c>
      <c r="C653" s="16" t="s">
        <v>2496</v>
      </c>
      <c r="D653" s="44" t="s">
        <v>15</v>
      </c>
      <c r="E653" s="44" t="s">
        <v>15</v>
      </c>
      <c r="F653" s="16"/>
      <c r="G653" s="16"/>
      <c r="H653" s="94" t="s">
        <v>2497</v>
      </c>
      <c r="I653" s="89">
        <v>44425</v>
      </c>
      <c r="J653" s="96"/>
    </row>
    <row r="654" spans="1:13" s="40" customFormat="1" ht="35.1" customHeight="1">
      <c r="A654" s="44"/>
      <c r="B654" s="54" t="s">
        <v>2377</v>
      </c>
      <c r="C654" s="44" t="s">
        <v>2498</v>
      </c>
      <c r="D654" s="44" t="s">
        <v>44</v>
      </c>
      <c r="E654" s="44"/>
      <c r="F654" s="44"/>
      <c r="G654" s="44"/>
      <c r="H654" s="91" t="s">
        <v>2499</v>
      </c>
      <c r="I654" s="88">
        <v>44400</v>
      </c>
    </row>
    <row r="655" spans="1:13" s="40" customFormat="1" ht="29.25" customHeight="1">
      <c r="A655" s="44"/>
      <c r="B655" s="54" t="s">
        <v>741</v>
      </c>
      <c r="C655" s="44" t="s">
        <v>2500</v>
      </c>
      <c r="D655" s="44" t="s">
        <v>2272</v>
      </c>
      <c r="E655" s="44"/>
      <c r="F655" s="44"/>
      <c r="G655" s="44"/>
      <c r="H655" s="91" t="s">
        <v>2501</v>
      </c>
      <c r="I655" s="88">
        <v>44460</v>
      </c>
    </row>
    <row r="656" spans="1:13" s="40" customFormat="1" ht="26.85" customHeight="1">
      <c r="A656" s="44"/>
      <c r="B656" s="54" t="s">
        <v>227</v>
      </c>
      <c r="C656" s="44" t="s">
        <v>2502</v>
      </c>
      <c r="D656" s="44" t="s">
        <v>15</v>
      </c>
      <c r="E656" s="44" t="s">
        <v>15</v>
      </c>
      <c r="F656" s="44"/>
      <c r="G656" s="44"/>
      <c r="H656" s="91" t="s">
        <v>2503</v>
      </c>
      <c r="I656" s="88">
        <v>44428</v>
      </c>
    </row>
    <row r="657" spans="1:10" s="40" customFormat="1" ht="36" customHeight="1">
      <c r="A657" s="46"/>
      <c r="B657" s="31" t="s">
        <v>2377</v>
      </c>
      <c r="C657" s="16" t="s">
        <v>2504</v>
      </c>
      <c r="D657" s="54" t="s">
        <v>15</v>
      </c>
      <c r="E657" s="44"/>
      <c r="F657" s="31"/>
      <c r="G657" s="16"/>
      <c r="H657" s="93" t="s">
        <v>2505</v>
      </c>
      <c r="I657" s="88">
        <v>44444</v>
      </c>
    </row>
    <row r="658" spans="1:10" s="40" customFormat="1" ht="28.5" customHeight="1">
      <c r="A658" s="46"/>
      <c r="B658" s="31" t="s">
        <v>2303</v>
      </c>
      <c r="C658" s="16" t="s">
        <v>2506</v>
      </c>
      <c r="D658" s="54" t="s">
        <v>15</v>
      </c>
      <c r="E658" s="44"/>
      <c r="F658" s="31"/>
      <c r="G658" s="16"/>
      <c r="H658" s="93" t="s">
        <v>2507</v>
      </c>
      <c r="I658" s="88">
        <v>44456</v>
      </c>
    </row>
    <row r="659" spans="1:10" s="40" customFormat="1" ht="36" customHeight="1">
      <c r="A659" s="1"/>
      <c r="B659" s="54" t="s">
        <v>1967</v>
      </c>
      <c r="C659" s="1" t="s">
        <v>2508</v>
      </c>
      <c r="D659" s="44" t="s">
        <v>2509</v>
      </c>
      <c r="E659" s="44" t="s">
        <v>149</v>
      </c>
      <c r="F659" s="1"/>
      <c r="G659" s="1"/>
      <c r="H659" s="91" t="s">
        <v>2510</v>
      </c>
      <c r="I659" s="88">
        <v>44471</v>
      </c>
      <c r="J659"/>
    </row>
    <row r="660" spans="1:10" s="40" customFormat="1" ht="36" customHeight="1">
      <c r="A660" s="46"/>
      <c r="B660" s="31" t="s">
        <v>322</v>
      </c>
      <c r="C660" s="16" t="s">
        <v>2511</v>
      </c>
      <c r="D660" s="44" t="s">
        <v>2512</v>
      </c>
      <c r="E660" s="15"/>
      <c r="F660" s="16"/>
      <c r="G660" s="16"/>
      <c r="H660" s="94" t="s">
        <v>2513</v>
      </c>
      <c r="I660" s="89">
        <v>44487</v>
      </c>
    </row>
    <row r="661" spans="1:10" s="40" customFormat="1" ht="28.5" customHeight="1">
      <c r="A661" s="46"/>
      <c r="B661" s="31" t="s">
        <v>1811</v>
      </c>
      <c r="C661" s="16" t="s">
        <v>2514</v>
      </c>
      <c r="D661" s="44" t="s">
        <v>2515</v>
      </c>
      <c r="E661" s="15"/>
      <c r="F661" s="16"/>
      <c r="G661" s="16"/>
      <c r="H661" s="94" t="s">
        <v>2516</v>
      </c>
      <c r="I661" s="89">
        <v>44489</v>
      </c>
    </row>
    <row r="662" spans="1:10" s="40" customFormat="1" ht="36" customHeight="1">
      <c r="A662" s="54"/>
      <c r="B662" s="44" t="s">
        <v>2517</v>
      </c>
      <c r="C662" s="44" t="s">
        <v>2518</v>
      </c>
      <c r="D662" s="44" t="s">
        <v>2487</v>
      </c>
      <c r="E662" s="44" t="s">
        <v>2487</v>
      </c>
      <c r="F662" s="44"/>
      <c r="G662" s="44"/>
      <c r="H662" s="91" t="s">
        <v>2519</v>
      </c>
      <c r="I662" s="88">
        <v>44493</v>
      </c>
    </row>
    <row r="663" spans="1:10" s="40" customFormat="1" ht="32.85" customHeight="1">
      <c r="A663" s="46"/>
      <c r="B663" s="31" t="s">
        <v>2520</v>
      </c>
      <c r="C663" s="16" t="s">
        <v>2521</v>
      </c>
      <c r="D663" s="54" t="s">
        <v>15</v>
      </c>
      <c r="E663" s="44"/>
      <c r="F663" s="31"/>
      <c r="G663" s="16"/>
      <c r="H663" s="93" t="s">
        <v>2522</v>
      </c>
      <c r="I663" s="88">
        <v>44507</v>
      </c>
    </row>
    <row r="664" spans="1:10" s="40" customFormat="1" ht="36" customHeight="1">
      <c r="A664" s="44"/>
      <c r="B664" s="54" t="s">
        <v>2523</v>
      </c>
      <c r="C664" s="44" t="s">
        <v>2524</v>
      </c>
      <c r="D664" s="44" t="s">
        <v>44</v>
      </c>
      <c r="E664" s="44" t="s">
        <v>44</v>
      </c>
      <c r="F664" s="44"/>
      <c r="G664" s="44"/>
      <c r="H664" s="91" t="s">
        <v>2525</v>
      </c>
      <c r="I664" s="88">
        <v>44493</v>
      </c>
    </row>
    <row r="665" spans="1:10" s="40" customFormat="1" ht="36" customHeight="1">
      <c r="A665" s="44"/>
      <c r="B665" s="54" t="s">
        <v>2526</v>
      </c>
      <c r="C665" s="44" t="s">
        <v>2527</v>
      </c>
      <c r="D665" s="44" t="s">
        <v>2272</v>
      </c>
      <c r="E665" s="44"/>
      <c r="F665" s="44"/>
      <c r="G665" s="44"/>
      <c r="H665" s="91" t="s">
        <v>2528</v>
      </c>
      <c r="I665" s="88">
        <v>44519</v>
      </c>
    </row>
    <row r="666" spans="1:10" s="40" customFormat="1" ht="35.1" customHeight="1">
      <c r="A666" s="44"/>
      <c r="B666" s="54" t="s">
        <v>16</v>
      </c>
      <c r="C666" s="44" t="s">
        <v>2529</v>
      </c>
      <c r="D666" s="44" t="s">
        <v>167</v>
      </c>
      <c r="E666" s="44"/>
      <c r="F666" s="44"/>
      <c r="G666" s="44"/>
      <c r="H666" s="91" t="s">
        <v>2530</v>
      </c>
      <c r="I666" s="88">
        <v>44514</v>
      </c>
    </row>
    <row r="667" spans="1:10" s="40" customFormat="1" ht="36" customHeight="1">
      <c r="A667" s="44"/>
      <c r="B667" s="54" t="s">
        <v>118</v>
      </c>
      <c r="C667" s="44" t="s">
        <v>2531</v>
      </c>
      <c r="D667" s="44" t="s">
        <v>18</v>
      </c>
      <c r="E667" s="44" t="s">
        <v>18</v>
      </c>
      <c r="F667" s="44"/>
      <c r="G667" s="44"/>
      <c r="H667" s="91" t="s">
        <v>2532</v>
      </c>
      <c r="I667" s="88">
        <v>44500</v>
      </c>
    </row>
    <row r="668" spans="1:10" s="40" customFormat="1" ht="29.25" customHeight="1">
      <c r="A668" s="46"/>
      <c r="B668" s="31" t="s">
        <v>1463</v>
      </c>
      <c r="C668" s="16" t="s">
        <v>2056</v>
      </c>
      <c r="D668" s="54" t="s">
        <v>15</v>
      </c>
      <c r="E668" s="44"/>
      <c r="F668" s="55"/>
      <c r="G668" s="16"/>
      <c r="H668" s="93" t="s">
        <v>2533</v>
      </c>
      <c r="I668" s="88">
        <v>44506</v>
      </c>
    </row>
    <row r="669" spans="1:10" s="40" customFormat="1" ht="36" customHeight="1">
      <c r="A669" s="57"/>
      <c r="B669" s="31" t="s">
        <v>2534</v>
      </c>
      <c r="C669" s="16" t="s">
        <v>2535</v>
      </c>
      <c r="D669" s="44" t="s">
        <v>44</v>
      </c>
      <c r="E669" s="44" t="s">
        <v>44</v>
      </c>
      <c r="F669" s="16"/>
      <c r="G669" s="16"/>
      <c r="H669" s="94" t="s">
        <v>2536</v>
      </c>
      <c r="I669" s="89">
        <v>44512</v>
      </c>
    </row>
    <row r="670" spans="1:10" s="40" customFormat="1" ht="35.1" customHeight="1">
      <c r="A670" s="54"/>
      <c r="B670" s="44" t="s">
        <v>1706</v>
      </c>
      <c r="C670" s="44" t="s">
        <v>1912</v>
      </c>
      <c r="D670" s="44" t="s">
        <v>15</v>
      </c>
      <c r="E670" s="44" t="s">
        <v>15</v>
      </c>
      <c r="F670" s="44"/>
      <c r="G670" s="44"/>
      <c r="H670" s="91" t="s">
        <v>2537</v>
      </c>
      <c r="I670" s="88">
        <v>44518</v>
      </c>
    </row>
    <row r="671" spans="1:10" s="40" customFormat="1" ht="23.1" customHeight="1">
      <c r="A671" s="46"/>
      <c r="B671" s="31" t="s">
        <v>1694</v>
      </c>
      <c r="C671" s="16" t="s">
        <v>2538</v>
      </c>
      <c r="D671" s="44" t="s">
        <v>89</v>
      </c>
      <c r="E671" s="44" t="s">
        <v>2539</v>
      </c>
      <c r="F671" s="16"/>
      <c r="G671" s="16"/>
      <c r="H671" s="94" t="s">
        <v>2540</v>
      </c>
      <c r="I671" s="89">
        <v>44504</v>
      </c>
    </row>
    <row r="672" spans="1:10" s="40" customFormat="1" ht="36" customHeight="1">
      <c r="A672" s="44"/>
      <c r="B672" s="54" t="s">
        <v>1463</v>
      </c>
      <c r="C672" s="44" t="s">
        <v>2541</v>
      </c>
      <c r="D672" s="44" t="s">
        <v>15</v>
      </c>
      <c r="E672" s="44" t="s">
        <v>15</v>
      </c>
      <c r="F672" s="44"/>
      <c r="G672" s="100" t="s">
        <v>2542</v>
      </c>
      <c r="H672" s="91" t="s">
        <v>2543</v>
      </c>
      <c r="I672" s="88">
        <v>44533</v>
      </c>
    </row>
    <row r="673" spans="1:10" s="40" customFormat="1" ht="29.25" customHeight="1">
      <c r="A673" s="44"/>
      <c r="B673" s="54" t="s">
        <v>1241</v>
      </c>
      <c r="C673" s="44" t="s">
        <v>2544</v>
      </c>
      <c r="D673" s="44" t="s">
        <v>2545</v>
      </c>
      <c r="E673" s="44" t="s">
        <v>1859</v>
      </c>
      <c r="F673" s="44"/>
      <c r="G673" s="44"/>
      <c r="H673" s="91" t="s">
        <v>2546</v>
      </c>
      <c r="I673" s="88">
        <v>44534</v>
      </c>
    </row>
    <row r="674" spans="1:10" s="40" customFormat="1" ht="36" customHeight="1">
      <c r="A674" s="44"/>
      <c r="B674" s="54" t="s">
        <v>2547</v>
      </c>
      <c r="C674" s="44" t="s">
        <v>2548</v>
      </c>
      <c r="D674" s="44" t="s">
        <v>15</v>
      </c>
      <c r="E674" s="44"/>
      <c r="F674" s="44"/>
      <c r="G674" s="44"/>
      <c r="H674" s="91" t="s">
        <v>2549</v>
      </c>
      <c r="I674" s="88">
        <v>44520</v>
      </c>
    </row>
    <row r="675" spans="1:10" s="40" customFormat="1" ht="28.5" customHeight="1">
      <c r="A675" s="44"/>
      <c r="B675" s="97" t="s">
        <v>2205</v>
      </c>
      <c r="C675" s="44" t="s">
        <v>2550</v>
      </c>
      <c r="D675" s="44" t="s">
        <v>18</v>
      </c>
      <c r="E675" s="44" t="s">
        <v>149</v>
      </c>
      <c r="F675" s="44"/>
      <c r="G675" s="44"/>
      <c r="H675" s="91" t="s">
        <v>2551</v>
      </c>
      <c r="I675" s="88">
        <v>44529</v>
      </c>
    </row>
    <row r="676" spans="1:10" s="40" customFormat="1" ht="30" customHeight="1">
      <c r="A676" s="46"/>
      <c r="B676" s="31" t="s">
        <v>2552</v>
      </c>
      <c r="C676" s="16" t="s">
        <v>2553</v>
      </c>
      <c r="D676" s="44" t="s">
        <v>15</v>
      </c>
      <c r="E676" s="44" t="s">
        <v>44</v>
      </c>
      <c r="F676" s="16"/>
      <c r="G676" s="16"/>
      <c r="H676" s="94" t="s">
        <v>2554</v>
      </c>
      <c r="I676" s="89">
        <v>44530</v>
      </c>
    </row>
    <row r="677" spans="1:10" s="40" customFormat="1" ht="30.6" customHeight="1">
      <c r="A677" s="46"/>
      <c r="B677" s="31" t="s">
        <v>2555</v>
      </c>
      <c r="C677" s="16" t="s">
        <v>2556</v>
      </c>
      <c r="D677" s="54" t="s">
        <v>2557</v>
      </c>
      <c r="E677" s="44"/>
      <c r="F677" s="31"/>
      <c r="G677" s="16"/>
      <c r="H677" s="93" t="s">
        <v>2558</v>
      </c>
      <c r="I677" s="88">
        <v>44539</v>
      </c>
    </row>
    <row r="678" spans="1:10" s="40" customFormat="1" ht="36" customHeight="1">
      <c r="A678" s="46"/>
      <c r="B678" s="31" t="s">
        <v>16</v>
      </c>
      <c r="C678" s="16" t="s">
        <v>2559</v>
      </c>
      <c r="D678" s="44" t="s">
        <v>2560</v>
      </c>
      <c r="E678" s="15" t="s">
        <v>18</v>
      </c>
      <c r="F678" s="16"/>
      <c r="G678" s="16"/>
      <c r="H678" s="94" t="s">
        <v>2561</v>
      </c>
      <c r="I678" s="89">
        <v>44550</v>
      </c>
      <c r="J678" s="96" t="s">
        <v>2562</v>
      </c>
    </row>
    <row r="679" spans="1:10" s="40" customFormat="1" ht="36" customHeight="1">
      <c r="A679" s="46"/>
      <c r="B679" s="31" t="s">
        <v>152</v>
      </c>
      <c r="C679" s="16" t="s">
        <v>2563</v>
      </c>
      <c r="D679" s="54" t="s">
        <v>44</v>
      </c>
      <c r="E679" s="44"/>
      <c r="F679" s="31"/>
      <c r="G679" s="16"/>
      <c r="H679" s="93" t="s">
        <v>2564</v>
      </c>
      <c r="I679" s="88">
        <v>44547</v>
      </c>
      <c r="J679" s="40">
        <v>13</v>
      </c>
    </row>
    <row r="680" spans="1:10" s="40" customFormat="1" ht="36" customHeight="1">
      <c r="A680" s="46"/>
      <c r="B680" s="31" t="s">
        <v>500</v>
      </c>
      <c r="C680" s="16" t="s">
        <v>2565</v>
      </c>
      <c r="D680" s="15" t="s">
        <v>167</v>
      </c>
      <c r="E680" s="15" t="s">
        <v>167</v>
      </c>
      <c r="F680" s="16"/>
      <c r="G680" s="16"/>
      <c r="H680" s="94" t="s">
        <v>2566</v>
      </c>
      <c r="I680" s="88">
        <v>44550</v>
      </c>
      <c r="J680" s="96" t="s">
        <v>2562</v>
      </c>
    </row>
    <row r="681" spans="1:10" s="40" customFormat="1" ht="36" customHeight="1">
      <c r="A681" s="46"/>
      <c r="B681" s="31" t="s">
        <v>2567</v>
      </c>
      <c r="C681" s="16" t="s">
        <v>2568</v>
      </c>
      <c r="D681" s="44" t="s">
        <v>2569</v>
      </c>
      <c r="E681" s="15"/>
      <c r="F681" s="16"/>
      <c r="G681" s="16"/>
      <c r="H681" s="94" t="s">
        <v>2570</v>
      </c>
      <c r="I681" s="89">
        <v>44547</v>
      </c>
    </row>
    <row r="682" spans="1:10" s="40" customFormat="1" ht="28.35" customHeight="1">
      <c r="A682" s="44"/>
      <c r="B682" s="54" t="s">
        <v>13</v>
      </c>
      <c r="C682" s="44" t="s">
        <v>2571</v>
      </c>
      <c r="D682" s="44" t="s">
        <v>2572</v>
      </c>
      <c r="E682" s="44"/>
      <c r="F682" s="44"/>
      <c r="G682" s="44"/>
      <c r="H682" s="91" t="s">
        <v>2573</v>
      </c>
      <c r="I682" s="88">
        <v>44553</v>
      </c>
    </row>
    <row r="683" spans="1:10" s="40" customFormat="1" ht="27.6" customHeight="1">
      <c r="A683" s="46"/>
      <c r="B683" s="31" t="s">
        <v>2574</v>
      </c>
      <c r="C683" s="16" t="s">
        <v>2575</v>
      </c>
      <c r="D683" s="54" t="s">
        <v>89</v>
      </c>
      <c r="E683" s="44"/>
      <c r="F683" s="31"/>
      <c r="G683" s="16"/>
      <c r="H683" s="93">
        <v>44508</v>
      </c>
      <c r="I683" s="88">
        <v>44538</v>
      </c>
    </row>
    <row r="684" spans="1:10" s="40" customFormat="1" ht="30" customHeight="1">
      <c r="A684" s="54"/>
      <c r="B684" s="54" t="s">
        <v>2576</v>
      </c>
      <c r="C684" s="44" t="s">
        <v>2577</v>
      </c>
      <c r="D684" s="44" t="s">
        <v>15</v>
      </c>
      <c r="E684" s="44" t="s">
        <v>15</v>
      </c>
      <c r="F684" s="44"/>
      <c r="G684" s="44"/>
      <c r="H684" s="91" t="s">
        <v>2578</v>
      </c>
      <c r="I684" s="88">
        <v>44915</v>
      </c>
      <c r="J684" s="40">
        <v>29</v>
      </c>
    </row>
    <row r="685" spans="1:10" s="40" customFormat="1" ht="31.5" customHeight="1">
      <c r="A685" s="44"/>
      <c r="B685" s="97" t="s">
        <v>2205</v>
      </c>
      <c r="C685" s="44" t="s">
        <v>2579</v>
      </c>
      <c r="D685" s="44" t="s">
        <v>149</v>
      </c>
      <c r="E685" s="44" t="s">
        <v>18</v>
      </c>
      <c r="F685" s="44"/>
      <c r="G685" s="44"/>
      <c r="H685" s="91" t="s">
        <v>2580</v>
      </c>
      <c r="I685" s="88">
        <v>44577</v>
      </c>
    </row>
    <row r="686" spans="1:10" s="40" customFormat="1" ht="28.5" customHeight="1">
      <c r="A686" s="44"/>
      <c r="B686" s="54" t="s">
        <v>2178</v>
      </c>
      <c r="C686" s="44" t="s">
        <v>2581</v>
      </c>
      <c r="D686" s="44" t="s">
        <v>15</v>
      </c>
      <c r="E686" s="44" t="s">
        <v>15</v>
      </c>
      <c r="F686" s="44"/>
      <c r="G686" s="44"/>
      <c r="H686" s="91" t="s">
        <v>2582</v>
      </c>
      <c r="I686" s="88">
        <v>44574</v>
      </c>
      <c r="J686" s="40">
        <v>46</v>
      </c>
    </row>
    <row r="687" spans="1:10" s="40" customFormat="1" ht="29.25" customHeight="1">
      <c r="A687" s="46"/>
      <c r="B687" s="18" t="s">
        <v>1811</v>
      </c>
      <c r="C687" s="18" t="s">
        <v>2583</v>
      </c>
      <c r="D687" s="58" t="s">
        <v>89</v>
      </c>
      <c r="E687" s="105"/>
      <c r="F687" s="18"/>
      <c r="G687" s="18"/>
      <c r="H687" s="106">
        <v>44266</v>
      </c>
      <c r="I687" s="107">
        <v>44541</v>
      </c>
      <c r="J687" s="67" t="s">
        <v>2584</v>
      </c>
    </row>
    <row r="688" spans="1:10" s="40" customFormat="1" ht="27.6" customHeight="1">
      <c r="A688" s="44"/>
      <c r="B688" s="54" t="s">
        <v>2377</v>
      </c>
      <c r="C688" s="44" t="s">
        <v>2585</v>
      </c>
      <c r="D688" s="44" t="s">
        <v>18</v>
      </c>
      <c r="E688" s="44" t="s">
        <v>149</v>
      </c>
      <c r="F688" s="44"/>
      <c r="G688" s="44"/>
      <c r="H688" s="91" t="s">
        <v>2586</v>
      </c>
      <c r="I688" s="88">
        <v>44592</v>
      </c>
    </row>
    <row r="689" spans="1:11" s="40" customFormat="1" ht="28.5" customHeight="1">
      <c r="A689" s="44"/>
      <c r="B689" s="54" t="s">
        <v>2587</v>
      </c>
      <c r="C689" s="44" t="s">
        <v>2588</v>
      </c>
      <c r="D689" s="44" t="s">
        <v>2589</v>
      </c>
      <c r="E689" s="44" t="s">
        <v>89</v>
      </c>
      <c r="F689" s="44"/>
      <c r="G689" s="44"/>
      <c r="H689" s="91" t="s">
        <v>2590</v>
      </c>
      <c r="I689" s="88">
        <v>44597</v>
      </c>
      <c r="J689" s="40">
        <v>97</v>
      </c>
    </row>
    <row r="690" spans="1:11" s="40" customFormat="1" ht="26.85" customHeight="1">
      <c r="A690" s="44"/>
      <c r="B690" s="54" t="s">
        <v>2591</v>
      </c>
      <c r="C690" s="44" t="s">
        <v>2592</v>
      </c>
      <c r="D690" s="44" t="s">
        <v>44</v>
      </c>
      <c r="E690" s="44"/>
      <c r="F690" s="44"/>
      <c r="G690" s="44"/>
      <c r="H690" s="91" t="s">
        <v>2593</v>
      </c>
      <c r="I690" s="88">
        <v>44594</v>
      </c>
      <c r="J690" s="40">
        <v>14</v>
      </c>
    </row>
    <row r="691" spans="1:11" s="40" customFormat="1" ht="28.5" customHeight="1">
      <c r="A691" s="46"/>
      <c r="B691" s="16" t="s">
        <v>2594</v>
      </c>
      <c r="C691" s="16" t="s">
        <v>2595</v>
      </c>
      <c r="D691" s="15" t="s">
        <v>15</v>
      </c>
      <c r="E691" s="15" t="s">
        <v>15</v>
      </c>
      <c r="F691" s="16"/>
      <c r="G691" s="16"/>
      <c r="H691" s="94" t="s">
        <v>2596</v>
      </c>
      <c r="I691" s="88">
        <v>44602</v>
      </c>
      <c r="J691" s="40">
        <v>19</v>
      </c>
    </row>
    <row r="692" spans="1:11" s="40" customFormat="1" ht="36" customHeight="1">
      <c r="A692" s="101"/>
      <c r="B692" s="44" t="s">
        <v>2597</v>
      </c>
      <c r="C692" s="44" t="s">
        <v>2598</v>
      </c>
      <c r="D692" s="44" t="s">
        <v>15</v>
      </c>
      <c r="E692" s="44"/>
      <c r="F692" s="44"/>
      <c r="G692" s="44"/>
      <c r="H692" s="91">
        <v>44531</v>
      </c>
      <c r="I692" s="88">
        <v>44593</v>
      </c>
      <c r="J692" s="40">
        <v>4</v>
      </c>
    </row>
    <row r="693" spans="1:11" s="40" customFormat="1" ht="36" customHeight="1">
      <c r="A693" s="46"/>
      <c r="B693" s="18" t="s">
        <v>261</v>
      </c>
      <c r="C693" s="16" t="s">
        <v>2599</v>
      </c>
      <c r="D693" s="44" t="s">
        <v>2600</v>
      </c>
      <c r="E693" s="52" t="s">
        <v>44</v>
      </c>
      <c r="F693" s="31"/>
      <c r="G693" s="16"/>
      <c r="H693" s="92" t="s">
        <v>2601</v>
      </c>
      <c r="I693" s="88">
        <v>44609</v>
      </c>
      <c r="J693" s="40">
        <v>127</v>
      </c>
    </row>
    <row r="694" spans="1:11" s="40" customFormat="1" ht="25.35" customHeight="1">
      <c r="A694" s="44"/>
      <c r="B694" s="54" t="s">
        <v>2602</v>
      </c>
      <c r="C694" s="44" t="s">
        <v>2603</v>
      </c>
      <c r="D694" s="44" t="s">
        <v>2604</v>
      </c>
      <c r="E694" s="44"/>
      <c r="F694" s="44"/>
      <c r="G694" s="44"/>
      <c r="H694" s="91" t="s">
        <v>2605</v>
      </c>
      <c r="I694" s="88">
        <v>44615</v>
      </c>
    </row>
    <row r="695" spans="1:11" s="40" customFormat="1" ht="36" customHeight="1">
      <c r="A695" s="46"/>
      <c r="B695" s="31" t="s">
        <v>1032</v>
      </c>
      <c r="C695" s="16" t="s">
        <v>2606</v>
      </c>
      <c r="D695" s="54" t="s">
        <v>15</v>
      </c>
      <c r="E695" s="44"/>
      <c r="F695" s="31"/>
      <c r="G695" s="16"/>
      <c r="H695" s="93">
        <v>44417</v>
      </c>
      <c r="I695" s="88">
        <v>44601</v>
      </c>
      <c r="J695" s="40">
        <v>61</v>
      </c>
    </row>
    <row r="696" spans="1:11" s="40" customFormat="1" ht="36" customHeight="1">
      <c r="A696" s="101"/>
      <c r="B696" s="54" t="s">
        <v>2607</v>
      </c>
      <c r="C696" s="44" t="s">
        <v>2608</v>
      </c>
      <c r="D696" s="44" t="s">
        <v>15</v>
      </c>
      <c r="E696" s="44"/>
      <c r="F696" s="109" t="s">
        <v>2609</v>
      </c>
      <c r="G696" s="44"/>
      <c r="H696" s="91">
        <v>44531</v>
      </c>
      <c r="I696" s="88">
        <v>44593</v>
      </c>
      <c r="J696" s="40">
        <v>20</v>
      </c>
    </row>
    <row r="697" spans="1:11" s="40" customFormat="1" ht="29.25" customHeight="1">
      <c r="A697" s="58"/>
      <c r="B697" s="58" t="s">
        <v>2610</v>
      </c>
      <c r="C697" s="58" t="s">
        <v>2611</v>
      </c>
      <c r="D697" s="58" t="s">
        <v>15</v>
      </c>
      <c r="E697" s="58"/>
      <c r="F697" s="110" t="s">
        <v>2612</v>
      </c>
      <c r="G697" s="58"/>
      <c r="H697" s="103">
        <v>44531</v>
      </c>
      <c r="I697" s="104">
        <v>44561</v>
      </c>
      <c r="J697" s="67">
        <v>47</v>
      </c>
      <c r="K697" s="67"/>
    </row>
    <row r="698" spans="1:11" s="40" customFormat="1" ht="36" customHeight="1">
      <c r="A698" s="46"/>
      <c r="B698" s="31" t="s">
        <v>2430</v>
      </c>
      <c r="C698" s="16" t="s">
        <v>2613</v>
      </c>
      <c r="D698" s="54" t="s">
        <v>2614</v>
      </c>
      <c r="E698" s="44"/>
      <c r="F698" s="31"/>
      <c r="G698" s="16"/>
      <c r="H698" s="93">
        <v>44490</v>
      </c>
      <c r="I698" s="88">
        <v>44582</v>
      </c>
    </row>
    <row r="699" spans="1:11" s="40" customFormat="1" ht="28.5" customHeight="1">
      <c r="A699" s="46"/>
      <c r="B699" s="31" t="s">
        <v>168</v>
      </c>
      <c r="C699" s="16" t="s">
        <v>2615</v>
      </c>
      <c r="D699" s="44" t="s">
        <v>2272</v>
      </c>
      <c r="E699" s="15"/>
      <c r="F699" s="16"/>
      <c r="G699" s="16"/>
      <c r="H699" s="94" t="s">
        <v>2616</v>
      </c>
      <c r="I699" s="89">
        <v>44620</v>
      </c>
    </row>
    <row r="700" spans="1:11" s="40" customFormat="1" ht="25.35" customHeight="1">
      <c r="A700" s="54"/>
      <c r="B700" s="54" t="s">
        <v>1289</v>
      </c>
      <c r="C700" s="44" t="s">
        <v>2617</v>
      </c>
      <c r="D700" s="44" t="s">
        <v>15</v>
      </c>
      <c r="E700" s="44"/>
      <c r="F700" s="44"/>
      <c r="G700" s="44"/>
      <c r="H700" s="91">
        <v>44571</v>
      </c>
      <c r="I700" s="88">
        <v>44602</v>
      </c>
    </row>
    <row r="701" spans="1:11" s="40" customFormat="1" ht="36" customHeight="1">
      <c r="A701" s="46"/>
      <c r="B701" s="31" t="s">
        <v>2618</v>
      </c>
      <c r="C701" s="16" t="s">
        <v>2619</v>
      </c>
      <c r="D701" s="54" t="s">
        <v>15</v>
      </c>
      <c r="E701" s="44"/>
      <c r="F701" s="31"/>
      <c r="G701" s="16"/>
      <c r="H701" s="93" t="s">
        <v>2620</v>
      </c>
      <c r="I701" s="88">
        <v>44614</v>
      </c>
      <c r="J701" s="40">
        <v>17</v>
      </c>
    </row>
    <row r="702" spans="1:11" s="40" customFormat="1" ht="36" customHeight="1">
      <c r="A702" s="46"/>
      <c r="B702" s="31" t="s">
        <v>2621</v>
      </c>
      <c r="C702" s="16" t="s">
        <v>2622</v>
      </c>
      <c r="D702" s="54" t="s">
        <v>15</v>
      </c>
      <c r="E702" s="44"/>
      <c r="F702" s="31"/>
      <c r="G702" s="16"/>
      <c r="H702" s="93" t="s">
        <v>2623</v>
      </c>
      <c r="I702" s="88">
        <v>44631</v>
      </c>
      <c r="J702" s="40">
        <v>55</v>
      </c>
    </row>
    <row r="703" spans="1:11" s="40" customFormat="1" ht="36" customHeight="1">
      <c r="A703" s="44"/>
      <c r="B703" s="54" t="s">
        <v>1276</v>
      </c>
      <c r="C703" s="44" t="s">
        <v>2624</v>
      </c>
      <c r="D703" s="44" t="s">
        <v>2625</v>
      </c>
      <c r="E703" s="44"/>
      <c r="F703" s="109"/>
      <c r="G703" s="44"/>
      <c r="H703" s="91" t="s">
        <v>2626</v>
      </c>
      <c r="I703" s="88">
        <v>44636</v>
      </c>
      <c r="J703" s="40">
        <v>177</v>
      </c>
    </row>
    <row r="704" spans="1:11" s="40" customFormat="1" ht="31.5" customHeight="1">
      <c r="A704" s="46"/>
      <c r="B704" s="31" t="s">
        <v>1811</v>
      </c>
      <c r="C704" s="16" t="s">
        <v>2627</v>
      </c>
      <c r="D704" s="54" t="s">
        <v>2487</v>
      </c>
      <c r="E704" s="44"/>
      <c r="F704" s="31"/>
      <c r="G704" s="16"/>
      <c r="H704" s="93" t="s">
        <v>2628</v>
      </c>
      <c r="I704" s="88">
        <v>44609</v>
      </c>
    </row>
    <row r="705" spans="1:15" s="40" customFormat="1" ht="28.5" customHeight="1">
      <c r="A705" s="44"/>
      <c r="B705" s="54" t="s">
        <v>2567</v>
      </c>
      <c r="C705" s="44" t="s">
        <v>2629</v>
      </c>
      <c r="D705" s="44" t="s">
        <v>15</v>
      </c>
      <c r="E705" s="44" t="s">
        <v>15</v>
      </c>
      <c r="F705" s="44"/>
      <c r="G705" s="44"/>
      <c r="H705" s="91" t="s">
        <v>2630</v>
      </c>
      <c r="I705" s="88">
        <v>44632</v>
      </c>
      <c r="J705" s="40">
        <v>18</v>
      </c>
    </row>
    <row r="706" spans="1:15" s="40" customFormat="1" ht="40.35" customHeight="1">
      <c r="A706" s="54"/>
      <c r="B706" s="54" t="s">
        <v>2631</v>
      </c>
      <c r="C706" s="44" t="s">
        <v>2632</v>
      </c>
      <c r="D706" s="44" t="s">
        <v>15</v>
      </c>
      <c r="E706" s="44"/>
      <c r="F706" s="44"/>
      <c r="G706" s="44"/>
      <c r="H706" s="91" t="s">
        <v>2633</v>
      </c>
      <c r="I706" s="88">
        <v>44630</v>
      </c>
    </row>
    <row r="707" spans="1:15" s="40" customFormat="1" ht="36" customHeight="1">
      <c r="A707" s="46"/>
      <c r="B707" s="31" t="s">
        <v>2587</v>
      </c>
      <c r="C707" s="16" t="s">
        <v>2634</v>
      </c>
      <c r="D707" s="54" t="s">
        <v>15</v>
      </c>
      <c r="E707" s="44"/>
      <c r="F707" s="31" t="s">
        <v>2635</v>
      </c>
      <c r="G707" s="16"/>
      <c r="H707" s="93">
        <v>44355</v>
      </c>
      <c r="I707" s="88">
        <v>44628</v>
      </c>
      <c r="J707" s="40">
        <v>102</v>
      </c>
    </row>
    <row r="708" spans="1:15" s="40" customFormat="1" ht="33.75" customHeight="1">
      <c r="A708" s="101"/>
      <c r="B708" s="44" t="s">
        <v>2636</v>
      </c>
      <c r="C708" s="44" t="s">
        <v>2637</v>
      </c>
      <c r="D708" s="44" t="s">
        <v>15</v>
      </c>
      <c r="E708" s="44"/>
      <c r="F708" s="44"/>
      <c r="G708" s="44"/>
      <c r="H708" s="91">
        <v>44531</v>
      </c>
      <c r="I708" s="88">
        <v>44639</v>
      </c>
      <c r="J708" s="40">
        <v>3</v>
      </c>
    </row>
    <row r="709" spans="1:15" s="40" customFormat="1" ht="29.1" customHeight="1">
      <c r="A709" s="46"/>
      <c r="B709" s="31" t="s">
        <v>2638</v>
      </c>
      <c r="C709" s="16" t="s">
        <v>2639</v>
      </c>
      <c r="D709" s="44" t="s">
        <v>2640</v>
      </c>
      <c r="E709" s="52"/>
      <c r="F709" s="31"/>
      <c r="G709" s="16"/>
      <c r="H709" s="92" t="s">
        <v>2641</v>
      </c>
      <c r="I709" s="88">
        <v>44650</v>
      </c>
      <c r="J709" s="96"/>
      <c r="K709" s="102"/>
      <c r="L709" s="102"/>
      <c r="M709" s="102"/>
      <c r="N709" s="102"/>
      <c r="O709" s="102"/>
    </row>
    <row r="710" spans="1:15" s="40" customFormat="1" ht="30.75" customHeight="1">
      <c r="A710" s="101"/>
      <c r="B710" s="54" t="s">
        <v>2642</v>
      </c>
      <c r="C710" s="44" t="s">
        <v>2643</v>
      </c>
      <c r="D710" s="44" t="s">
        <v>15</v>
      </c>
      <c r="E710" s="44"/>
      <c r="F710" s="44"/>
      <c r="G710" s="44"/>
      <c r="H710" s="91">
        <v>44531</v>
      </c>
      <c r="I710" s="88">
        <v>44641</v>
      </c>
      <c r="J710" s="40">
        <v>10</v>
      </c>
    </row>
    <row r="711" spans="1:15" s="40" customFormat="1" ht="30" customHeight="1">
      <c r="A711" s="46"/>
      <c r="B711" s="31" t="s">
        <v>16</v>
      </c>
      <c r="C711" s="16" t="s">
        <v>2644</v>
      </c>
      <c r="D711" s="54" t="s">
        <v>2487</v>
      </c>
      <c r="E711" s="44"/>
      <c r="F711" s="31"/>
      <c r="G711" s="30"/>
      <c r="H711" s="93" t="s">
        <v>2645</v>
      </c>
      <c r="I711" s="88">
        <v>44640</v>
      </c>
    </row>
    <row r="712" spans="1:15" s="40" customFormat="1" ht="29.25" customHeight="1">
      <c r="A712" s="46"/>
      <c r="B712" s="31" t="s">
        <v>2646</v>
      </c>
      <c r="C712" s="16" t="s">
        <v>2647</v>
      </c>
      <c r="D712" s="54" t="s">
        <v>15</v>
      </c>
      <c r="E712" s="44" t="s">
        <v>15</v>
      </c>
      <c r="F712" s="31"/>
      <c r="G712" s="30"/>
      <c r="H712" s="93" t="s">
        <v>2648</v>
      </c>
      <c r="I712" s="88">
        <v>44655</v>
      </c>
      <c r="J712" s="40">
        <v>123</v>
      </c>
    </row>
    <row r="713" spans="1:15" s="40" customFormat="1" ht="36" customHeight="1">
      <c r="A713" s="44"/>
      <c r="B713" s="54" t="s">
        <v>90</v>
      </c>
      <c r="C713" s="44" t="s">
        <v>2649</v>
      </c>
      <c r="D713" s="44" t="s">
        <v>80</v>
      </c>
      <c r="E713" s="44"/>
      <c r="F713" s="44" t="s">
        <v>2650</v>
      </c>
      <c r="G713" s="44"/>
      <c r="H713" s="91" t="s">
        <v>2651</v>
      </c>
      <c r="I713" s="88">
        <v>44652</v>
      </c>
    </row>
    <row r="714" spans="1:15" s="40" customFormat="1" ht="36" customHeight="1">
      <c r="A714" s="54"/>
      <c r="B714" s="54" t="s">
        <v>1850</v>
      </c>
      <c r="C714" s="44" t="s">
        <v>2652</v>
      </c>
      <c r="D714" s="44" t="s">
        <v>498</v>
      </c>
      <c r="E714" s="44"/>
      <c r="F714" s="44"/>
      <c r="G714" s="91">
        <v>44593</v>
      </c>
      <c r="H714" s="91">
        <v>44657</v>
      </c>
      <c r="I714" s="88">
        <v>44652</v>
      </c>
    </row>
    <row r="715" spans="1:15" s="40" customFormat="1" ht="33.75" customHeight="1">
      <c r="A715" s="54"/>
      <c r="B715" s="54" t="s">
        <v>1463</v>
      </c>
      <c r="C715" s="44" t="s">
        <v>2653</v>
      </c>
      <c r="D715" s="44" t="s">
        <v>15</v>
      </c>
      <c r="E715" s="44"/>
      <c r="F715" s="44"/>
      <c r="G715" s="91">
        <v>44575</v>
      </c>
      <c r="H715" s="91">
        <v>44660</v>
      </c>
      <c r="I715" s="88">
        <v>44665</v>
      </c>
    </row>
    <row r="716" spans="1:15" s="40" customFormat="1" ht="36" customHeight="1">
      <c r="A716" s="46"/>
      <c r="B716" s="31" t="s">
        <v>37</v>
      </c>
      <c r="C716" s="16" t="s">
        <v>2654</v>
      </c>
      <c r="D716" s="44" t="s">
        <v>18</v>
      </c>
      <c r="E716" s="44" t="s">
        <v>18</v>
      </c>
      <c r="F716" s="31"/>
      <c r="G716" s="92">
        <v>44078</v>
      </c>
      <c r="H716" s="92" t="s">
        <v>2655</v>
      </c>
      <c r="I716" s="88">
        <v>44655</v>
      </c>
    </row>
    <row r="717" spans="1:15" s="40" customFormat="1" ht="36" customHeight="1">
      <c r="A717" s="46"/>
      <c r="B717" s="31" t="s">
        <v>2656</v>
      </c>
      <c r="C717" s="16" t="s">
        <v>2657</v>
      </c>
      <c r="D717" s="54" t="s">
        <v>15</v>
      </c>
      <c r="E717" s="44"/>
      <c r="F717" s="31"/>
      <c r="G717" s="93">
        <v>44375</v>
      </c>
      <c r="H717" s="93">
        <v>44669</v>
      </c>
      <c r="I717" s="88">
        <v>44648</v>
      </c>
      <c r="J717" s="40">
        <v>19</v>
      </c>
    </row>
    <row r="718" spans="1:15" s="40" customFormat="1" ht="36" customHeight="1">
      <c r="A718" s="54"/>
      <c r="B718" s="54" t="s">
        <v>2377</v>
      </c>
      <c r="C718" s="44" t="s">
        <v>2658</v>
      </c>
      <c r="D718" s="44" t="s">
        <v>15</v>
      </c>
      <c r="E718" s="44"/>
      <c r="F718" s="44"/>
      <c r="G718" s="91">
        <v>44603</v>
      </c>
      <c r="H718" s="91">
        <v>44665</v>
      </c>
      <c r="I718" s="88">
        <v>44723</v>
      </c>
    </row>
    <row r="719" spans="1:15" s="40" customFormat="1" ht="35.1" customHeight="1">
      <c r="A719" s="44"/>
      <c r="B719" s="54" t="s">
        <v>2345</v>
      </c>
      <c r="C719" s="44" t="s">
        <v>2659</v>
      </c>
      <c r="D719" s="44" t="s">
        <v>232</v>
      </c>
      <c r="E719" s="44" t="s">
        <v>15</v>
      </c>
      <c r="F719" s="44"/>
      <c r="G719" s="91">
        <v>44300</v>
      </c>
      <c r="H719" s="91"/>
      <c r="I719" s="88">
        <v>44673</v>
      </c>
      <c r="J719" s="15">
        <v>27</v>
      </c>
    </row>
    <row r="720" spans="1:15" s="40" customFormat="1" ht="36" customHeight="1">
      <c r="A720" s="57"/>
      <c r="B720" s="31" t="s">
        <v>2660</v>
      </c>
      <c r="C720" s="16" t="s">
        <v>2661</v>
      </c>
      <c r="D720" s="44" t="s">
        <v>2662</v>
      </c>
      <c r="E720" s="44"/>
      <c r="F720" s="16"/>
      <c r="G720" s="94">
        <v>44257</v>
      </c>
      <c r="H720" s="94" t="s">
        <v>2663</v>
      </c>
      <c r="I720" s="89">
        <v>44673</v>
      </c>
    </row>
    <row r="721" spans="1:10" s="40" customFormat="1" ht="28.5" customHeight="1">
      <c r="A721" s="46"/>
      <c r="B721" s="31" t="s">
        <v>2552</v>
      </c>
      <c r="C721" s="16" t="s">
        <v>2664</v>
      </c>
      <c r="D721" s="44" t="s">
        <v>15</v>
      </c>
      <c r="E721" s="44"/>
      <c r="F721" s="16"/>
      <c r="G721" s="94">
        <v>44349</v>
      </c>
      <c r="H721" s="94">
        <v>44680</v>
      </c>
      <c r="I721" s="89">
        <v>44683</v>
      </c>
    </row>
    <row r="722" spans="1:10" s="40" customFormat="1" ht="36" customHeight="1">
      <c r="A722" s="44"/>
      <c r="B722" s="54" t="s">
        <v>155</v>
      </c>
      <c r="C722" s="44" t="s">
        <v>2665</v>
      </c>
      <c r="D722" s="44" t="s">
        <v>15</v>
      </c>
      <c r="E722" s="44" t="s">
        <v>15</v>
      </c>
      <c r="F722" s="44"/>
      <c r="G722" s="91">
        <v>43817</v>
      </c>
      <c r="H722" s="91" t="s">
        <v>2666</v>
      </c>
      <c r="I722" s="88">
        <v>44690</v>
      </c>
    </row>
    <row r="723" spans="1:10" s="40" customFormat="1" ht="36" customHeight="1">
      <c r="A723" s="44"/>
      <c r="B723" s="54" t="s">
        <v>45</v>
      </c>
      <c r="C723" s="44" t="s">
        <v>2667</v>
      </c>
      <c r="D723" s="44" t="s">
        <v>15</v>
      </c>
      <c r="E723" s="44"/>
      <c r="F723" s="44"/>
      <c r="G723" s="91">
        <v>44473</v>
      </c>
      <c r="H723" s="91">
        <v>44699</v>
      </c>
      <c r="I723" s="88">
        <v>44699</v>
      </c>
      <c r="J723" s="40">
        <v>6</v>
      </c>
    </row>
    <row r="724" spans="1:10" s="40" customFormat="1" ht="36" customHeight="1">
      <c r="A724" s="54"/>
      <c r="B724" s="54" t="s">
        <v>45</v>
      </c>
      <c r="C724" s="44" t="s">
        <v>2668</v>
      </c>
      <c r="D724" s="44" t="s">
        <v>15</v>
      </c>
      <c r="E724" s="44"/>
      <c r="F724" s="44"/>
      <c r="G724" s="91">
        <v>44650</v>
      </c>
      <c r="H724" s="91">
        <v>44705</v>
      </c>
      <c r="I724" s="88">
        <v>44772</v>
      </c>
    </row>
    <row r="725" spans="1:10" s="40" customFormat="1" ht="36" customHeight="1">
      <c r="A725" s="54"/>
      <c r="B725" s="54" t="s">
        <v>1463</v>
      </c>
      <c r="C725" s="44" t="s">
        <v>2669</v>
      </c>
      <c r="D725" s="44" t="s">
        <v>15</v>
      </c>
      <c r="E725" s="44"/>
      <c r="F725" s="44"/>
      <c r="G725" s="91">
        <v>44580</v>
      </c>
      <c r="H725" s="91">
        <v>44714</v>
      </c>
      <c r="I725" s="88">
        <v>44700</v>
      </c>
    </row>
    <row r="726" spans="1:10" s="40" customFormat="1" ht="36" customHeight="1">
      <c r="A726" s="46"/>
      <c r="B726" s="31" t="s">
        <v>2621</v>
      </c>
      <c r="C726" s="16" t="s">
        <v>2670</v>
      </c>
      <c r="D726" s="54" t="s">
        <v>15</v>
      </c>
      <c r="E726" s="44" t="s">
        <v>15</v>
      </c>
      <c r="F726" s="31"/>
      <c r="G726" s="93">
        <v>44613</v>
      </c>
      <c r="H726" s="93">
        <v>44714</v>
      </c>
      <c r="I726" s="88">
        <v>44733</v>
      </c>
    </row>
    <row r="727" spans="1:10" s="40" customFormat="1" ht="23.85" customHeight="1">
      <c r="A727" s="54"/>
      <c r="B727" s="54" t="s">
        <v>2377</v>
      </c>
      <c r="C727" s="44" t="s">
        <v>2671</v>
      </c>
      <c r="D727" s="44" t="s">
        <v>15</v>
      </c>
      <c r="E727" s="44"/>
      <c r="F727" s="44"/>
      <c r="G727" s="91">
        <v>44644</v>
      </c>
      <c r="H727" s="91">
        <v>44715</v>
      </c>
      <c r="I727" s="88">
        <v>44715</v>
      </c>
    </row>
    <row r="728" spans="1:10" s="40" customFormat="1" ht="36" customHeight="1">
      <c r="A728" s="54"/>
      <c r="B728" s="54" t="s">
        <v>2621</v>
      </c>
      <c r="C728" s="44" t="s">
        <v>2672</v>
      </c>
      <c r="D728" s="44" t="s">
        <v>15</v>
      </c>
      <c r="E728" s="44"/>
      <c r="F728" s="44"/>
      <c r="G728" s="91">
        <v>44652</v>
      </c>
      <c r="H728" s="91">
        <v>44713</v>
      </c>
      <c r="I728" s="88">
        <v>44711</v>
      </c>
    </row>
    <row r="729" spans="1:10" s="40" customFormat="1" ht="36" customHeight="1">
      <c r="A729" s="44"/>
      <c r="B729" s="54" t="s">
        <v>2468</v>
      </c>
      <c r="C729" s="44" t="s">
        <v>2673</v>
      </c>
      <c r="D729" s="44" t="s">
        <v>2674</v>
      </c>
      <c r="E729" s="44"/>
      <c r="F729" s="44"/>
      <c r="G729" s="91">
        <v>44469</v>
      </c>
      <c r="H729" s="91">
        <v>44718</v>
      </c>
      <c r="I729" s="88">
        <v>44709</v>
      </c>
    </row>
    <row r="730" spans="1:10" s="40" customFormat="1" ht="36" customHeight="1">
      <c r="A730" s="46"/>
      <c r="B730" s="31" t="s">
        <v>1512</v>
      </c>
      <c r="C730" s="16" t="s">
        <v>2675</v>
      </c>
      <c r="D730" s="44" t="s">
        <v>149</v>
      </c>
      <c r="E730" s="44" t="s">
        <v>149</v>
      </c>
      <c r="F730" s="16"/>
      <c r="G730" s="94">
        <v>43957</v>
      </c>
      <c r="H730" s="94" t="s">
        <v>2676</v>
      </c>
      <c r="I730" s="89">
        <v>44687</v>
      </c>
    </row>
    <row r="731" spans="1:10" s="40" customFormat="1" ht="36" customHeight="1">
      <c r="A731" s="44"/>
      <c r="B731" s="54" t="s">
        <v>2547</v>
      </c>
      <c r="C731" s="44" t="s">
        <v>2677</v>
      </c>
      <c r="D731" s="44" t="s">
        <v>80</v>
      </c>
      <c r="E731" s="44"/>
      <c r="F731" s="44"/>
      <c r="G731" s="91">
        <v>44705</v>
      </c>
      <c r="H731" s="91">
        <v>44729</v>
      </c>
      <c r="I731" s="88">
        <v>44736</v>
      </c>
    </row>
    <row r="732" spans="1:10" s="40" customFormat="1" ht="35.1" customHeight="1">
      <c r="A732" s="46"/>
      <c r="B732" s="31" t="s">
        <v>2460</v>
      </c>
      <c r="C732" s="16" t="s">
        <v>2678</v>
      </c>
      <c r="D732" s="44" t="s">
        <v>15</v>
      </c>
      <c r="E732" s="15"/>
      <c r="F732" s="16"/>
      <c r="G732" s="94">
        <v>44203</v>
      </c>
      <c r="H732" s="94">
        <v>44713</v>
      </c>
      <c r="I732" s="89">
        <v>44719</v>
      </c>
      <c r="J732" s="40">
        <v>133</v>
      </c>
    </row>
    <row r="733" spans="1:10" s="40" customFormat="1" ht="36" customHeight="1">
      <c r="A733" s="79"/>
      <c r="B733" s="31" t="s">
        <v>2483</v>
      </c>
      <c r="C733" s="16" t="s">
        <v>2679</v>
      </c>
      <c r="D733" s="44" t="s">
        <v>44</v>
      </c>
      <c r="E733" s="44" t="s">
        <v>44</v>
      </c>
      <c r="F733" s="16"/>
      <c r="G733" s="94">
        <v>43739</v>
      </c>
      <c r="H733" s="94">
        <v>44691</v>
      </c>
      <c r="I733" s="89">
        <v>44709</v>
      </c>
    </row>
    <row r="734" spans="1:10" s="40" customFormat="1" ht="36.6" customHeight="1">
      <c r="A734" s="44"/>
      <c r="B734" s="54" t="s">
        <v>2680</v>
      </c>
      <c r="C734" s="44" t="s">
        <v>2681</v>
      </c>
      <c r="D734" s="44" t="s">
        <v>2682</v>
      </c>
      <c r="E734" s="44"/>
      <c r="F734" s="44"/>
      <c r="G734" s="91">
        <v>44532</v>
      </c>
      <c r="H734" s="91" t="s">
        <v>2683</v>
      </c>
      <c r="I734" s="88">
        <v>44739</v>
      </c>
    </row>
    <row r="735" spans="1:10" s="40" customFormat="1" ht="36" customHeight="1">
      <c r="A735" s="44"/>
      <c r="B735" s="54" t="s">
        <v>1463</v>
      </c>
      <c r="C735" s="44" t="s">
        <v>2056</v>
      </c>
      <c r="D735" s="44" t="s">
        <v>2684</v>
      </c>
      <c r="E735" s="44"/>
      <c r="F735" s="44"/>
      <c r="G735" s="91">
        <v>44609</v>
      </c>
      <c r="H735" s="91">
        <v>44740</v>
      </c>
      <c r="I735" s="88">
        <v>44740</v>
      </c>
    </row>
    <row r="736" spans="1:10" s="40" customFormat="1" ht="36" customHeight="1">
      <c r="A736" s="44"/>
      <c r="B736" s="54" t="s">
        <v>90</v>
      </c>
      <c r="C736" s="44" t="s">
        <v>2685</v>
      </c>
      <c r="D736" s="44" t="s">
        <v>2686</v>
      </c>
      <c r="E736" s="44"/>
      <c r="F736" s="44"/>
      <c r="G736" s="91"/>
      <c r="H736" s="91">
        <v>44743</v>
      </c>
      <c r="I736" s="88">
        <v>44750</v>
      </c>
    </row>
    <row r="737" spans="1:10" s="40" customFormat="1" ht="36" customHeight="1">
      <c r="A737" s="46"/>
      <c r="B737" s="31" t="s">
        <v>2687</v>
      </c>
      <c r="C737" s="16" t="s">
        <v>2688</v>
      </c>
      <c r="D737" s="54" t="s">
        <v>15</v>
      </c>
      <c r="E737" s="44"/>
      <c r="F737" s="31"/>
      <c r="G737" s="93">
        <v>44383</v>
      </c>
      <c r="H737" s="93">
        <v>44733</v>
      </c>
      <c r="I737" s="88">
        <v>44733</v>
      </c>
      <c r="J737" s="40">
        <v>54</v>
      </c>
    </row>
    <row r="738" spans="1:10" s="40" customFormat="1" ht="36" customHeight="1">
      <c r="A738" s="46"/>
      <c r="B738" s="31" t="s">
        <v>1415</v>
      </c>
      <c r="C738" s="16" t="s">
        <v>2689</v>
      </c>
      <c r="D738" s="54" t="s">
        <v>2690</v>
      </c>
      <c r="E738" s="44"/>
      <c r="F738" s="31"/>
      <c r="G738" s="93">
        <v>44384</v>
      </c>
      <c r="H738" s="93">
        <v>44739</v>
      </c>
      <c r="I738" s="88">
        <v>44749</v>
      </c>
    </row>
    <row r="739" spans="1:10" s="40" customFormat="1" ht="36" customHeight="1">
      <c r="A739" s="44"/>
      <c r="B739" s="54" t="s">
        <v>1850</v>
      </c>
      <c r="C739" s="44" t="s">
        <v>2691</v>
      </c>
      <c r="D739" s="44" t="s">
        <v>498</v>
      </c>
      <c r="E739" s="44"/>
      <c r="F739" s="44"/>
      <c r="G739" s="91">
        <v>44719</v>
      </c>
      <c r="H739" s="91">
        <v>44742</v>
      </c>
      <c r="I739" s="88">
        <v>44749</v>
      </c>
    </row>
    <row r="740" spans="1:10" s="40" customFormat="1" ht="36" customHeight="1">
      <c r="A740" s="54"/>
      <c r="B740" s="54" t="s">
        <v>2523</v>
      </c>
      <c r="C740" s="44" t="s">
        <v>2692</v>
      </c>
      <c r="D740" s="44" t="s">
        <v>44</v>
      </c>
      <c r="E740" s="44"/>
      <c r="F740" s="44"/>
      <c r="G740" s="91">
        <v>44578</v>
      </c>
      <c r="H740" s="91">
        <v>44749</v>
      </c>
      <c r="I740" s="88">
        <v>44759</v>
      </c>
    </row>
    <row r="741" spans="1:10" s="40" customFormat="1" ht="36" customHeight="1">
      <c r="A741" s="54"/>
      <c r="B741" s="54" t="s">
        <v>75</v>
      </c>
      <c r="C741" s="44" t="s">
        <v>2693</v>
      </c>
      <c r="D741" s="44" t="s">
        <v>15</v>
      </c>
      <c r="E741" s="44"/>
      <c r="F741" s="44"/>
      <c r="G741" s="91" t="s">
        <v>2694</v>
      </c>
      <c r="H741" s="91"/>
      <c r="I741" s="88">
        <v>44754</v>
      </c>
    </row>
    <row r="742" spans="1:10" s="40" customFormat="1" ht="36" customHeight="1">
      <c r="A742" s="54"/>
      <c r="B742" s="54" t="s">
        <v>822</v>
      </c>
      <c r="C742" s="44" t="s">
        <v>1647</v>
      </c>
      <c r="D742" s="44" t="s">
        <v>15</v>
      </c>
      <c r="E742" s="44"/>
      <c r="F742" s="44"/>
      <c r="G742" s="91">
        <v>44638</v>
      </c>
      <c r="H742" s="91">
        <v>44749</v>
      </c>
      <c r="I742" s="88">
        <v>44749</v>
      </c>
    </row>
    <row r="743" spans="1:10" s="40" customFormat="1" ht="36" customHeight="1">
      <c r="A743" s="54"/>
      <c r="B743" s="54" t="s">
        <v>1463</v>
      </c>
      <c r="C743" s="44" t="s">
        <v>2695</v>
      </c>
      <c r="D743" s="44" t="s">
        <v>1465</v>
      </c>
      <c r="E743" s="44"/>
      <c r="F743" s="44"/>
      <c r="G743" s="91">
        <v>44740</v>
      </c>
      <c r="H743" s="91">
        <v>44756</v>
      </c>
      <c r="I743" s="88">
        <v>44770</v>
      </c>
    </row>
    <row r="744" spans="1:10" s="40" customFormat="1" ht="36" customHeight="1">
      <c r="A744" s="44"/>
      <c r="B744" s="54" t="s">
        <v>2696</v>
      </c>
      <c r="C744" s="44" t="s">
        <v>2697</v>
      </c>
      <c r="D744" s="44" t="s">
        <v>167</v>
      </c>
      <c r="E744" s="44" t="s">
        <v>2698</v>
      </c>
      <c r="F744" s="44"/>
      <c r="G744" s="91">
        <v>44515</v>
      </c>
      <c r="H744" s="91" t="s">
        <v>2699</v>
      </c>
      <c r="I744" s="88">
        <v>44761</v>
      </c>
      <c r="J744" s="40">
        <v>54</v>
      </c>
    </row>
    <row r="745" spans="1:10" s="40" customFormat="1" ht="36" customHeight="1">
      <c r="A745" s="44"/>
      <c r="B745" s="54" t="s">
        <v>267</v>
      </c>
      <c r="C745" s="44" t="s">
        <v>2700</v>
      </c>
      <c r="D745" s="44" t="s">
        <v>18</v>
      </c>
      <c r="E745" s="44"/>
      <c r="F745" s="44"/>
      <c r="G745" s="91">
        <v>44729</v>
      </c>
      <c r="H745" s="91" t="s">
        <v>2701</v>
      </c>
      <c r="I745" s="88">
        <v>44759</v>
      </c>
    </row>
    <row r="746" spans="1:10" s="40" customFormat="1" ht="28.5" customHeight="1">
      <c r="A746" s="101"/>
      <c r="B746" s="44" t="s">
        <v>2702</v>
      </c>
      <c r="C746" s="44" t="s">
        <v>2703</v>
      </c>
      <c r="D746" s="44" t="s">
        <v>15</v>
      </c>
      <c r="E746" s="44"/>
      <c r="F746" s="44"/>
      <c r="G746" s="91">
        <v>44531</v>
      </c>
      <c r="H746" s="91" t="s">
        <v>2704</v>
      </c>
      <c r="I746" s="88">
        <v>44747</v>
      </c>
      <c r="J746" s="40">
        <v>6</v>
      </c>
    </row>
    <row r="747" spans="1:10" s="40" customFormat="1" ht="36" customHeight="1">
      <c r="A747" s="46"/>
      <c r="B747" s="31" t="s">
        <v>16</v>
      </c>
      <c r="C747" s="16" t="s">
        <v>2705</v>
      </c>
      <c r="D747" s="54" t="s">
        <v>89</v>
      </c>
      <c r="E747" s="44"/>
      <c r="F747" s="31"/>
      <c r="G747" s="93">
        <v>44431</v>
      </c>
      <c r="H747" s="93">
        <v>44767</v>
      </c>
      <c r="I747" s="88">
        <v>44765</v>
      </c>
    </row>
    <row r="748" spans="1:10" s="40" customFormat="1" ht="36" customHeight="1">
      <c r="A748" s="46"/>
      <c r="B748" s="31" t="s">
        <v>37</v>
      </c>
      <c r="C748" s="16" t="s">
        <v>2706</v>
      </c>
      <c r="D748" s="44" t="s">
        <v>80</v>
      </c>
      <c r="E748" s="44" t="s">
        <v>15</v>
      </c>
      <c r="F748" s="31"/>
      <c r="G748" s="92">
        <v>43850</v>
      </c>
      <c r="H748" s="92">
        <v>44785</v>
      </c>
      <c r="I748" s="88">
        <v>44785</v>
      </c>
      <c r="J748" s="40">
        <v>235</v>
      </c>
    </row>
    <row r="749" spans="1:10" s="40" customFormat="1" ht="27" customHeight="1">
      <c r="A749" s="57"/>
      <c r="B749" s="31" t="s">
        <v>1694</v>
      </c>
      <c r="C749" s="16" t="s">
        <v>2707</v>
      </c>
      <c r="D749" s="44" t="s">
        <v>2708</v>
      </c>
      <c r="E749" s="44" t="s">
        <v>2709</v>
      </c>
      <c r="F749" s="25"/>
      <c r="G749" s="94">
        <v>43500</v>
      </c>
      <c r="H749" s="94">
        <v>44783</v>
      </c>
      <c r="I749" s="89">
        <v>44783</v>
      </c>
    </row>
    <row r="750" spans="1:10" s="40" customFormat="1" ht="25.35" customHeight="1">
      <c r="A750" s="44"/>
      <c r="B750" s="54" t="s">
        <v>2710</v>
      </c>
      <c r="C750" s="44" t="s">
        <v>2711</v>
      </c>
      <c r="D750" s="44" t="s">
        <v>15</v>
      </c>
      <c r="E750" s="44" t="s">
        <v>15</v>
      </c>
      <c r="F750" s="44"/>
      <c r="G750" s="91">
        <v>44047</v>
      </c>
      <c r="H750" s="91">
        <v>44798</v>
      </c>
      <c r="I750" s="88">
        <v>44808</v>
      </c>
      <c r="J750" s="40">
        <v>52</v>
      </c>
    </row>
    <row r="751" spans="1:10" s="40" customFormat="1" ht="36" customHeight="1">
      <c r="A751" s="46"/>
      <c r="B751" s="31" t="s">
        <v>155</v>
      </c>
      <c r="C751" s="16" t="s">
        <v>2712</v>
      </c>
      <c r="D751" s="44" t="s">
        <v>15</v>
      </c>
      <c r="E751" s="15"/>
      <c r="F751" s="16"/>
      <c r="G751" s="94">
        <v>44131</v>
      </c>
      <c r="H751" s="94">
        <v>44790</v>
      </c>
      <c r="I751" s="89">
        <v>44800</v>
      </c>
      <c r="J751" s="40">
        <v>21</v>
      </c>
    </row>
    <row r="752" spans="1:10" s="40" customFormat="1" ht="36" customHeight="1">
      <c r="A752" s="46"/>
      <c r="B752" s="31" t="s">
        <v>2713</v>
      </c>
      <c r="C752" s="16" t="s">
        <v>2714</v>
      </c>
      <c r="D752" s="44" t="s">
        <v>15</v>
      </c>
      <c r="E752" s="15"/>
      <c r="F752" s="16"/>
      <c r="G752" s="94">
        <v>44802</v>
      </c>
      <c r="H752" s="94"/>
      <c r="I752" s="89">
        <v>44833</v>
      </c>
    </row>
    <row r="753" spans="1:10" s="40" customFormat="1" ht="36" customHeight="1">
      <c r="A753" s="44"/>
      <c r="B753" s="54" t="s">
        <v>2715</v>
      </c>
      <c r="C753" s="44" t="s">
        <v>2716</v>
      </c>
      <c r="D753" s="44" t="s">
        <v>2717</v>
      </c>
      <c r="E753" s="44"/>
      <c r="F753" s="44"/>
      <c r="G753" s="91">
        <v>44461</v>
      </c>
      <c r="H753" s="91">
        <v>44789</v>
      </c>
      <c r="I753" s="88">
        <v>44789</v>
      </c>
    </row>
    <row r="754" spans="1:10" s="40" customFormat="1" ht="36" customHeight="1">
      <c r="A754" s="46"/>
      <c r="B754" s="31" t="s">
        <v>248</v>
      </c>
      <c r="C754" s="16" t="s">
        <v>2718</v>
      </c>
      <c r="D754" s="54" t="s">
        <v>18</v>
      </c>
      <c r="E754" s="44"/>
      <c r="F754" s="31"/>
      <c r="G754" s="93">
        <v>44435</v>
      </c>
      <c r="H754" s="93">
        <v>44788</v>
      </c>
      <c r="I754" s="88">
        <v>44788</v>
      </c>
    </row>
    <row r="755" spans="1:10" s="40" customFormat="1" ht="25.35" customHeight="1">
      <c r="A755" s="44"/>
      <c r="B755" s="54" t="s">
        <v>2520</v>
      </c>
      <c r="C755" s="44" t="s">
        <v>2719</v>
      </c>
      <c r="D755" s="44" t="s">
        <v>15</v>
      </c>
      <c r="E755" s="44"/>
      <c r="F755" s="44"/>
      <c r="G755" s="91">
        <v>44685</v>
      </c>
      <c r="H755" s="91">
        <v>44812</v>
      </c>
      <c r="I755" s="88">
        <v>44808</v>
      </c>
    </row>
    <row r="756" spans="1:10">
      <c r="A756" s="44"/>
      <c r="B756" s="31" t="s">
        <v>1191</v>
      </c>
      <c r="C756" s="16" t="s">
        <v>2720</v>
      </c>
      <c r="D756" s="44" t="s">
        <v>89</v>
      </c>
      <c r="E756" s="44" t="s">
        <v>89</v>
      </c>
      <c r="F756" s="16"/>
      <c r="G756" s="91">
        <v>44819</v>
      </c>
      <c r="H756" s="1"/>
      <c r="I756" s="88">
        <v>44849</v>
      </c>
    </row>
    <row r="757" spans="1:10" s="40" customFormat="1" ht="36" customHeight="1">
      <c r="A757" s="44"/>
      <c r="B757" s="54" t="s">
        <v>2721</v>
      </c>
      <c r="C757" s="44" t="s">
        <v>2722</v>
      </c>
      <c r="D757" s="44" t="s">
        <v>15</v>
      </c>
      <c r="E757" s="44"/>
      <c r="F757" s="44"/>
      <c r="G757" s="91">
        <v>44470</v>
      </c>
      <c r="H757" s="91" t="s">
        <v>2723</v>
      </c>
      <c r="I757" s="88">
        <v>44804</v>
      </c>
      <c r="J757" s="40">
        <v>140</v>
      </c>
    </row>
    <row r="758" spans="1:10" s="40" customFormat="1" ht="36" customHeight="1">
      <c r="A758" s="44"/>
      <c r="B758" s="54" t="s">
        <v>2468</v>
      </c>
      <c r="C758" s="44" t="s">
        <v>2724</v>
      </c>
      <c r="D758" s="44" t="s">
        <v>2725</v>
      </c>
      <c r="E758" s="44"/>
      <c r="F758" s="44"/>
      <c r="G758" s="91">
        <v>44372</v>
      </c>
      <c r="H758" s="91">
        <v>44823</v>
      </c>
      <c r="I758" s="88">
        <v>44829</v>
      </c>
    </row>
    <row r="759" spans="1:10" s="40" customFormat="1" ht="35.1" customHeight="1">
      <c r="A759" s="101"/>
      <c r="B759" s="54" t="s">
        <v>2726</v>
      </c>
      <c r="C759" s="44" t="s">
        <v>2727</v>
      </c>
      <c r="D759" s="44" t="s">
        <v>15</v>
      </c>
      <c r="E759" s="44"/>
      <c r="F759" s="77"/>
      <c r="G759" s="91">
        <v>44531</v>
      </c>
      <c r="H759" s="91" t="s">
        <v>2728</v>
      </c>
      <c r="I759" s="88">
        <v>44804</v>
      </c>
      <c r="J759" s="118">
        <v>45</v>
      </c>
    </row>
    <row r="760" spans="1:10" s="40" customFormat="1" ht="36" customHeight="1">
      <c r="A760" s="54"/>
      <c r="B760" s="54" t="s">
        <v>2729</v>
      </c>
      <c r="C760" s="44" t="s">
        <v>2730</v>
      </c>
      <c r="D760" s="44" t="s">
        <v>2731</v>
      </c>
      <c r="E760" s="44"/>
      <c r="F760" s="44"/>
      <c r="G760" s="91">
        <v>44777</v>
      </c>
      <c r="H760" s="91">
        <v>44828</v>
      </c>
      <c r="I760" s="88">
        <v>44828</v>
      </c>
    </row>
    <row r="761" spans="1:10" s="40" customFormat="1" ht="28.5" customHeight="1">
      <c r="A761" s="46"/>
      <c r="B761" s="31" t="s">
        <v>2732</v>
      </c>
      <c r="C761" s="16" t="s">
        <v>2733</v>
      </c>
      <c r="D761" s="54" t="s">
        <v>15</v>
      </c>
      <c r="E761" s="44"/>
      <c r="F761" s="31"/>
      <c r="G761" s="93">
        <v>44428</v>
      </c>
      <c r="H761" s="93">
        <v>44791</v>
      </c>
      <c r="I761" s="88">
        <v>44793</v>
      </c>
      <c r="J761" s="40">
        <v>438</v>
      </c>
    </row>
    <row r="762" spans="1:10" s="40" customFormat="1" ht="28.5" customHeight="1">
      <c r="A762" s="101"/>
      <c r="B762" s="54" t="s">
        <v>2734</v>
      </c>
      <c r="C762" s="44" t="s">
        <v>2735</v>
      </c>
      <c r="D762" s="44" t="s">
        <v>15</v>
      </c>
      <c r="E762" s="44"/>
      <c r="F762" s="44"/>
      <c r="G762" s="91">
        <v>44531</v>
      </c>
      <c r="H762" s="91">
        <v>44827</v>
      </c>
      <c r="I762" s="88">
        <v>44833</v>
      </c>
      <c r="J762" s="40">
        <v>30</v>
      </c>
    </row>
    <row r="763" spans="1:10" s="40" customFormat="1" ht="35.1" customHeight="1">
      <c r="A763" s="46"/>
      <c r="B763" s="31" t="s">
        <v>2736</v>
      </c>
      <c r="C763" s="16" t="s">
        <v>2737</v>
      </c>
      <c r="D763" s="54" t="s">
        <v>44</v>
      </c>
      <c r="E763" s="44"/>
      <c r="F763" s="31"/>
      <c r="G763" s="93">
        <v>44379</v>
      </c>
      <c r="H763" s="93">
        <v>44799</v>
      </c>
      <c r="I763" s="88">
        <v>44806</v>
      </c>
      <c r="J763" s="40">
        <v>327</v>
      </c>
    </row>
    <row r="764" spans="1:10" s="40" customFormat="1" ht="28.5" customHeight="1">
      <c r="A764" s="44"/>
      <c r="B764" s="54" t="s">
        <v>2738</v>
      </c>
      <c r="C764" s="44" t="s">
        <v>2739</v>
      </c>
      <c r="D764" s="44" t="s">
        <v>15</v>
      </c>
      <c r="E764" s="44"/>
      <c r="F764" s="44"/>
      <c r="G764" s="91">
        <v>44718</v>
      </c>
      <c r="H764" s="91">
        <v>44816</v>
      </c>
      <c r="I764" s="88">
        <v>44840</v>
      </c>
    </row>
    <row r="765" spans="1:10" s="40" customFormat="1" ht="36" customHeight="1">
      <c r="A765" s="46"/>
      <c r="B765" s="31" t="s">
        <v>1463</v>
      </c>
      <c r="C765" s="16" t="s">
        <v>2740</v>
      </c>
      <c r="D765" s="54" t="s">
        <v>44</v>
      </c>
      <c r="E765" s="44" t="s">
        <v>44</v>
      </c>
      <c r="F765" s="31"/>
      <c r="G765" s="93">
        <v>44418</v>
      </c>
      <c r="H765" s="93" t="s">
        <v>2741</v>
      </c>
      <c r="I765" s="88">
        <v>44844</v>
      </c>
      <c r="J765" s="40">
        <v>44</v>
      </c>
    </row>
    <row r="766" spans="1:10" s="40" customFormat="1" ht="36" customHeight="1">
      <c r="A766" s="54"/>
      <c r="B766" s="54" t="s">
        <v>2742</v>
      </c>
      <c r="C766" s="44" t="s">
        <v>2743</v>
      </c>
      <c r="D766" s="44" t="s">
        <v>89</v>
      </c>
      <c r="E766" s="44"/>
      <c r="F766" s="44"/>
      <c r="G766" s="91">
        <v>44651</v>
      </c>
      <c r="H766" s="91">
        <v>44851</v>
      </c>
      <c r="I766" s="88">
        <v>44851</v>
      </c>
    </row>
    <row r="767" spans="1:10" s="40" customFormat="1" ht="36" customHeight="1">
      <c r="A767" s="44"/>
      <c r="B767" s="54" t="s">
        <v>2744</v>
      </c>
      <c r="C767" s="44" t="s">
        <v>2745</v>
      </c>
      <c r="D767" s="44" t="s">
        <v>18</v>
      </c>
      <c r="E767" s="44"/>
      <c r="F767" s="44"/>
      <c r="G767" s="91">
        <v>44550</v>
      </c>
      <c r="H767" s="91">
        <v>44846</v>
      </c>
      <c r="I767" s="88">
        <v>44846</v>
      </c>
    </row>
    <row r="768" spans="1:10" s="40" customFormat="1" ht="36" customHeight="1">
      <c r="A768" s="46"/>
      <c r="B768" s="31" t="s">
        <v>2022</v>
      </c>
      <c r="C768" s="16" t="s">
        <v>2746</v>
      </c>
      <c r="D768" s="44" t="s">
        <v>15</v>
      </c>
      <c r="E768" s="15"/>
      <c r="F768" s="16"/>
      <c r="G768" s="94">
        <v>44284</v>
      </c>
      <c r="H768" s="94">
        <v>44839</v>
      </c>
      <c r="I768" s="89">
        <v>44839</v>
      </c>
    </row>
    <row r="769" spans="1:10" s="40" customFormat="1" ht="28.5" customHeight="1">
      <c r="A769" s="44"/>
      <c r="B769" s="54" t="s">
        <v>2747</v>
      </c>
      <c r="C769" s="44" t="s">
        <v>2748</v>
      </c>
      <c r="D769" s="44" t="s">
        <v>120</v>
      </c>
      <c r="E769" s="44"/>
      <c r="F769" s="44"/>
      <c r="G769" s="91">
        <v>44720</v>
      </c>
      <c r="H769" s="91">
        <v>44853</v>
      </c>
      <c r="I769" s="88">
        <v>44853</v>
      </c>
    </row>
    <row r="770" spans="1:10" s="40" customFormat="1" ht="36" customHeight="1">
      <c r="A770" s="54"/>
      <c r="B770" s="54" t="s">
        <v>2749</v>
      </c>
      <c r="C770" s="44" t="s">
        <v>2750</v>
      </c>
      <c r="D770" s="44" t="s">
        <v>2751</v>
      </c>
      <c r="E770" s="44"/>
      <c r="F770" s="44"/>
      <c r="G770" s="91">
        <v>44573</v>
      </c>
      <c r="H770" s="91" t="s">
        <v>2752</v>
      </c>
      <c r="I770" s="88">
        <v>44854</v>
      </c>
    </row>
    <row r="771" spans="1:10" s="40" customFormat="1" ht="36" customHeight="1">
      <c r="A771" s="44"/>
      <c r="B771" s="54" t="s">
        <v>2753</v>
      </c>
      <c r="C771" s="44" t="s">
        <v>2754</v>
      </c>
      <c r="D771" s="44" t="s">
        <v>2755</v>
      </c>
      <c r="E771" s="44"/>
      <c r="F771" s="44"/>
      <c r="G771" s="91">
        <v>44560</v>
      </c>
      <c r="H771" s="91">
        <v>44859</v>
      </c>
      <c r="I771" s="88">
        <v>44864</v>
      </c>
    </row>
    <row r="772" spans="1:10" s="40" customFormat="1" ht="36" customHeight="1">
      <c r="A772" s="46"/>
      <c r="B772" s="31" t="s">
        <v>2377</v>
      </c>
      <c r="C772" s="16" t="s">
        <v>2756</v>
      </c>
      <c r="D772" s="54" t="s">
        <v>89</v>
      </c>
      <c r="E772" s="44"/>
      <c r="F772" s="31"/>
      <c r="G772" s="93">
        <v>44441</v>
      </c>
      <c r="H772" s="93">
        <v>44855</v>
      </c>
      <c r="I772" s="88">
        <v>44855</v>
      </c>
    </row>
    <row r="773" spans="1:10" s="40" customFormat="1" ht="36" customHeight="1">
      <c r="A773" s="46"/>
      <c r="B773" s="31" t="s">
        <v>150</v>
      </c>
      <c r="C773" s="16" t="s">
        <v>2757</v>
      </c>
      <c r="D773" s="44" t="s">
        <v>1234</v>
      </c>
      <c r="E773" s="15" t="s">
        <v>1234</v>
      </c>
      <c r="F773" s="16"/>
      <c r="G773" s="94">
        <v>44075</v>
      </c>
      <c r="H773" s="94">
        <v>44859</v>
      </c>
      <c r="I773" s="89">
        <v>44859</v>
      </c>
    </row>
    <row r="774" spans="1:10" s="40" customFormat="1" ht="29.85" customHeight="1">
      <c r="A774" s="54"/>
      <c r="B774" s="54" t="s">
        <v>168</v>
      </c>
      <c r="C774" s="44" t="s">
        <v>2758</v>
      </c>
      <c r="D774" s="44" t="s">
        <v>2759</v>
      </c>
      <c r="E774" s="44"/>
      <c r="F774" s="44"/>
      <c r="G774" s="91">
        <v>44630</v>
      </c>
      <c r="H774" s="91" t="s">
        <v>2760</v>
      </c>
      <c r="I774" s="88">
        <v>44868</v>
      </c>
    </row>
    <row r="775" spans="1:10" s="40" customFormat="1" ht="28.5" customHeight="1">
      <c r="A775" s="46"/>
      <c r="B775" s="31" t="s">
        <v>2465</v>
      </c>
      <c r="C775" s="16" t="s">
        <v>2761</v>
      </c>
      <c r="D775" s="54" t="s">
        <v>15</v>
      </c>
      <c r="E775" s="44"/>
      <c r="F775" s="31"/>
      <c r="G775" s="93">
        <v>44375</v>
      </c>
      <c r="H775" s="93">
        <v>44859</v>
      </c>
      <c r="I775" s="88">
        <v>44862</v>
      </c>
      <c r="J775" s="40">
        <v>4</v>
      </c>
    </row>
    <row r="776" spans="1:10" s="40" customFormat="1" ht="36" customHeight="1">
      <c r="A776" s="44"/>
      <c r="B776" s="54" t="s">
        <v>2762</v>
      </c>
      <c r="C776" s="44" t="s">
        <v>2763</v>
      </c>
      <c r="D776" s="44" t="s">
        <v>2764</v>
      </c>
      <c r="E776" s="44" t="s">
        <v>2765</v>
      </c>
      <c r="F776" s="44"/>
      <c r="G776" s="91" t="s">
        <v>2766</v>
      </c>
      <c r="H776" s="91" t="s">
        <v>2767</v>
      </c>
      <c r="I776" s="88">
        <v>44785</v>
      </c>
    </row>
    <row r="777" spans="1:10" s="40" customFormat="1" ht="36" customHeight="1">
      <c r="A777" s="44"/>
      <c r="B777" s="54" t="s">
        <v>2154</v>
      </c>
      <c r="C777" s="44" t="s">
        <v>2768</v>
      </c>
      <c r="D777" s="44" t="s">
        <v>18</v>
      </c>
      <c r="E777" s="44"/>
      <c r="F777" s="44"/>
      <c r="G777" s="91">
        <v>44718</v>
      </c>
      <c r="H777" s="91" t="s">
        <v>2769</v>
      </c>
      <c r="I777" s="88">
        <v>44840</v>
      </c>
    </row>
    <row r="778" spans="1:10" s="40" customFormat="1" ht="36" customHeight="1">
      <c r="A778" s="54"/>
      <c r="B778" s="54" t="s">
        <v>2460</v>
      </c>
      <c r="C778" s="54" t="s">
        <v>1727</v>
      </c>
      <c r="D778" s="54" t="s">
        <v>15</v>
      </c>
      <c r="E778" s="54"/>
      <c r="F778" s="111"/>
      <c r="G778" s="112">
        <v>44713</v>
      </c>
      <c r="H778" s="112">
        <v>44886</v>
      </c>
      <c r="I778" s="88">
        <v>44886</v>
      </c>
    </row>
    <row r="779" spans="1:10" s="40" customFormat="1" ht="36" customHeight="1">
      <c r="A779" s="54"/>
      <c r="B779" s="54" t="s">
        <v>2770</v>
      </c>
      <c r="C779" s="44" t="s">
        <v>2771</v>
      </c>
      <c r="D779" s="44" t="s">
        <v>15</v>
      </c>
      <c r="E779" s="44"/>
      <c r="F779" s="44"/>
      <c r="G779" s="91">
        <v>44763</v>
      </c>
      <c r="H779" s="91">
        <v>44866</v>
      </c>
      <c r="I779" s="88">
        <v>44886</v>
      </c>
    </row>
    <row r="780" spans="1:10" s="40" customFormat="1" ht="36" customHeight="1">
      <c r="A780" s="46"/>
      <c r="B780" s="31" t="s">
        <v>75</v>
      </c>
      <c r="C780" s="16" t="s">
        <v>1196</v>
      </c>
      <c r="D780" s="54" t="s">
        <v>18</v>
      </c>
      <c r="E780" s="44" t="s">
        <v>18</v>
      </c>
      <c r="F780" s="31"/>
      <c r="G780" s="93">
        <v>44354</v>
      </c>
      <c r="H780" s="93" t="s">
        <v>2772</v>
      </c>
      <c r="I780" s="88">
        <v>44872</v>
      </c>
    </row>
    <row r="781" spans="1:10" s="40" customFormat="1" ht="36" customHeight="1">
      <c r="A781" s="46"/>
      <c r="B781" s="31" t="s">
        <v>2773</v>
      </c>
      <c r="C781" s="16" t="s">
        <v>2774</v>
      </c>
      <c r="D781" s="44" t="s">
        <v>15</v>
      </c>
      <c r="E781" s="44"/>
      <c r="F781" s="16"/>
      <c r="G781" s="91">
        <v>44811</v>
      </c>
      <c r="H781" s="94">
        <v>44879</v>
      </c>
      <c r="I781" s="88">
        <v>44902</v>
      </c>
    </row>
    <row r="782" spans="1:10" s="40" customFormat="1" ht="36" customHeight="1">
      <c r="A782" s="44"/>
      <c r="B782" s="54" t="s">
        <v>2520</v>
      </c>
      <c r="C782" s="44" t="s">
        <v>2775</v>
      </c>
      <c r="D782" s="44" t="s">
        <v>15</v>
      </c>
      <c r="E782" s="44"/>
      <c r="F782" s="44"/>
      <c r="G782" s="91">
        <v>44734</v>
      </c>
      <c r="H782" s="91">
        <v>44881</v>
      </c>
      <c r="I782" s="88">
        <v>44887</v>
      </c>
    </row>
    <row r="783" spans="1:10" s="40" customFormat="1" ht="24" customHeight="1">
      <c r="A783" s="54"/>
      <c r="B783" s="54" t="s">
        <v>2776</v>
      </c>
      <c r="C783" s="44" t="s">
        <v>2777</v>
      </c>
      <c r="D783" s="44" t="s">
        <v>15</v>
      </c>
      <c r="E783" s="44"/>
      <c r="F783" s="44"/>
      <c r="G783" s="91">
        <v>44630</v>
      </c>
      <c r="H783" s="91">
        <v>44894</v>
      </c>
      <c r="I783" s="88">
        <v>44894</v>
      </c>
    </row>
    <row r="784" spans="1:10" s="40" customFormat="1" ht="42.6" customHeight="1">
      <c r="A784" s="44" t="s">
        <v>2778</v>
      </c>
      <c r="B784" s="54" t="s">
        <v>2710</v>
      </c>
      <c r="C784" s="44" t="s">
        <v>2779</v>
      </c>
      <c r="D784" s="44" t="s">
        <v>89</v>
      </c>
      <c r="E784" s="44"/>
      <c r="F784" s="44"/>
      <c r="G784" s="91">
        <v>44292</v>
      </c>
      <c r="H784" s="91" t="s">
        <v>2780</v>
      </c>
      <c r="I784" s="88">
        <v>44871</v>
      </c>
    </row>
    <row r="785" spans="1:10" s="40" customFormat="1" ht="29.25" customHeight="1">
      <c r="A785" s="101"/>
      <c r="B785" s="54" t="s">
        <v>2781</v>
      </c>
      <c r="C785" s="44" t="s">
        <v>2782</v>
      </c>
      <c r="D785" s="44" t="s">
        <v>15</v>
      </c>
      <c r="E785" s="44"/>
      <c r="F785" s="109"/>
      <c r="G785" s="91">
        <v>44531</v>
      </c>
      <c r="H785" s="91">
        <v>44888</v>
      </c>
      <c r="I785" s="88">
        <v>44888</v>
      </c>
      <c r="J785" s="40">
        <v>16</v>
      </c>
    </row>
    <row r="786" spans="1:10" s="40" customFormat="1" ht="26.1" customHeight="1">
      <c r="A786" s="54"/>
      <c r="B786" s="54" t="s">
        <v>2783</v>
      </c>
      <c r="C786" s="44" t="s">
        <v>2784</v>
      </c>
      <c r="D786" s="44" t="s">
        <v>15</v>
      </c>
      <c r="E786" s="44"/>
      <c r="F786" s="109" t="s">
        <v>2785</v>
      </c>
      <c r="G786" s="91">
        <v>44769</v>
      </c>
      <c r="H786" s="91">
        <v>44868</v>
      </c>
      <c r="I786" s="88">
        <v>44868</v>
      </c>
    </row>
    <row r="787" spans="1:10" s="40" customFormat="1" ht="35.1" customHeight="1">
      <c r="A787" s="54"/>
      <c r="B787" s="54" t="s">
        <v>2783</v>
      </c>
      <c r="C787" s="44" t="s">
        <v>2786</v>
      </c>
      <c r="D787" s="44" t="s">
        <v>15</v>
      </c>
      <c r="E787" s="44"/>
      <c r="F787" s="109" t="s">
        <v>2785</v>
      </c>
      <c r="G787" s="91">
        <v>44637</v>
      </c>
      <c r="H787" s="91">
        <v>44868</v>
      </c>
      <c r="I787" s="88">
        <v>44868</v>
      </c>
    </row>
    <row r="788" spans="1:10" s="40" customFormat="1" ht="28.5" customHeight="1">
      <c r="A788" s="44"/>
      <c r="B788" s="54" t="s">
        <v>2787</v>
      </c>
      <c r="C788" s="44" t="s">
        <v>2788</v>
      </c>
      <c r="D788" s="44" t="s">
        <v>2789</v>
      </c>
      <c r="E788" s="44" t="s">
        <v>2475</v>
      </c>
      <c r="F788" s="44"/>
      <c r="G788" s="91">
        <v>44244</v>
      </c>
      <c r="H788" s="91">
        <v>44901</v>
      </c>
      <c r="I788" s="88">
        <v>44901</v>
      </c>
    </row>
    <row r="789" spans="1:10" s="40" customFormat="1" ht="36" customHeight="1">
      <c r="A789" s="44"/>
      <c r="B789" s="54" t="s">
        <v>141</v>
      </c>
      <c r="C789" s="44" t="s">
        <v>1581</v>
      </c>
      <c r="D789" s="44" t="s">
        <v>44</v>
      </c>
      <c r="E789" s="44" t="s">
        <v>15</v>
      </c>
      <c r="F789" s="109"/>
      <c r="G789" s="91">
        <v>44321</v>
      </c>
      <c r="H789" s="91">
        <v>44900</v>
      </c>
      <c r="I789" s="88">
        <v>44900</v>
      </c>
      <c r="J789" s="117">
        <v>14</v>
      </c>
    </row>
    <row r="790" spans="1:10" s="40" customFormat="1" ht="36" customHeight="1">
      <c r="A790" s="57"/>
      <c r="B790" s="31" t="s">
        <v>2790</v>
      </c>
      <c r="C790" s="16" t="s">
        <v>1149</v>
      </c>
      <c r="D790" s="44" t="s">
        <v>18</v>
      </c>
      <c r="E790" s="52"/>
      <c r="F790" s="31"/>
      <c r="G790" s="92">
        <v>44186</v>
      </c>
      <c r="H790" s="92">
        <v>44894</v>
      </c>
      <c r="I790" s="88">
        <v>44947</v>
      </c>
    </row>
    <row r="791" spans="1:10" s="40" customFormat="1" ht="36" customHeight="1">
      <c r="A791" s="44"/>
      <c r="B791" s="54" t="s">
        <v>2791</v>
      </c>
      <c r="C791" s="44" t="s">
        <v>2792</v>
      </c>
      <c r="D791" s="44" t="s">
        <v>2793</v>
      </c>
      <c r="E791" s="44"/>
      <c r="F791" s="44"/>
      <c r="G791" s="91">
        <v>44883</v>
      </c>
      <c r="H791" s="91">
        <v>44909</v>
      </c>
      <c r="I791" s="88">
        <v>44913</v>
      </c>
    </row>
    <row r="792" spans="1:10" s="40" customFormat="1" ht="28.5" customHeight="1">
      <c r="A792" s="44"/>
      <c r="B792" s="54" t="s">
        <v>155</v>
      </c>
      <c r="C792" s="44" t="s">
        <v>2794</v>
      </c>
      <c r="D792" s="44" t="s">
        <v>2795</v>
      </c>
      <c r="E792" s="44" t="s">
        <v>167</v>
      </c>
      <c r="F792" s="44"/>
      <c r="G792" s="91">
        <v>43791</v>
      </c>
      <c r="H792" s="91">
        <v>44909</v>
      </c>
      <c r="I792" s="88">
        <v>44909</v>
      </c>
    </row>
    <row r="793" spans="1:10" s="40" customFormat="1" ht="35.1" customHeight="1">
      <c r="A793" s="44"/>
      <c r="B793" s="58" t="s">
        <v>2783</v>
      </c>
      <c r="C793" s="44" t="s">
        <v>2796</v>
      </c>
      <c r="D793" s="44" t="s">
        <v>80</v>
      </c>
      <c r="E793" s="44"/>
      <c r="F793" s="109" t="s">
        <v>2785</v>
      </c>
      <c r="G793" s="91">
        <v>44090</v>
      </c>
      <c r="H793" s="91">
        <v>44918</v>
      </c>
      <c r="I793" s="88">
        <v>44911</v>
      </c>
      <c r="J793" s="118">
        <v>172</v>
      </c>
    </row>
    <row r="794" spans="1:10" s="40" customFormat="1" ht="28.35" customHeight="1">
      <c r="A794" s="44"/>
      <c r="B794" s="54" t="s">
        <v>30</v>
      </c>
      <c r="C794" s="44" t="s">
        <v>2797</v>
      </c>
      <c r="D794" s="44" t="s">
        <v>18</v>
      </c>
      <c r="E794" s="44"/>
      <c r="F794" s="44"/>
      <c r="G794" s="91">
        <v>44545</v>
      </c>
      <c r="H794" s="91">
        <v>44862</v>
      </c>
      <c r="I794" s="88">
        <v>44862</v>
      </c>
    </row>
    <row r="795" spans="1:10" s="40" customFormat="1" ht="36" customHeight="1">
      <c r="A795" s="54"/>
      <c r="B795" s="54" t="s">
        <v>2798</v>
      </c>
      <c r="C795" s="44" t="s">
        <v>2799</v>
      </c>
      <c r="D795" s="44" t="s">
        <v>15</v>
      </c>
      <c r="E795" s="44"/>
      <c r="F795" s="44"/>
      <c r="G795" s="91">
        <v>44608</v>
      </c>
      <c r="H795" s="91">
        <v>44925</v>
      </c>
      <c r="I795" s="88">
        <v>44925</v>
      </c>
    </row>
    <row r="796" spans="1:10" s="40" customFormat="1" ht="36" customHeight="1">
      <c r="A796" s="54"/>
      <c r="B796" s="54" t="s">
        <v>2749</v>
      </c>
      <c r="C796" s="44" t="s">
        <v>2800</v>
      </c>
      <c r="D796" s="44" t="s">
        <v>2420</v>
      </c>
      <c r="E796" s="44"/>
      <c r="F796" s="44"/>
      <c r="G796" s="91">
        <v>44573</v>
      </c>
      <c r="H796" s="91">
        <v>44938</v>
      </c>
      <c r="I796" s="88">
        <v>44938</v>
      </c>
    </row>
    <row r="797" spans="1:10" s="40" customFormat="1" ht="36" customHeight="1">
      <c r="A797" s="101"/>
      <c r="B797" s="44" t="s">
        <v>195</v>
      </c>
      <c r="C797" s="44" t="s">
        <v>2801</v>
      </c>
      <c r="D797" s="44" t="s">
        <v>15</v>
      </c>
      <c r="E797" s="44"/>
      <c r="F797" s="109" t="s">
        <v>2802</v>
      </c>
      <c r="G797" s="91">
        <v>44531</v>
      </c>
      <c r="H797" s="120">
        <v>44950</v>
      </c>
      <c r="I797" s="88">
        <v>44950</v>
      </c>
      <c r="J797" s="40">
        <v>13</v>
      </c>
    </row>
    <row r="798" spans="1:10" s="40" customFormat="1" ht="31.5" customHeight="1">
      <c r="A798" s="44"/>
      <c r="B798" s="54" t="s">
        <v>2803</v>
      </c>
      <c r="C798" s="44" t="s">
        <v>2804</v>
      </c>
      <c r="D798" s="44" t="s">
        <v>15</v>
      </c>
      <c r="E798" s="44"/>
      <c r="F798" s="44"/>
      <c r="G798" s="91">
        <v>44712</v>
      </c>
      <c r="H798" s="91" t="s">
        <v>2805</v>
      </c>
      <c r="I798" s="88">
        <v>44940</v>
      </c>
    </row>
    <row r="799" spans="1:10" s="40" customFormat="1" ht="36" customHeight="1">
      <c r="A799" s="44"/>
      <c r="B799" s="54" t="s">
        <v>2154</v>
      </c>
      <c r="C799" s="44" t="s">
        <v>2806</v>
      </c>
      <c r="D799" s="44" t="s">
        <v>2331</v>
      </c>
      <c r="E799" s="44"/>
      <c r="F799" s="44"/>
      <c r="G799" s="91" t="s">
        <v>2807</v>
      </c>
      <c r="H799" s="91" t="s">
        <v>2808</v>
      </c>
      <c r="I799" s="88">
        <v>44952</v>
      </c>
    </row>
    <row r="800" spans="1:10" s="40" customFormat="1" ht="36" customHeight="1">
      <c r="A800" s="54"/>
      <c r="B800" s="54" t="s">
        <v>2809</v>
      </c>
      <c r="C800" s="44" t="s">
        <v>2810</v>
      </c>
      <c r="D800" s="44" t="s">
        <v>44</v>
      </c>
      <c r="E800" s="44"/>
      <c r="F800" s="44"/>
      <c r="G800" s="91">
        <v>44839</v>
      </c>
      <c r="H800" s="91">
        <v>44952</v>
      </c>
      <c r="I800" s="88">
        <v>44962</v>
      </c>
    </row>
    <row r="801" spans="1:10" s="40" customFormat="1" ht="30.75" customHeight="1">
      <c r="A801" s="46"/>
      <c r="B801" s="31" t="s">
        <v>75</v>
      </c>
      <c r="C801" s="16" t="s">
        <v>2811</v>
      </c>
      <c r="D801" s="54" t="s">
        <v>2812</v>
      </c>
      <c r="E801" s="44" t="s">
        <v>2813</v>
      </c>
      <c r="F801" s="31"/>
      <c r="G801" s="93">
        <v>43591</v>
      </c>
      <c r="H801" s="93" t="s">
        <v>2814</v>
      </c>
      <c r="I801" s="88">
        <v>44932</v>
      </c>
    </row>
    <row r="802" spans="1:10" s="40" customFormat="1" ht="28.5" customHeight="1">
      <c r="A802" s="44"/>
      <c r="B802" s="54" t="s">
        <v>1850</v>
      </c>
      <c r="C802" s="44" t="s">
        <v>2815</v>
      </c>
      <c r="D802" s="44" t="s">
        <v>2816</v>
      </c>
      <c r="E802" s="44"/>
      <c r="F802" s="44"/>
      <c r="G802" s="91">
        <v>44939</v>
      </c>
      <c r="H802" s="91">
        <v>44954</v>
      </c>
      <c r="I802" s="88">
        <v>44970</v>
      </c>
    </row>
    <row r="803" spans="1:10" s="40" customFormat="1" ht="36" customHeight="1">
      <c r="A803" s="54"/>
      <c r="B803" s="54" t="s">
        <v>2817</v>
      </c>
      <c r="C803" s="44" t="s">
        <v>2818</v>
      </c>
      <c r="D803" s="44" t="s">
        <v>89</v>
      </c>
      <c r="E803" s="44"/>
      <c r="F803" s="44"/>
      <c r="G803" s="91">
        <v>44777</v>
      </c>
      <c r="H803" s="91" t="s">
        <v>2819</v>
      </c>
      <c r="I803" s="88">
        <v>44954</v>
      </c>
    </row>
    <row r="804" spans="1:10" s="40" customFormat="1" ht="36" customHeight="1">
      <c r="A804" s="54"/>
      <c r="B804" s="54" t="s">
        <v>2391</v>
      </c>
      <c r="C804" s="44" t="s">
        <v>2820</v>
      </c>
      <c r="D804" s="44" t="s">
        <v>15</v>
      </c>
      <c r="E804" s="44"/>
      <c r="F804" s="44"/>
      <c r="G804" s="91">
        <v>44777</v>
      </c>
      <c r="H804" s="91">
        <v>44957</v>
      </c>
      <c r="I804" s="88">
        <v>44955</v>
      </c>
    </row>
    <row r="805" spans="1:10" s="40" customFormat="1" ht="36" customHeight="1">
      <c r="A805" s="44"/>
      <c r="B805" s="54" t="s">
        <v>2821</v>
      </c>
      <c r="C805" s="44" t="s">
        <v>2822</v>
      </c>
      <c r="D805" s="44" t="s">
        <v>15</v>
      </c>
      <c r="E805" s="44"/>
      <c r="F805" s="44"/>
      <c r="G805" s="91">
        <v>44524</v>
      </c>
      <c r="H805" s="91">
        <v>44957</v>
      </c>
      <c r="I805" s="88">
        <v>44950</v>
      </c>
      <c r="J805" s="40">
        <v>18</v>
      </c>
    </row>
    <row r="806" spans="1:10" s="40" customFormat="1" ht="24" customHeight="1">
      <c r="A806" s="44"/>
      <c r="B806" s="54" t="s">
        <v>2710</v>
      </c>
      <c r="C806" s="44" t="s">
        <v>2823</v>
      </c>
      <c r="D806" s="44" t="s">
        <v>167</v>
      </c>
      <c r="E806" s="44" t="s">
        <v>15</v>
      </c>
      <c r="F806" s="44"/>
      <c r="G806" s="91">
        <v>44039</v>
      </c>
      <c r="H806" s="91">
        <v>44961</v>
      </c>
      <c r="I806" s="88">
        <v>44963</v>
      </c>
      <c r="J806" s="40">
        <v>80</v>
      </c>
    </row>
    <row r="807" spans="1:10" s="40" customFormat="1" ht="28.5" customHeight="1">
      <c r="A807" s="44"/>
      <c r="B807" s="54" t="s">
        <v>1850</v>
      </c>
      <c r="C807" s="44" t="s">
        <v>2824</v>
      </c>
      <c r="D807" s="44" t="s">
        <v>2825</v>
      </c>
      <c r="E807" s="44"/>
      <c r="F807" s="44"/>
      <c r="G807" s="91">
        <v>44958</v>
      </c>
      <c r="H807" s="91">
        <v>44967</v>
      </c>
      <c r="I807" s="88">
        <v>44985</v>
      </c>
    </row>
    <row r="808" spans="1:10" s="40" customFormat="1" ht="36" customHeight="1">
      <c r="A808" s="44"/>
      <c r="B808" s="54" t="s">
        <v>2006</v>
      </c>
      <c r="C808" s="44" t="s">
        <v>2826</v>
      </c>
      <c r="D808" s="44" t="s">
        <v>44</v>
      </c>
      <c r="E808" s="44"/>
      <c r="F808" s="44"/>
      <c r="G808" s="91">
        <v>44453</v>
      </c>
      <c r="H808" s="91">
        <v>44964</v>
      </c>
      <c r="I808" s="88">
        <v>44940</v>
      </c>
      <c r="J808" s="40">
        <v>7</v>
      </c>
    </row>
    <row r="809" spans="1:10" s="40" customFormat="1" ht="36" customHeight="1">
      <c r="A809" s="44"/>
      <c r="B809" s="54" t="s">
        <v>2827</v>
      </c>
      <c r="C809" s="44" t="s">
        <v>2828</v>
      </c>
      <c r="D809" s="44" t="s">
        <v>44</v>
      </c>
      <c r="E809" s="44"/>
      <c r="F809" s="44"/>
      <c r="G809" s="91">
        <v>44853</v>
      </c>
      <c r="H809" s="91">
        <v>44965</v>
      </c>
      <c r="I809" s="88">
        <v>44966</v>
      </c>
    </row>
    <row r="810" spans="1:10" s="40" customFormat="1" ht="36" customHeight="1">
      <c r="A810" s="54"/>
      <c r="B810" s="54" t="s">
        <v>2829</v>
      </c>
      <c r="C810" s="44" t="s">
        <v>2830</v>
      </c>
      <c r="D810" s="44" t="s">
        <v>15</v>
      </c>
      <c r="E810" s="44"/>
      <c r="F810" s="44"/>
      <c r="G810" s="91">
        <v>44830</v>
      </c>
      <c r="H810" s="91">
        <v>44975</v>
      </c>
      <c r="I810" s="88">
        <v>44975</v>
      </c>
    </row>
    <row r="811" spans="1:10" s="40" customFormat="1" ht="28.5" customHeight="1">
      <c r="A811" s="44"/>
      <c r="B811" s="54" t="s">
        <v>2831</v>
      </c>
      <c r="C811" s="44" t="s">
        <v>2832</v>
      </c>
      <c r="D811" s="44" t="s">
        <v>44</v>
      </c>
      <c r="E811" s="44"/>
      <c r="F811" s="44"/>
      <c r="G811" s="91">
        <v>44852</v>
      </c>
      <c r="H811" s="91">
        <v>44975</v>
      </c>
      <c r="I811" s="88">
        <v>44975</v>
      </c>
    </row>
    <row r="812" spans="1:10" s="40" customFormat="1" ht="24" customHeight="1">
      <c r="A812" s="54"/>
      <c r="B812" s="54" t="s">
        <v>2833</v>
      </c>
      <c r="C812" s="44" t="s">
        <v>2834</v>
      </c>
      <c r="D812" s="44" t="s">
        <v>44</v>
      </c>
      <c r="E812" s="44"/>
      <c r="F812" s="44"/>
      <c r="G812" s="91">
        <v>44803</v>
      </c>
      <c r="H812" s="91"/>
      <c r="I812" s="88">
        <v>44923</v>
      </c>
    </row>
    <row r="813" spans="1:10" s="40" customFormat="1" ht="25.35" customHeight="1">
      <c r="A813" s="54"/>
      <c r="B813" s="54" t="s">
        <v>2835</v>
      </c>
      <c r="C813" s="44" t="s">
        <v>2836</v>
      </c>
      <c r="D813" s="44" t="s">
        <v>15</v>
      </c>
      <c r="E813" s="44"/>
      <c r="F813" s="44"/>
      <c r="G813" s="91">
        <v>44623</v>
      </c>
      <c r="H813" s="91"/>
      <c r="I813" s="88">
        <v>44898</v>
      </c>
    </row>
    <row r="814" spans="1:10" s="40" customFormat="1" ht="30.75" customHeight="1">
      <c r="A814" s="54"/>
      <c r="B814" s="54" t="s">
        <v>90</v>
      </c>
      <c r="C814" s="44" t="s">
        <v>2837</v>
      </c>
      <c r="D814" s="44" t="s">
        <v>15</v>
      </c>
      <c r="E814" s="44"/>
      <c r="F814" s="44"/>
      <c r="G814" s="91">
        <v>44683</v>
      </c>
      <c r="H814" s="91">
        <v>44958</v>
      </c>
      <c r="I814" s="88">
        <v>44959</v>
      </c>
    </row>
    <row r="815" spans="1:10" s="40" customFormat="1" ht="31.5" customHeight="1">
      <c r="A815" s="46"/>
      <c r="B815" s="31" t="s">
        <v>2468</v>
      </c>
      <c r="C815" s="16" t="s">
        <v>2838</v>
      </c>
      <c r="D815" s="44" t="s">
        <v>15</v>
      </c>
      <c r="E815" s="15"/>
      <c r="F815" s="16"/>
      <c r="G815" s="94">
        <v>44280</v>
      </c>
      <c r="H815" s="94">
        <v>44975</v>
      </c>
      <c r="I815" s="89">
        <v>44959</v>
      </c>
      <c r="J815" s="40" t="s">
        <v>117</v>
      </c>
    </row>
    <row r="816" spans="1:10" s="40" customFormat="1" ht="36" customHeight="1">
      <c r="A816" s="44"/>
      <c r="B816" s="54" t="s">
        <v>1463</v>
      </c>
      <c r="C816" s="44" t="s">
        <v>2839</v>
      </c>
      <c r="D816" s="44" t="s">
        <v>15</v>
      </c>
      <c r="E816" s="44"/>
      <c r="F816" s="44"/>
      <c r="G816" s="91">
        <v>44452</v>
      </c>
      <c r="H816" s="91">
        <v>44979</v>
      </c>
      <c r="I816" s="88">
        <v>44979</v>
      </c>
    </row>
    <row r="817" spans="1:11" s="40" customFormat="1" ht="36" customHeight="1">
      <c r="A817" s="44"/>
      <c r="B817" s="54" t="s">
        <v>2483</v>
      </c>
      <c r="C817" s="44" t="s">
        <v>2840</v>
      </c>
      <c r="D817" s="44" t="s">
        <v>232</v>
      </c>
      <c r="E817" s="44"/>
      <c r="F817" s="44"/>
      <c r="G817" s="91">
        <v>44294</v>
      </c>
      <c r="H817" s="91">
        <v>44985</v>
      </c>
      <c r="I817" s="88">
        <v>44950</v>
      </c>
      <c r="J817" s="121" t="s">
        <v>2841</v>
      </c>
    </row>
    <row r="818" spans="1:11" s="40" customFormat="1" ht="36" customHeight="1">
      <c r="A818" s="46"/>
      <c r="B818" s="31" t="s">
        <v>75</v>
      </c>
      <c r="C818" s="16" t="s">
        <v>2693</v>
      </c>
      <c r="D818" s="54" t="s">
        <v>15</v>
      </c>
      <c r="E818" s="44"/>
      <c r="F818" s="31"/>
      <c r="G818" s="93" t="s">
        <v>2842</v>
      </c>
      <c r="H818" s="93">
        <v>44991</v>
      </c>
      <c r="I818" s="88">
        <v>44969</v>
      </c>
    </row>
    <row r="819" spans="1:11" s="40" customFormat="1" ht="36" customHeight="1">
      <c r="A819" s="54"/>
      <c r="B819" s="54" t="s">
        <v>2843</v>
      </c>
      <c r="C819" s="44" t="s">
        <v>2844</v>
      </c>
      <c r="D819" s="44" t="s">
        <v>15</v>
      </c>
      <c r="E819" s="44"/>
      <c r="F819" s="44"/>
      <c r="G819" s="91">
        <v>44676</v>
      </c>
      <c r="H819" s="91">
        <v>44992</v>
      </c>
      <c r="I819" s="88">
        <v>44992</v>
      </c>
    </row>
    <row r="820" spans="1:11" s="40" customFormat="1" ht="28.5" customHeight="1">
      <c r="A820" s="44"/>
      <c r="B820" s="54" t="s">
        <v>33</v>
      </c>
      <c r="C820" s="44" t="s">
        <v>2845</v>
      </c>
      <c r="D820" s="44" t="s">
        <v>15</v>
      </c>
      <c r="E820" s="44" t="s">
        <v>18</v>
      </c>
      <c r="F820" s="44"/>
      <c r="G820" s="91">
        <v>44180</v>
      </c>
      <c r="H820" s="91" t="s">
        <v>2846</v>
      </c>
      <c r="I820" s="88">
        <v>44939</v>
      </c>
      <c r="J820" s="40" t="s">
        <v>2847</v>
      </c>
    </row>
    <row r="821" spans="1:11" s="40" customFormat="1" ht="36" customHeight="1">
      <c r="A821" s="46"/>
      <c r="B821" s="31" t="s">
        <v>1191</v>
      </c>
      <c r="C821" s="16" t="s">
        <v>2848</v>
      </c>
      <c r="D821" s="44" t="s">
        <v>89</v>
      </c>
      <c r="E821" s="44" t="s">
        <v>89</v>
      </c>
      <c r="F821" s="16"/>
      <c r="G821" s="91">
        <v>44819</v>
      </c>
      <c r="H821" s="94">
        <v>44958</v>
      </c>
      <c r="I821" s="88">
        <v>44972</v>
      </c>
    </row>
    <row r="822" spans="1:11" s="40" customFormat="1" ht="36" customHeight="1">
      <c r="A822" s="54"/>
      <c r="B822" s="54" t="s">
        <v>2827</v>
      </c>
      <c r="C822" s="44" t="s">
        <v>2849</v>
      </c>
      <c r="D822" s="44" t="s">
        <v>15</v>
      </c>
      <c r="E822" s="44"/>
      <c r="F822" s="44"/>
      <c r="G822" s="91">
        <v>44827</v>
      </c>
      <c r="H822" s="91">
        <v>44985</v>
      </c>
      <c r="I822" s="88">
        <v>44980</v>
      </c>
    </row>
    <row r="823" spans="1:11" s="40" customFormat="1" ht="36" customHeight="1">
      <c r="A823" s="54"/>
      <c r="B823" s="54" t="s">
        <v>2850</v>
      </c>
      <c r="C823" s="44" t="s">
        <v>2851</v>
      </c>
      <c r="D823" s="44" t="s">
        <v>44</v>
      </c>
      <c r="E823" s="44"/>
      <c r="F823" s="44"/>
      <c r="G823" s="91">
        <v>45007</v>
      </c>
      <c r="H823" s="91"/>
      <c r="I823" s="88">
        <v>45038</v>
      </c>
    </row>
    <row r="824" spans="1:11" s="40" customFormat="1" ht="28.5" customHeight="1">
      <c r="A824" s="44"/>
      <c r="B824" s="54" t="s">
        <v>2852</v>
      </c>
      <c r="C824" s="44" t="s">
        <v>2853</v>
      </c>
      <c r="D824" s="44" t="s">
        <v>44</v>
      </c>
      <c r="E824" s="44"/>
      <c r="F824" s="44"/>
      <c r="G824" s="91">
        <v>44998</v>
      </c>
      <c r="H824" s="91">
        <v>45009</v>
      </c>
      <c r="I824" s="88">
        <v>45090</v>
      </c>
    </row>
    <row r="825" spans="1:11" s="40" customFormat="1" ht="28.5" customHeight="1">
      <c r="A825" s="44"/>
      <c r="B825" s="54" t="s">
        <v>2854</v>
      </c>
      <c r="C825" s="44" t="s">
        <v>2855</v>
      </c>
      <c r="D825" s="44" t="s">
        <v>80</v>
      </c>
      <c r="E825" s="44"/>
      <c r="F825" s="44"/>
      <c r="G825" s="91">
        <v>44950</v>
      </c>
      <c r="H825" s="91">
        <v>45009</v>
      </c>
      <c r="I825" s="88">
        <v>45101</v>
      </c>
    </row>
    <row r="826" spans="1:11" s="40" customFormat="1" ht="36" customHeight="1">
      <c r="A826" s="54"/>
      <c r="B826" s="54" t="s">
        <v>1463</v>
      </c>
      <c r="C826" s="44" t="s">
        <v>2856</v>
      </c>
      <c r="D826" s="44" t="s">
        <v>15</v>
      </c>
      <c r="E826" s="44"/>
      <c r="F826" s="44"/>
      <c r="G826" s="91">
        <v>44587</v>
      </c>
      <c r="H826" s="91">
        <v>45012</v>
      </c>
      <c r="I826" s="88">
        <v>45011</v>
      </c>
    </row>
    <row r="827" spans="1:11" s="40" customFormat="1" ht="28.5" customHeight="1">
      <c r="A827" s="44"/>
      <c r="B827" s="54" t="s">
        <v>2857</v>
      </c>
      <c r="C827" s="44" t="s">
        <v>2858</v>
      </c>
      <c r="D827" s="44" t="s">
        <v>15</v>
      </c>
      <c r="E827" s="44"/>
      <c r="F827" s="44"/>
      <c r="G827" s="91">
        <v>44733</v>
      </c>
      <c r="H827" s="91">
        <v>45009</v>
      </c>
      <c r="I827" s="88">
        <v>45023</v>
      </c>
    </row>
    <row r="828" spans="1:11" s="40" customFormat="1" ht="28.5" customHeight="1">
      <c r="A828" s="44"/>
      <c r="B828" s="54" t="s">
        <v>2859</v>
      </c>
      <c r="C828" s="44" t="s">
        <v>2860</v>
      </c>
      <c r="D828" s="44" t="s">
        <v>15</v>
      </c>
      <c r="E828" s="44" t="s">
        <v>15</v>
      </c>
      <c r="F828" s="99"/>
      <c r="G828" s="91">
        <v>43154</v>
      </c>
      <c r="H828" s="91">
        <v>45014</v>
      </c>
      <c r="I828" s="88">
        <v>45014</v>
      </c>
      <c r="J828" s="40">
        <v>80</v>
      </c>
      <c r="K828" s="108"/>
    </row>
    <row r="829" spans="1:11" s="40" customFormat="1" ht="36" customHeight="1">
      <c r="A829" s="101"/>
      <c r="B829" s="54" t="s">
        <v>2861</v>
      </c>
      <c r="C829" s="44" t="s">
        <v>2862</v>
      </c>
      <c r="D829" s="44" t="s">
        <v>15</v>
      </c>
      <c r="E829" s="44"/>
      <c r="F829" s="44"/>
      <c r="G829" s="91">
        <v>44531</v>
      </c>
      <c r="H829" s="91">
        <v>45015</v>
      </c>
      <c r="I829" s="88">
        <v>45015</v>
      </c>
    </row>
    <row r="830" spans="1:11" s="40" customFormat="1" ht="24" customHeight="1">
      <c r="A830" s="46"/>
      <c r="B830" s="31" t="s">
        <v>2852</v>
      </c>
      <c r="C830" s="16" t="s">
        <v>2863</v>
      </c>
      <c r="D830" s="44" t="s">
        <v>44</v>
      </c>
      <c r="E830" s="44"/>
      <c r="F830" s="16"/>
      <c r="G830" s="91">
        <v>44823</v>
      </c>
      <c r="H830" s="94">
        <v>45016</v>
      </c>
      <c r="I830" s="88">
        <v>45016</v>
      </c>
    </row>
    <row r="831" spans="1:11" s="40" customFormat="1" ht="28.5" customHeight="1">
      <c r="A831" s="44"/>
      <c r="B831" s="54" t="s">
        <v>2154</v>
      </c>
      <c r="C831" s="44" t="s">
        <v>2864</v>
      </c>
      <c r="D831" s="44" t="s">
        <v>18</v>
      </c>
      <c r="E831" s="44"/>
      <c r="F831" s="44"/>
      <c r="G831" s="91">
        <v>44342</v>
      </c>
      <c r="H831" s="91">
        <v>45017</v>
      </c>
      <c r="I831" s="88">
        <v>45017</v>
      </c>
    </row>
    <row r="832" spans="1:11" s="40" customFormat="1" ht="28.5" customHeight="1">
      <c r="A832" s="44"/>
      <c r="B832" s="54" t="s">
        <v>1289</v>
      </c>
      <c r="C832" s="44" t="s">
        <v>2865</v>
      </c>
      <c r="D832" s="44" t="s">
        <v>15</v>
      </c>
      <c r="E832" s="44"/>
      <c r="F832" s="44"/>
      <c r="G832" s="91">
        <v>44944</v>
      </c>
      <c r="H832" s="91">
        <v>45019</v>
      </c>
      <c r="I832" s="88">
        <v>45034</v>
      </c>
    </row>
    <row r="833" spans="1:10" s="40" customFormat="1" ht="28.5" customHeight="1">
      <c r="A833" s="44"/>
      <c r="B833" s="54" t="s">
        <v>2866</v>
      </c>
      <c r="C833" s="44" t="s">
        <v>2867</v>
      </c>
      <c r="D833" s="44" t="s">
        <v>54</v>
      </c>
      <c r="E833" s="44"/>
      <c r="F833" s="44"/>
      <c r="G833" s="91">
        <v>45002</v>
      </c>
      <c r="H833" s="91">
        <v>45020</v>
      </c>
      <c r="I833" s="88">
        <v>45033</v>
      </c>
    </row>
    <row r="834" spans="1:10" s="40" customFormat="1" ht="36" customHeight="1">
      <c r="A834" s="46"/>
      <c r="B834" s="31" t="s">
        <v>1694</v>
      </c>
      <c r="C834" s="16" t="s">
        <v>2868</v>
      </c>
      <c r="D834" s="54" t="s">
        <v>2869</v>
      </c>
      <c r="E834" s="44"/>
      <c r="F834" s="109" t="s">
        <v>2870</v>
      </c>
      <c r="G834" s="93">
        <v>44441</v>
      </c>
      <c r="H834" s="93" t="s">
        <v>2871</v>
      </c>
      <c r="I834" s="88">
        <v>45018</v>
      </c>
    </row>
    <row r="835" spans="1:10" s="40" customFormat="1" ht="36" customHeight="1">
      <c r="A835" s="44"/>
      <c r="B835" s="54" t="s">
        <v>75</v>
      </c>
      <c r="C835" s="44" t="s">
        <v>2872</v>
      </c>
      <c r="D835" s="44" t="s">
        <v>54</v>
      </c>
      <c r="E835" s="44"/>
      <c r="F835" s="44"/>
      <c r="G835" s="91" t="s">
        <v>2873</v>
      </c>
      <c r="H835" s="91" t="s">
        <v>2874</v>
      </c>
      <c r="I835" s="88">
        <v>45031</v>
      </c>
    </row>
    <row r="836" spans="1:10" s="40" customFormat="1" ht="30.75" customHeight="1">
      <c r="A836" s="44"/>
      <c r="B836" s="54" t="s">
        <v>248</v>
      </c>
      <c r="C836" s="44" t="s">
        <v>2875</v>
      </c>
      <c r="D836" s="44" t="s">
        <v>18</v>
      </c>
      <c r="E836" s="44"/>
      <c r="F836" s="44"/>
      <c r="G836" s="91">
        <v>44487</v>
      </c>
      <c r="H836" s="91">
        <v>45054</v>
      </c>
      <c r="I836" s="88">
        <v>45064</v>
      </c>
    </row>
    <row r="837" spans="1:10" s="40" customFormat="1" ht="36" customHeight="1">
      <c r="A837" s="44"/>
      <c r="B837" s="54" t="s">
        <v>827</v>
      </c>
      <c r="C837" s="44" t="s">
        <v>2876</v>
      </c>
      <c r="D837" s="44" t="s">
        <v>18</v>
      </c>
      <c r="E837" s="44"/>
      <c r="F837" s="44"/>
      <c r="G837" s="91">
        <v>44532</v>
      </c>
      <c r="H837" s="91">
        <v>45052</v>
      </c>
      <c r="I837" s="88">
        <v>45048</v>
      </c>
    </row>
    <row r="838" spans="1:10" s="40" customFormat="1" ht="28.5" customHeight="1">
      <c r="A838" s="44"/>
      <c r="B838" s="54" t="s">
        <v>2178</v>
      </c>
      <c r="C838" s="44" t="s">
        <v>2877</v>
      </c>
      <c r="D838" s="44" t="s">
        <v>15</v>
      </c>
      <c r="E838" s="44" t="s">
        <v>15</v>
      </c>
      <c r="F838" s="44"/>
      <c r="G838" s="91">
        <v>44237</v>
      </c>
      <c r="H838" s="91">
        <v>45050</v>
      </c>
      <c r="I838" s="88">
        <v>45077</v>
      </c>
      <c r="J838" s="40">
        <v>60</v>
      </c>
    </row>
    <row r="839" spans="1:10" s="40" customFormat="1" ht="28.5" customHeight="1">
      <c r="A839" s="44"/>
      <c r="B839" s="54" t="s">
        <v>141</v>
      </c>
      <c r="C839" s="44" t="s">
        <v>2878</v>
      </c>
      <c r="D839" s="44" t="s">
        <v>44</v>
      </c>
      <c r="E839" s="44"/>
      <c r="F839" s="44"/>
      <c r="G839" s="91">
        <v>44945</v>
      </c>
      <c r="H839" s="91">
        <v>45063</v>
      </c>
      <c r="I839" s="88">
        <v>45065</v>
      </c>
    </row>
    <row r="840" spans="1:10" s="40" customFormat="1" ht="28.5" customHeight="1">
      <c r="A840" s="44"/>
      <c r="B840" s="54" t="s">
        <v>2418</v>
      </c>
      <c r="C840" s="44" t="s">
        <v>2879</v>
      </c>
      <c r="D840" s="44" t="s">
        <v>2880</v>
      </c>
      <c r="E840" s="44"/>
      <c r="F840" s="44"/>
      <c r="G840" s="91">
        <v>44180</v>
      </c>
      <c r="H840" s="91">
        <v>45065</v>
      </c>
      <c r="I840" s="88">
        <v>45061</v>
      </c>
    </row>
    <row r="841" spans="1:10" s="40" customFormat="1" ht="33.75" customHeight="1">
      <c r="A841" s="44"/>
      <c r="B841" s="54" t="s">
        <v>2827</v>
      </c>
      <c r="C841" s="44" t="s">
        <v>2881</v>
      </c>
      <c r="D841" s="44" t="s">
        <v>44</v>
      </c>
      <c r="E841" s="44"/>
      <c r="F841" s="44"/>
      <c r="G841" s="91">
        <v>44904</v>
      </c>
      <c r="H841" s="91">
        <v>45071</v>
      </c>
      <c r="I841" s="88">
        <v>45071</v>
      </c>
    </row>
    <row r="842" spans="1:10" s="40" customFormat="1" ht="36" customHeight="1">
      <c r="A842" s="46"/>
      <c r="B842" s="31" t="s">
        <v>1289</v>
      </c>
      <c r="C842" s="16" t="s">
        <v>2882</v>
      </c>
      <c r="D842" s="54" t="s">
        <v>44</v>
      </c>
      <c r="E842" s="44"/>
      <c r="F842" s="31"/>
      <c r="G842" s="93">
        <v>45007</v>
      </c>
      <c r="H842" s="93">
        <v>45049</v>
      </c>
      <c r="I842" s="88">
        <v>45049</v>
      </c>
    </row>
    <row r="843" spans="1:10" s="40" customFormat="1" ht="28.5" customHeight="1">
      <c r="A843" s="44"/>
      <c r="B843" s="54" t="s">
        <v>2883</v>
      </c>
      <c r="C843" s="44" t="s">
        <v>2884</v>
      </c>
      <c r="D843" s="44" t="s">
        <v>15</v>
      </c>
      <c r="E843" s="44"/>
      <c r="F843" s="44"/>
      <c r="G843" s="91">
        <v>44924</v>
      </c>
      <c r="H843" s="91">
        <v>45072</v>
      </c>
      <c r="I843" s="88">
        <v>45072</v>
      </c>
    </row>
    <row r="844" spans="1:10" s="40" customFormat="1" ht="30.75" customHeight="1">
      <c r="A844" s="44"/>
      <c r="B844" s="54" t="s">
        <v>1289</v>
      </c>
      <c r="C844" s="44" t="s">
        <v>2885</v>
      </c>
      <c r="D844" s="44" t="s">
        <v>15</v>
      </c>
      <c r="E844" s="44"/>
      <c r="F844" s="44"/>
      <c r="G844" s="91">
        <v>45057</v>
      </c>
      <c r="H844" s="91">
        <v>45072</v>
      </c>
      <c r="I844" s="88">
        <v>45088</v>
      </c>
    </row>
    <row r="845" spans="1:10" s="40" customFormat="1" ht="36" customHeight="1">
      <c r="A845" s="44"/>
      <c r="B845" s="54" t="s">
        <v>2886</v>
      </c>
      <c r="C845" s="44" t="s">
        <v>2887</v>
      </c>
      <c r="D845" s="44" t="s">
        <v>44</v>
      </c>
      <c r="E845" s="44"/>
      <c r="F845" s="44"/>
      <c r="G845" s="91">
        <v>44944</v>
      </c>
      <c r="H845" s="91">
        <v>45063</v>
      </c>
      <c r="I845" s="88">
        <v>45064</v>
      </c>
      <c r="J845" s="86"/>
    </row>
    <row r="846" spans="1:10" s="40" customFormat="1" ht="36" customHeight="1">
      <c r="A846" s="44"/>
      <c r="B846" s="54" t="s">
        <v>2888</v>
      </c>
      <c r="C846" s="44" t="s">
        <v>2889</v>
      </c>
      <c r="D846" s="44" t="s">
        <v>2890</v>
      </c>
      <c r="E846" s="44"/>
      <c r="F846" s="44"/>
      <c r="G846" s="91">
        <v>45005</v>
      </c>
      <c r="H846" s="91">
        <v>45076</v>
      </c>
      <c r="I846" s="88">
        <v>45076</v>
      </c>
      <c r="J846" s="86"/>
    </row>
    <row r="847" spans="1:10" s="40" customFormat="1" ht="36" customHeight="1">
      <c r="A847" s="101"/>
      <c r="B847" s="54" t="s">
        <v>195</v>
      </c>
      <c r="C847" s="44" t="s">
        <v>2891</v>
      </c>
      <c r="D847" s="44" t="s">
        <v>15</v>
      </c>
      <c r="E847" s="44"/>
      <c r="F847" s="109" t="s">
        <v>2892</v>
      </c>
      <c r="G847" s="91">
        <v>44531</v>
      </c>
      <c r="H847" s="91">
        <v>45082</v>
      </c>
      <c r="I847" s="88">
        <v>45082</v>
      </c>
      <c r="J847" s="86">
        <v>180</v>
      </c>
    </row>
    <row r="848" spans="1:10" s="40" customFormat="1" ht="24" customHeight="1">
      <c r="A848" s="44"/>
      <c r="B848" s="54" t="s">
        <v>773</v>
      </c>
      <c r="C848" s="44" t="s">
        <v>2893</v>
      </c>
      <c r="D848" s="44" t="s">
        <v>2894</v>
      </c>
      <c r="E848" s="44"/>
      <c r="F848" s="44"/>
      <c r="G848" s="91">
        <v>44953</v>
      </c>
      <c r="H848" s="91">
        <v>45082</v>
      </c>
      <c r="I848" s="88">
        <v>45073</v>
      </c>
      <c r="J848" s="86"/>
    </row>
    <row r="849" spans="1:10" s="40" customFormat="1" ht="30.75" customHeight="1">
      <c r="A849" s="44"/>
      <c r="B849" s="54" t="s">
        <v>2377</v>
      </c>
      <c r="C849" s="44" t="s">
        <v>2895</v>
      </c>
      <c r="D849" s="44" t="s">
        <v>15</v>
      </c>
      <c r="E849" s="44"/>
      <c r="F849" s="44"/>
      <c r="G849" s="91">
        <v>45055</v>
      </c>
      <c r="H849" s="91">
        <v>45084</v>
      </c>
      <c r="I849" s="88">
        <v>45086</v>
      </c>
      <c r="J849" s="86">
        <v>492</v>
      </c>
    </row>
    <row r="850" spans="1:10" s="40" customFormat="1" ht="36" customHeight="1">
      <c r="A850" s="44"/>
      <c r="B850" s="54" t="s">
        <v>37</v>
      </c>
      <c r="C850" s="44" t="s">
        <v>2896</v>
      </c>
      <c r="D850" s="44" t="s">
        <v>18</v>
      </c>
      <c r="E850" s="44"/>
      <c r="F850" s="44"/>
      <c r="G850" s="91">
        <v>44277</v>
      </c>
      <c r="H850" s="91">
        <v>45085</v>
      </c>
      <c r="I850" s="88">
        <v>45085</v>
      </c>
      <c r="J850" s="86"/>
    </row>
    <row r="851" spans="1:10" s="40" customFormat="1" ht="28.5" customHeight="1">
      <c r="A851" s="44"/>
      <c r="B851" s="54" t="s">
        <v>13</v>
      </c>
      <c r="C851" s="44" t="s">
        <v>2897</v>
      </c>
      <c r="D851" s="44" t="s">
        <v>15</v>
      </c>
      <c r="E851" s="44"/>
      <c r="F851" s="44"/>
      <c r="G851" s="91">
        <v>45049</v>
      </c>
      <c r="H851" s="91">
        <v>45085</v>
      </c>
      <c r="I851" s="88">
        <v>45085</v>
      </c>
      <c r="J851" s="86">
        <v>240</v>
      </c>
    </row>
    <row r="852" spans="1:10" s="40" customFormat="1" ht="28.5" customHeight="1">
      <c r="A852" s="44"/>
      <c r="B852" s="54" t="s">
        <v>13</v>
      </c>
      <c r="C852" s="44" t="s">
        <v>2898</v>
      </c>
      <c r="D852" s="44" t="s">
        <v>44</v>
      </c>
      <c r="E852" s="44"/>
      <c r="F852" s="44"/>
      <c r="G852" s="91">
        <v>45049</v>
      </c>
      <c r="H852" s="91">
        <v>45085</v>
      </c>
      <c r="I852" s="88">
        <v>45080</v>
      </c>
      <c r="J852" s="86">
        <v>324</v>
      </c>
    </row>
    <row r="853" spans="1:10" s="40" customFormat="1" ht="28.5" customHeight="1">
      <c r="A853" s="44"/>
      <c r="B853" s="54" t="s">
        <v>2852</v>
      </c>
      <c r="C853" s="44" t="s">
        <v>2899</v>
      </c>
      <c r="D853" s="44" t="s">
        <v>44</v>
      </c>
      <c r="E853" s="44"/>
      <c r="F853" s="44"/>
      <c r="G853" s="91">
        <v>45051</v>
      </c>
      <c r="H853" s="91">
        <v>45091</v>
      </c>
      <c r="I853" s="88">
        <v>45091</v>
      </c>
      <c r="J853" s="86">
        <v>528</v>
      </c>
    </row>
    <row r="854" spans="1:10" s="40" customFormat="1" ht="28.5" customHeight="1">
      <c r="A854" s="54"/>
      <c r="B854" s="54" t="s">
        <v>1811</v>
      </c>
      <c r="C854" s="44" t="s">
        <v>2900</v>
      </c>
      <c r="D854" s="44" t="s">
        <v>2901</v>
      </c>
      <c r="E854" s="44"/>
      <c r="F854" s="44"/>
      <c r="G854" s="91">
        <v>44805</v>
      </c>
      <c r="H854" s="91">
        <v>45100</v>
      </c>
      <c r="I854" s="88">
        <v>45100</v>
      </c>
      <c r="J854" s="86"/>
    </row>
    <row r="855" spans="1:10" s="40" customFormat="1" ht="36" customHeight="1">
      <c r="A855" s="44"/>
      <c r="B855" s="54" t="s">
        <v>195</v>
      </c>
      <c r="C855" s="44" t="s">
        <v>2902</v>
      </c>
      <c r="D855" s="44" t="s">
        <v>44</v>
      </c>
      <c r="E855" s="44"/>
      <c r="F855" s="44"/>
      <c r="G855" s="91">
        <v>44853</v>
      </c>
      <c r="H855" s="91">
        <v>45082</v>
      </c>
      <c r="I855" s="88">
        <v>45082</v>
      </c>
      <c r="J855" s="86">
        <v>384</v>
      </c>
    </row>
    <row r="856" spans="1:10" s="40" customFormat="1" ht="36" customHeight="1">
      <c r="A856" s="44"/>
      <c r="B856" s="54" t="s">
        <v>2903</v>
      </c>
      <c r="C856" s="44" t="s">
        <v>2904</v>
      </c>
      <c r="D856" s="44" t="s">
        <v>15</v>
      </c>
      <c r="E856" s="44"/>
      <c r="F856" s="44"/>
      <c r="G856" s="91">
        <v>45035</v>
      </c>
      <c r="H856" s="91">
        <v>45076</v>
      </c>
      <c r="I856" s="88">
        <v>45096</v>
      </c>
      <c r="J856" s="86">
        <v>5</v>
      </c>
    </row>
    <row r="857" spans="1:10" s="40" customFormat="1" ht="30.75" customHeight="1">
      <c r="A857" s="54"/>
      <c r="B857" s="54" t="s">
        <v>2861</v>
      </c>
      <c r="C857" s="44" t="s">
        <v>2905</v>
      </c>
      <c r="D857" s="44" t="s">
        <v>15</v>
      </c>
      <c r="E857" s="44"/>
      <c r="F857" s="44"/>
      <c r="G857" s="91">
        <v>44524</v>
      </c>
      <c r="H857" s="91">
        <v>45103</v>
      </c>
      <c r="I857" s="88">
        <v>45101</v>
      </c>
      <c r="J857" s="86"/>
    </row>
    <row r="858" spans="1:10" s="40" customFormat="1" ht="36" customHeight="1">
      <c r="A858" s="44"/>
      <c r="B858" s="54" t="s">
        <v>2403</v>
      </c>
      <c r="C858" s="44" t="s">
        <v>2906</v>
      </c>
      <c r="D858" s="44" t="s">
        <v>2907</v>
      </c>
      <c r="E858" s="44"/>
      <c r="F858" s="44"/>
      <c r="G858" s="91">
        <v>44868</v>
      </c>
      <c r="H858" s="91">
        <v>45104</v>
      </c>
      <c r="I858" s="88">
        <v>45104</v>
      </c>
      <c r="J858" s="86"/>
    </row>
    <row r="859" spans="1:10" s="40" customFormat="1" ht="24" customHeight="1">
      <c r="A859" s="44"/>
      <c r="B859" s="54" t="s">
        <v>195</v>
      </c>
      <c r="C859" s="44" t="s">
        <v>2908</v>
      </c>
      <c r="D859" s="44" t="s">
        <v>15</v>
      </c>
      <c r="E859" s="44"/>
      <c r="F859" s="44"/>
      <c r="G859" s="91">
        <v>44973</v>
      </c>
      <c r="H859" s="91">
        <v>45105</v>
      </c>
      <c r="I859" s="88">
        <v>45105</v>
      </c>
      <c r="J859" s="86">
        <v>108</v>
      </c>
    </row>
    <row r="860" spans="1:10" s="40" customFormat="1" ht="20.100000000000001" customHeight="1">
      <c r="A860" s="46"/>
      <c r="B860" s="31" t="s">
        <v>2377</v>
      </c>
      <c r="C860" s="16" t="s">
        <v>2909</v>
      </c>
      <c r="D860" s="54" t="s">
        <v>89</v>
      </c>
      <c r="E860" s="44"/>
      <c r="F860" s="31"/>
      <c r="G860" s="93">
        <v>44397</v>
      </c>
      <c r="H860" s="93">
        <v>45112</v>
      </c>
      <c r="I860" s="88">
        <v>45112</v>
      </c>
      <c r="J860" s="86">
        <v>0</v>
      </c>
    </row>
    <row r="861" spans="1:10" s="40" customFormat="1" ht="36" customHeight="1">
      <c r="A861" s="44"/>
      <c r="B861" s="54" t="s">
        <v>2377</v>
      </c>
      <c r="C861" s="44" t="s">
        <v>2910</v>
      </c>
      <c r="D861" s="44" t="s">
        <v>2272</v>
      </c>
      <c r="E861" s="44"/>
      <c r="F861" s="44"/>
      <c r="G861" s="91">
        <v>44253</v>
      </c>
      <c r="H861" s="91">
        <v>45112</v>
      </c>
      <c r="I861" s="88">
        <v>45112</v>
      </c>
      <c r="J861" s="86"/>
    </row>
    <row r="862" spans="1:10" s="40" customFormat="1" ht="28.5" customHeight="1">
      <c r="A862" s="44"/>
      <c r="B862" s="54" t="s">
        <v>2911</v>
      </c>
      <c r="C862" s="44" t="s">
        <v>2912</v>
      </c>
      <c r="D862" s="44" t="s">
        <v>89</v>
      </c>
      <c r="E862" s="44"/>
      <c r="F862" s="44"/>
      <c r="G862" s="91">
        <v>45043</v>
      </c>
      <c r="H862" s="91">
        <v>45114</v>
      </c>
      <c r="I862" s="88">
        <v>45114</v>
      </c>
      <c r="J862" s="86"/>
    </row>
    <row r="863" spans="1:10" s="40" customFormat="1" ht="36" customHeight="1">
      <c r="A863" s="44"/>
      <c r="B863" s="54" t="s">
        <v>1289</v>
      </c>
      <c r="C863" s="44" t="s">
        <v>2913</v>
      </c>
      <c r="D863" s="44" t="s">
        <v>15</v>
      </c>
      <c r="E863" s="44"/>
      <c r="F863" s="44"/>
      <c r="G863" s="91">
        <v>45051</v>
      </c>
      <c r="H863" s="91">
        <v>45112</v>
      </c>
      <c r="I863" s="88">
        <v>45112</v>
      </c>
      <c r="J863" s="86">
        <v>1200</v>
      </c>
    </row>
    <row r="864" spans="1:10" s="40" customFormat="1" ht="36" customHeight="1">
      <c r="A864" s="54"/>
      <c r="B864" s="54" t="s">
        <v>2798</v>
      </c>
      <c r="C864" s="44" t="s">
        <v>2914</v>
      </c>
      <c r="D864" s="44" t="s">
        <v>15</v>
      </c>
      <c r="E864" s="44"/>
      <c r="F864" s="44"/>
      <c r="G864" s="91">
        <v>44811</v>
      </c>
      <c r="H864" s="91">
        <v>45118</v>
      </c>
      <c r="I864" s="88">
        <v>45114</v>
      </c>
      <c r="J864" s="86">
        <v>1524</v>
      </c>
    </row>
    <row r="865" spans="1:10" s="40" customFormat="1" ht="36" customHeight="1">
      <c r="A865" s="44"/>
      <c r="B865" s="54" t="s">
        <v>2915</v>
      </c>
      <c r="C865" s="44" t="s">
        <v>2916</v>
      </c>
      <c r="D865" s="44" t="s">
        <v>15</v>
      </c>
      <c r="E865" s="44"/>
      <c r="F865" s="44"/>
      <c r="G865" s="91">
        <v>45062</v>
      </c>
      <c r="H865" s="91">
        <v>45119</v>
      </c>
      <c r="I865" s="88">
        <v>45119</v>
      </c>
      <c r="J865" s="86">
        <v>144</v>
      </c>
    </row>
    <row r="866" spans="1:10" s="40" customFormat="1" ht="28.5" customHeight="1">
      <c r="A866" s="44"/>
      <c r="B866" s="54" t="s">
        <v>2917</v>
      </c>
      <c r="C866" s="44" t="s">
        <v>2918</v>
      </c>
      <c r="D866" s="44" t="s">
        <v>54</v>
      </c>
      <c r="E866" s="44"/>
      <c r="F866" s="44"/>
      <c r="G866" s="91">
        <v>44930</v>
      </c>
      <c r="H866" s="91">
        <v>45122</v>
      </c>
      <c r="I866" s="88">
        <v>45122</v>
      </c>
      <c r="J866" s="86"/>
    </row>
    <row r="867" spans="1:10" s="40" customFormat="1" ht="28.5" customHeight="1">
      <c r="A867" s="44"/>
      <c r="B867" s="54" t="s">
        <v>2919</v>
      </c>
      <c r="C867" s="44" t="s">
        <v>2920</v>
      </c>
      <c r="D867" s="44" t="s">
        <v>15</v>
      </c>
      <c r="E867" s="44"/>
      <c r="F867" s="44"/>
      <c r="G867" s="91">
        <v>44441</v>
      </c>
      <c r="H867" s="91">
        <v>45125</v>
      </c>
      <c r="I867" s="88">
        <v>45125</v>
      </c>
      <c r="J867" s="86">
        <v>120</v>
      </c>
    </row>
    <row r="868" spans="1:10" s="40" customFormat="1" ht="36" customHeight="1">
      <c r="A868" s="54"/>
      <c r="B868" s="54" t="s">
        <v>267</v>
      </c>
      <c r="C868" s="44" t="s">
        <v>2700</v>
      </c>
      <c r="D868" s="44" t="s">
        <v>18</v>
      </c>
      <c r="E868" s="44"/>
      <c r="F868" s="44"/>
      <c r="G868" s="91">
        <v>44729</v>
      </c>
      <c r="H868" s="91">
        <v>45124</v>
      </c>
      <c r="I868" s="88">
        <v>45124</v>
      </c>
      <c r="J868" s="86"/>
    </row>
    <row r="869" spans="1:10" s="40" customFormat="1" ht="28.5" customHeight="1">
      <c r="A869" s="54"/>
      <c r="B869" s="54" t="s">
        <v>1519</v>
      </c>
      <c r="C869" s="44" t="s">
        <v>2921</v>
      </c>
      <c r="D869" s="44" t="s">
        <v>2922</v>
      </c>
      <c r="E869" s="44"/>
      <c r="F869" s="44"/>
      <c r="G869" s="91">
        <v>44827</v>
      </c>
      <c r="H869" s="91" t="s">
        <v>2923</v>
      </c>
      <c r="I869" s="88">
        <v>45125</v>
      </c>
      <c r="J869" s="86"/>
    </row>
    <row r="870" spans="1:10" s="40" customFormat="1" ht="31.5" customHeight="1">
      <c r="A870" s="101"/>
      <c r="B870" s="54" t="s">
        <v>2924</v>
      </c>
      <c r="C870" s="44" t="s">
        <v>2925</v>
      </c>
      <c r="D870" s="44" t="s">
        <v>15</v>
      </c>
      <c r="E870" s="44"/>
      <c r="F870" s="44"/>
      <c r="G870" s="91">
        <v>44531</v>
      </c>
      <c r="H870" s="91">
        <v>45125</v>
      </c>
      <c r="I870" s="88">
        <v>45122</v>
      </c>
      <c r="J870" s="86">
        <v>444</v>
      </c>
    </row>
    <row r="871" spans="1:10" s="40" customFormat="1" ht="30.75" customHeight="1">
      <c r="A871" s="44"/>
      <c r="B871" s="54" t="s">
        <v>322</v>
      </c>
      <c r="C871" s="44" t="s">
        <v>2926</v>
      </c>
      <c r="D871" s="44" t="s">
        <v>18</v>
      </c>
      <c r="E871" s="44"/>
      <c r="F871" s="44"/>
      <c r="G871" s="91">
        <v>45107</v>
      </c>
      <c r="H871" s="91">
        <v>45127</v>
      </c>
      <c r="I871" s="88">
        <v>45137</v>
      </c>
      <c r="J871" s="86"/>
    </row>
    <row r="872" spans="1:10" s="40" customFormat="1" ht="36" customHeight="1">
      <c r="A872" s="44"/>
      <c r="B872" s="54" t="s">
        <v>2927</v>
      </c>
      <c r="C872" s="44" t="s">
        <v>2928</v>
      </c>
      <c r="D872" s="44" t="s">
        <v>15</v>
      </c>
      <c r="E872" s="44"/>
      <c r="F872" s="44"/>
      <c r="G872" s="91">
        <v>45076</v>
      </c>
      <c r="H872" s="91"/>
      <c r="I872" s="88">
        <v>45107</v>
      </c>
      <c r="J872" s="86"/>
    </row>
    <row r="873" spans="1:10" s="40" customFormat="1" ht="30.75" customHeight="1">
      <c r="A873" s="44"/>
      <c r="B873" s="54" t="s">
        <v>2852</v>
      </c>
      <c r="C873" s="44" t="s">
        <v>2929</v>
      </c>
      <c r="D873" s="44" t="s">
        <v>15</v>
      </c>
      <c r="E873" s="44"/>
      <c r="F873" s="44"/>
      <c r="G873" s="91">
        <v>45078</v>
      </c>
      <c r="H873" s="91">
        <v>45132</v>
      </c>
      <c r="I873" s="88">
        <v>45137</v>
      </c>
      <c r="J873" s="86"/>
    </row>
    <row r="874" spans="1:10" s="40" customFormat="1" ht="28.5" customHeight="1">
      <c r="A874" s="44"/>
      <c r="B874" s="54" t="s">
        <v>2930</v>
      </c>
      <c r="C874" s="44" t="s">
        <v>2931</v>
      </c>
      <c r="D874" s="44"/>
      <c r="E874" s="44" t="s">
        <v>2890</v>
      </c>
      <c r="F874" s="44"/>
      <c r="G874" s="91">
        <v>45048</v>
      </c>
      <c r="H874" s="91">
        <v>45139</v>
      </c>
      <c r="I874" s="88">
        <v>45134</v>
      </c>
      <c r="J874" s="86"/>
    </row>
    <row r="875" spans="1:10" s="40" customFormat="1" ht="36" customHeight="1">
      <c r="A875" s="44"/>
      <c r="B875" s="54" t="s">
        <v>201</v>
      </c>
      <c r="C875" s="44" t="s">
        <v>2932</v>
      </c>
      <c r="D875" s="44" t="s">
        <v>2933</v>
      </c>
      <c r="E875" s="44"/>
      <c r="F875" s="44"/>
      <c r="G875" s="91">
        <v>44729</v>
      </c>
      <c r="H875" s="91">
        <v>45138</v>
      </c>
      <c r="I875" s="88">
        <v>45135</v>
      </c>
      <c r="J875" s="86"/>
    </row>
    <row r="876" spans="1:10" s="40" customFormat="1" ht="36" customHeight="1">
      <c r="A876" s="46"/>
      <c r="B876" s="31" t="s">
        <v>2934</v>
      </c>
      <c r="C876" s="16" t="s">
        <v>2935</v>
      </c>
      <c r="D876" s="54" t="s">
        <v>15</v>
      </c>
      <c r="E876" s="44" t="s">
        <v>15</v>
      </c>
      <c r="F876" s="31"/>
      <c r="G876" s="93">
        <v>44602</v>
      </c>
      <c r="H876" s="93">
        <v>45146</v>
      </c>
      <c r="I876" s="88">
        <v>45146</v>
      </c>
      <c r="J876" s="86">
        <v>696</v>
      </c>
    </row>
    <row r="877" spans="1:10" s="40" customFormat="1" ht="24" customHeight="1">
      <c r="A877" s="44"/>
      <c r="B877" s="54" t="s">
        <v>1289</v>
      </c>
      <c r="C877" s="44" t="s">
        <v>2936</v>
      </c>
      <c r="D877" s="44" t="s">
        <v>44</v>
      </c>
      <c r="E877" s="44"/>
      <c r="F877" s="44"/>
      <c r="G877" s="91">
        <v>45068</v>
      </c>
      <c r="H877" s="91">
        <v>45147</v>
      </c>
      <c r="I877" s="88">
        <v>45147</v>
      </c>
      <c r="J877" s="86">
        <v>1224</v>
      </c>
    </row>
    <row r="878" spans="1:10" s="40" customFormat="1" ht="36" customHeight="1">
      <c r="A878" s="44"/>
      <c r="B878" s="54" t="s">
        <v>741</v>
      </c>
      <c r="C878" s="44" t="s">
        <v>2937</v>
      </c>
      <c r="D878" s="44" t="s">
        <v>54</v>
      </c>
      <c r="E878" s="44"/>
      <c r="F878" s="44"/>
      <c r="G878" s="91">
        <v>44712</v>
      </c>
      <c r="H878" s="91">
        <v>45128</v>
      </c>
      <c r="I878" s="88">
        <v>45128</v>
      </c>
      <c r="J878" s="86"/>
    </row>
    <row r="879" spans="1:10" s="40" customFormat="1" ht="24" customHeight="1">
      <c r="A879" s="101"/>
      <c r="B879" s="54" t="s">
        <v>182</v>
      </c>
      <c r="C879" s="44" t="s">
        <v>2938</v>
      </c>
      <c r="D879" s="44" t="s">
        <v>15</v>
      </c>
      <c r="E879" s="44"/>
      <c r="F879" s="44"/>
      <c r="G879" s="91">
        <v>44531</v>
      </c>
      <c r="H879" s="91">
        <v>45161</v>
      </c>
      <c r="I879" s="88">
        <v>45154</v>
      </c>
      <c r="J879" s="86">
        <v>300</v>
      </c>
    </row>
    <row r="880" spans="1:10" s="40" customFormat="1" ht="36" customHeight="1">
      <c r="A880" s="44"/>
      <c r="B880" s="54" t="s">
        <v>2939</v>
      </c>
      <c r="C880" s="44" t="s">
        <v>2940</v>
      </c>
      <c r="D880" s="44" t="s">
        <v>15</v>
      </c>
      <c r="E880" s="44"/>
      <c r="F880" s="44"/>
      <c r="G880" s="91">
        <v>45005</v>
      </c>
      <c r="H880" s="91">
        <v>45167</v>
      </c>
      <c r="I880" s="88">
        <v>45167</v>
      </c>
      <c r="J880" s="86">
        <v>144</v>
      </c>
    </row>
    <row r="881" spans="1:10" s="40" customFormat="1" ht="28.5" customHeight="1">
      <c r="A881" s="44"/>
      <c r="B881" s="54" t="s">
        <v>2941</v>
      </c>
      <c r="C881" s="44" t="s">
        <v>2942</v>
      </c>
      <c r="D881" s="44" t="s">
        <v>15</v>
      </c>
      <c r="E881" s="44"/>
      <c r="F881" s="44"/>
      <c r="G881" s="91">
        <v>44956</v>
      </c>
      <c r="H881" s="91">
        <v>45155</v>
      </c>
      <c r="I881" s="88">
        <v>45155</v>
      </c>
      <c r="J881" s="86">
        <v>1008</v>
      </c>
    </row>
    <row r="882" spans="1:10" s="40" customFormat="1" ht="36" customHeight="1">
      <c r="A882" s="44"/>
      <c r="B882" s="54" t="s">
        <v>248</v>
      </c>
      <c r="C882" s="44" t="s">
        <v>2943</v>
      </c>
      <c r="D882" s="44" t="s">
        <v>18</v>
      </c>
      <c r="E882" s="44"/>
      <c r="F882" s="44"/>
      <c r="G882" s="91">
        <v>44734</v>
      </c>
      <c r="H882" s="91" t="s">
        <v>2944</v>
      </c>
      <c r="I882" s="88">
        <v>45160</v>
      </c>
      <c r="J882" s="86"/>
    </row>
    <row r="883" spans="1:10" s="40" customFormat="1" ht="36" customHeight="1">
      <c r="A883" s="54"/>
      <c r="B883" s="54" t="s">
        <v>161</v>
      </c>
      <c r="C883" s="44" t="s">
        <v>2945</v>
      </c>
      <c r="D883" s="44" t="s">
        <v>54</v>
      </c>
      <c r="E883" s="44"/>
      <c r="F883" s="44"/>
      <c r="G883" s="91" t="s">
        <v>2946</v>
      </c>
      <c r="H883" s="91">
        <v>45166</v>
      </c>
      <c r="I883" s="88">
        <v>45166</v>
      </c>
      <c r="J883" s="86"/>
    </row>
    <row r="884" spans="1:10" s="40" customFormat="1" ht="28.5" customHeight="1">
      <c r="A884" s="54"/>
      <c r="B884" s="54" t="s">
        <v>2947</v>
      </c>
      <c r="C884" s="44" t="s">
        <v>2948</v>
      </c>
      <c r="D884" s="44" t="s">
        <v>2949</v>
      </c>
      <c r="E884" s="44"/>
      <c r="F884" s="44"/>
      <c r="G884" s="91">
        <v>44834</v>
      </c>
      <c r="H884" s="91">
        <v>45146</v>
      </c>
      <c r="I884" s="88">
        <v>45146</v>
      </c>
      <c r="J884" s="86"/>
    </row>
    <row r="885" spans="1:10" s="40" customFormat="1" ht="30.75" customHeight="1">
      <c r="A885" s="44"/>
      <c r="B885" s="54" t="s">
        <v>1077</v>
      </c>
      <c r="C885" s="44" t="s">
        <v>2950</v>
      </c>
      <c r="D885" s="44" t="s">
        <v>2951</v>
      </c>
      <c r="E885" s="44"/>
      <c r="F885" s="44"/>
      <c r="G885" s="91" t="s">
        <v>2952</v>
      </c>
      <c r="H885" s="91" t="s">
        <v>2953</v>
      </c>
      <c r="I885" s="88">
        <v>45172</v>
      </c>
      <c r="J885" s="86">
        <v>48</v>
      </c>
    </row>
    <row r="886" spans="1:10" s="40" customFormat="1" ht="36" customHeight="1">
      <c r="A886" s="58"/>
      <c r="B886" s="58" t="s">
        <v>2954</v>
      </c>
      <c r="C886" s="58" t="s">
        <v>2955</v>
      </c>
      <c r="D886" s="58" t="s">
        <v>15</v>
      </c>
      <c r="E886" s="58"/>
      <c r="F886" s="58"/>
      <c r="G886" s="103">
        <v>44518</v>
      </c>
      <c r="H886" s="103"/>
      <c r="I886" s="104">
        <v>45125</v>
      </c>
      <c r="J886" s="86"/>
    </row>
    <row r="887" spans="1:10" s="40" customFormat="1" ht="36" customHeight="1">
      <c r="A887" s="44"/>
      <c r="B887" s="54" t="s">
        <v>2852</v>
      </c>
      <c r="C887" s="44" t="s">
        <v>2956</v>
      </c>
      <c r="D887" s="44" t="s">
        <v>44</v>
      </c>
      <c r="E887" s="44"/>
      <c r="F887" s="44"/>
      <c r="G887" s="91">
        <v>45104</v>
      </c>
      <c r="H887" s="91">
        <v>45189</v>
      </c>
      <c r="I887" s="88">
        <v>45196</v>
      </c>
      <c r="J887" s="86">
        <v>468</v>
      </c>
    </row>
    <row r="888" spans="1:10" s="40" customFormat="1" ht="28.5" customHeight="1">
      <c r="A888" s="44"/>
      <c r="B888" s="54" t="s">
        <v>2957</v>
      </c>
      <c r="C888" s="44" t="s">
        <v>2958</v>
      </c>
      <c r="D888" s="44" t="s">
        <v>167</v>
      </c>
      <c r="E888" s="44"/>
      <c r="F888" s="44"/>
      <c r="G888" s="91">
        <v>45106</v>
      </c>
      <c r="H888" s="91">
        <v>45185</v>
      </c>
      <c r="I888" s="88">
        <v>45185</v>
      </c>
      <c r="J888" s="86"/>
    </row>
    <row r="889" spans="1:10" s="40" customFormat="1" ht="30.75" customHeight="1">
      <c r="A889" s="44"/>
      <c r="B889" s="54" t="s">
        <v>2959</v>
      </c>
      <c r="C889" s="44" t="s">
        <v>2960</v>
      </c>
      <c r="D889" s="44" t="s">
        <v>18</v>
      </c>
      <c r="E889" s="44"/>
      <c r="F889" s="44"/>
      <c r="G889" s="91">
        <v>45114</v>
      </c>
      <c r="H889" s="91">
        <v>45195</v>
      </c>
      <c r="I889" s="88">
        <v>45195</v>
      </c>
      <c r="J889" s="86"/>
    </row>
    <row r="890" spans="1:10" s="40" customFormat="1" ht="36" customHeight="1">
      <c r="A890" s="44"/>
      <c r="B890" s="54" t="s">
        <v>2961</v>
      </c>
      <c r="C890" s="44" t="s">
        <v>2962</v>
      </c>
      <c r="D890" s="44" t="s">
        <v>2825</v>
      </c>
      <c r="E890" s="44"/>
      <c r="F890" s="44"/>
      <c r="G890" s="91">
        <v>44909</v>
      </c>
      <c r="H890" s="91">
        <v>45190</v>
      </c>
      <c r="I890" s="88">
        <v>45190</v>
      </c>
      <c r="J890" s="86"/>
    </row>
    <row r="891" spans="1:10" s="40" customFormat="1" ht="30.75" customHeight="1">
      <c r="A891" s="44"/>
      <c r="B891" s="54" t="s">
        <v>1850</v>
      </c>
      <c r="C891" s="44" t="s">
        <v>2963</v>
      </c>
      <c r="D891" s="44" t="s">
        <v>2964</v>
      </c>
      <c r="E891" s="44"/>
      <c r="F891" s="44"/>
      <c r="G891" s="91">
        <v>44993</v>
      </c>
      <c r="H891" s="91">
        <v>45202</v>
      </c>
      <c r="I891" s="88">
        <v>45207</v>
      </c>
      <c r="J891" s="86"/>
    </row>
    <row r="892" spans="1:10" s="40" customFormat="1" ht="42" customHeight="1">
      <c r="A892" s="44"/>
      <c r="B892" s="54" t="s">
        <v>2965</v>
      </c>
      <c r="C892" s="44" t="s">
        <v>2966</v>
      </c>
      <c r="D892" s="44" t="s">
        <v>2825</v>
      </c>
      <c r="E892" s="44"/>
      <c r="F892" s="44"/>
      <c r="G892" s="91">
        <v>45138</v>
      </c>
      <c r="H892" s="91">
        <v>45192</v>
      </c>
      <c r="I892" s="88">
        <v>45192</v>
      </c>
      <c r="J892" s="86"/>
    </row>
    <row r="893" spans="1:10" s="40" customFormat="1" ht="36" customHeight="1">
      <c r="A893" s="46"/>
      <c r="B893" s="31" t="s">
        <v>2967</v>
      </c>
      <c r="C893" s="16" t="s">
        <v>2968</v>
      </c>
      <c r="D893" s="54" t="s">
        <v>2969</v>
      </c>
      <c r="E893" s="44"/>
      <c r="F893" s="31"/>
      <c r="G893" s="93" t="s">
        <v>2970</v>
      </c>
      <c r="H893" s="93">
        <v>45197</v>
      </c>
      <c r="I893" s="88">
        <v>45197</v>
      </c>
      <c r="J893" s="86"/>
    </row>
    <row r="894" spans="1:10" s="40" customFormat="1" ht="42" customHeight="1">
      <c r="A894" s="44"/>
      <c r="B894" s="54" t="s">
        <v>2696</v>
      </c>
      <c r="C894" s="44" t="s">
        <v>2971</v>
      </c>
      <c r="D894" s="44" t="s">
        <v>80</v>
      </c>
      <c r="E894" s="44"/>
      <c r="F894" s="44"/>
      <c r="G894" s="91">
        <v>45070</v>
      </c>
      <c r="H894" s="91">
        <v>45202</v>
      </c>
      <c r="I894" s="88">
        <v>45202</v>
      </c>
      <c r="J894" s="86">
        <v>348</v>
      </c>
    </row>
    <row r="895" spans="1:10" s="40" customFormat="1" ht="28.5" customHeight="1">
      <c r="A895" s="44"/>
      <c r="B895" s="54" t="s">
        <v>2972</v>
      </c>
      <c r="C895" s="44" t="s">
        <v>2973</v>
      </c>
      <c r="D895" s="44" t="s">
        <v>80</v>
      </c>
      <c r="E895" s="44"/>
      <c r="F895" s="44"/>
      <c r="G895" s="91">
        <v>45029</v>
      </c>
      <c r="H895" s="91">
        <v>45152</v>
      </c>
      <c r="I895" s="88">
        <v>45151</v>
      </c>
      <c r="J895" s="86">
        <v>2484</v>
      </c>
    </row>
    <row r="896" spans="1:10" s="40" customFormat="1" ht="36" customHeight="1">
      <c r="A896" s="44"/>
      <c r="B896" s="54" t="s">
        <v>2974</v>
      </c>
      <c r="C896" s="44" t="s">
        <v>2975</v>
      </c>
      <c r="D896" s="44" t="s">
        <v>167</v>
      </c>
      <c r="E896" s="44"/>
      <c r="F896" s="44"/>
      <c r="G896" s="91">
        <v>45068</v>
      </c>
      <c r="H896" s="91">
        <v>45204</v>
      </c>
      <c r="I896" s="88">
        <v>45204</v>
      </c>
      <c r="J896" s="86"/>
    </row>
    <row r="897" spans="1:10" s="40" customFormat="1" ht="42" customHeight="1">
      <c r="A897" s="54"/>
      <c r="B897" s="54" t="s">
        <v>2976</v>
      </c>
      <c r="C897" s="44" t="s">
        <v>2977</v>
      </c>
      <c r="D897" s="44" t="s">
        <v>18</v>
      </c>
      <c r="E897" s="44"/>
      <c r="F897" s="44"/>
      <c r="G897" s="91">
        <v>44788</v>
      </c>
      <c r="H897" s="91">
        <v>45203</v>
      </c>
      <c r="I897" s="88">
        <v>45203</v>
      </c>
      <c r="J897" s="86"/>
    </row>
    <row r="898" spans="1:10" s="40" customFormat="1" ht="20.100000000000001" customHeight="1">
      <c r="A898" s="54"/>
      <c r="B898" s="54" t="s">
        <v>2978</v>
      </c>
      <c r="C898" s="44" t="s">
        <v>2979</v>
      </c>
      <c r="D898" s="44" t="s">
        <v>15</v>
      </c>
      <c r="E898" s="44"/>
      <c r="F898" s="44"/>
      <c r="G898" s="91">
        <v>44670</v>
      </c>
      <c r="H898" s="91">
        <v>45211</v>
      </c>
      <c r="I898" s="88">
        <v>45211</v>
      </c>
      <c r="J898" s="86">
        <v>276</v>
      </c>
    </row>
    <row r="899" spans="1:10" s="40" customFormat="1" ht="30.75" customHeight="1">
      <c r="A899" s="44"/>
      <c r="B899" s="54" t="s">
        <v>2852</v>
      </c>
      <c r="C899" s="44" t="s">
        <v>2980</v>
      </c>
      <c r="D899" s="44" t="s">
        <v>80</v>
      </c>
      <c r="E899" s="44"/>
      <c r="F899" s="44"/>
      <c r="G899" s="91">
        <v>44965</v>
      </c>
      <c r="H899" s="91">
        <v>45215</v>
      </c>
      <c r="I899" s="88">
        <v>45215</v>
      </c>
      <c r="J899" s="86">
        <v>804</v>
      </c>
    </row>
    <row r="900" spans="1:10" s="40" customFormat="1" ht="28.5" customHeight="1">
      <c r="A900" s="46"/>
      <c r="B900" s="31" t="s">
        <v>1289</v>
      </c>
      <c r="C900" s="16" t="s">
        <v>2981</v>
      </c>
      <c r="D900" s="54" t="s">
        <v>15</v>
      </c>
      <c r="E900" s="44"/>
      <c r="F900" s="31"/>
      <c r="G900" s="93">
        <v>45160</v>
      </c>
      <c r="H900" s="93">
        <v>45151</v>
      </c>
      <c r="I900" s="88">
        <v>45221</v>
      </c>
      <c r="J900" s="86"/>
    </row>
    <row r="901" spans="1:10" s="40" customFormat="1" ht="30.75" customHeight="1">
      <c r="A901" s="54"/>
      <c r="B901" s="54" t="s">
        <v>1289</v>
      </c>
      <c r="C901" s="44" t="s">
        <v>2982</v>
      </c>
      <c r="D901" s="44" t="s">
        <v>44</v>
      </c>
      <c r="E901" s="44"/>
      <c r="F901" s="44"/>
      <c r="G901" s="91">
        <v>45146</v>
      </c>
      <c r="H901" s="91">
        <v>45212</v>
      </c>
      <c r="I901" s="88">
        <v>45207</v>
      </c>
      <c r="J901" s="86">
        <v>1200</v>
      </c>
    </row>
    <row r="902" spans="1:10" s="40" customFormat="1" ht="30.75" customHeight="1">
      <c r="A902" s="54"/>
      <c r="B902" s="54" t="s">
        <v>2983</v>
      </c>
      <c r="C902" s="44" t="s">
        <v>2984</v>
      </c>
      <c r="D902" s="44" t="s">
        <v>15</v>
      </c>
      <c r="E902" s="44"/>
      <c r="F902" s="44"/>
      <c r="G902" s="91">
        <v>44831</v>
      </c>
      <c r="H902" s="91">
        <v>45229</v>
      </c>
      <c r="I902" s="88">
        <v>45226</v>
      </c>
      <c r="J902" s="86">
        <v>996</v>
      </c>
    </row>
    <row r="903" spans="1:10" s="40" customFormat="1" ht="42.6" customHeight="1">
      <c r="A903" s="44"/>
      <c r="B903" s="54" t="s">
        <v>161</v>
      </c>
      <c r="C903" s="44" t="s">
        <v>2985</v>
      </c>
      <c r="D903" s="44" t="s">
        <v>18</v>
      </c>
      <c r="E903" s="44"/>
      <c r="F903" s="44"/>
      <c r="G903" s="91">
        <v>44930</v>
      </c>
      <c r="H903" s="91">
        <v>45231</v>
      </c>
      <c r="I903" s="88">
        <v>45234</v>
      </c>
      <c r="J903" s="86"/>
    </row>
    <row r="904" spans="1:10" s="40" customFormat="1" ht="42.6" customHeight="1">
      <c r="A904" s="44"/>
      <c r="B904" s="54" t="s">
        <v>2986</v>
      </c>
      <c r="C904" s="44" t="s">
        <v>2987</v>
      </c>
      <c r="D904" s="44" t="s">
        <v>167</v>
      </c>
      <c r="E904" s="44"/>
      <c r="F904" s="44"/>
      <c r="G904" s="91">
        <v>45139</v>
      </c>
      <c r="H904" s="91">
        <v>45231</v>
      </c>
      <c r="I904" s="88">
        <v>45231</v>
      </c>
      <c r="J904" s="86"/>
    </row>
    <row r="905" spans="1:10" s="40" customFormat="1" ht="28.5" customHeight="1">
      <c r="A905" s="44"/>
      <c r="B905" s="54" t="s">
        <v>2988</v>
      </c>
      <c r="C905" s="44" t="s">
        <v>2989</v>
      </c>
      <c r="D905" s="44" t="s">
        <v>15</v>
      </c>
      <c r="E905" s="44"/>
      <c r="F905" s="44"/>
      <c r="G905" s="91">
        <v>45008</v>
      </c>
      <c r="H905" s="91">
        <v>45236</v>
      </c>
      <c r="I905" s="88">
        <v>45253</v>
      </c>
      <c r="J905" s="86">
        <v>684</v>
      </c>
    </row>
    <row r="906" spans="1:10" s="40" customFormat="1" ht="28.5" customHeight="1">
      <c r="A906" s="46"/>
      <c r="B906" s="31" t="s">
        <v>24</v>
      </c>
      <c r="C906" s="16" t="s">
        <v>2990</v>
      </c>
      <c r="D906" s="54" t="s">
        <v>15</v>
      </c>
      <c r="E906" s="44"/>
      <c r="F906" s="31"/>
      <c r="G906" s="93">
        <v>45223</v>
      </c>
      <c r="H906" s="93">
        <v>45243</v>
      </c>
      <c r="I906" s="88">
        <v>45254</v>
      </c>
      <c r="J906" s="86"/>
    </row>
    <row r="907" spans="1:10" s="40" customFormat="1" ht="30.75" customHeight="1">
      <c r="A907" s="54"/>
      <c r="B907" s="54" t="s">
        <v>161</v>
      </c>
      <c r="C907" s="44" t="s">
        <v>2991</v>
      </c>
      <c r="D907" s="44" t="s">
        <v>2922</v>
      </c>
      <c r="E907" s="44"/>
      <c r="F907" s="44"/>
      <c r="G907" s="91">
        <v>45191</v>
      </c>
      <c r="H907" s="91">
        <v>45201</v>
      </c>
      <c r="I907" s="88">
        <v>45221</v>
      </c>
      <c r="J907" s="86"/>
    </row>
    <row r="908" spans="1:10" s="40" customFormat="1" ht="28.5" customHeight="1">
      <c r="A908" s="44"/>
      <c r="B908" s="54" t="s">
        <v>2992</v>
      </c>
      <c r="C908" s="44" t="s">
        <v>2993</v>
      </c>
      <c r="D908" s="44" t="s">
        <v>167</v>
      </c>
      <c r="E908" s="44"/>
      <c r="F908" s="44"/>
      <c r="G908" s="91">
        <v>45104</v>
      </c>
      <c r="H908" s="91">
        <v>45258</v>
      </c>
      <c r="I908" s="88">
        <v>45257</v>
      </c>
      <c r="J908" s="86"/>
    </row>
    <row r="909" spans="1:10" s="40" customFormat="1" ht="36" customHeight="1">
      <c r="A909" s="54"/>
      <c r="B909" s="54" t="s">
        <v>1933</v>
      </c>
      <c r="C909" s="44" t="s">
        <v>2700</v>
      </c>
      <c r="D909" s="44" t="s">
        <v>18</v>
      </c>
      <c r="E909" s="44"/>
      <c r="F909" s="44"/>
      <c r="G909" s="91" t="s">
        <v>2994</v>
      </c>
      <c r="H909" s="91"/>
      <c r="I909" s="88">
        <v>45235</v>
      </c>
      <c r="J909" s="86"/>
    </row>
    <row r="910" spans="1:10" s="40" customFormat="1" ht="28.5" customHeight="1">
      <c r="A910" s="46"/>
      <c r="B910" s="31" t="s">
        <v>2178</v>
      </c>
      <c r="C910" s="16" t="s">
        <v>2995</v>
      </c>
      <c r="D910" s="54" t="s">
        <v>44</v>
      </c>
      <c r="E910" s="44"/>
      <c r="F910" s="31"/>
      <c r="G910" s="93">
        <v>45240</v>
      </c>
      <c r="H910" s="93">
        <v>45268</v>
      </c>
      <c r="I910" s="88">
        <v>45270</v>
      </c>
      <c r="J910" s="86"/>
    </row>
    <row r="911" spans="1:10" s="40" customFormat="1" ht="28.5" customHeight="1">
      <c r="A911" s="44"/>
      <c r="B911" s="54" t="s">
        <v>2996</v>
      </c>
      <c r="C911" s="44" t="s">
        <v>2997</v>
      </c>
      <c r="D911" s="44" t="s">
        <v>15</v>
      </c>
      <c r="E911" s="44"/>
      <c r="F911" s="44"/>
      <c r="G911" s="91">
        <v>45148</v>
      </c>
      <c r="H911" s="91">
        <v>45272</v>
      </c>
      <c r="I911" s="88">
        <v>45270</v>
      </c>
      <c r="J911" s="86">
        <v>240</v>
      </c>
    </row>
    <row r="912" spans="1:10" s="40" customFormat="1" ht="30.75" customHeight="1">
      <c r="A912" s="46"/>
      <c r="B912" s="31" t="s">
        <v>2998</v>
      </c>
      <c r="C912" s="16" t="s">
        <v>2999</v>
      </c>
      <c r="D912" s="54" t="s">
        <v>15</v>
      </c>
      <c r="E912" s="44"/>
      <c r="F912" s="31"/>
      <c r="G912" s="93">
        <v>44722</v>
      </c>
      <c r="H912" s="93">
        <v>45272</v>
      </c>
      <c r="I912" s="88">
        <v>45264</v>
      </c>
      <c r="J912" s="86">
        <v>264</v>
      </c>
    </row>
    <row r="913" spans="1:11" s="40" customFormat="1" ht="42" customHeight="1">
      <c r="A913" s="44"/>
      <c r="B913" s="54" t="s">
        <v>2850</v>
      </c>
      <c r="C913" s="44" t="s">
        <v>3000</v>
      </c>
      <c r="D913" s="44" t="s">
        <v>80</v>
      </c>
      <c r="E913" s="44"/>
      <c r="F913" s="44"/>
      <c r="G913" s="91">
        <v>45007</v>
      </c>
      <c r="H913" s="91">
        <v>45279</v>
      </c>
      <c r="I913" s="88">
        <v>45279</v>
      </c>
      <c r="J913" s="86">
        <v>144</v>
      </c>
    </row>
    <row r="914" spans="1:11" s="40" customFormat="1" ht="36" customHeight="1">
      <c r="A914" s="44"/>
      <c r="B914" s="54" t="s">
        <v>201</v>
      </c>
      <c r="C914" s="44" t="s">
        <v>3001</v>
      </c>
      <c r="D914" s="44" t="s">
        <v>44</v>
      </c>
      <c r="E914" s="44"/>
      <c r="F914" s="44"/>
      <c r="G914" s="91">
        <v>45021</v>
      </c>
      <c r="H914" s="91">
        <v>45278</v>
      </c>
      <c r="I914" s="88">
        <v>45278</v>
      </c>
      <c r="J914" s="86">
        <v>1044</v>
      </c>
    </row>
    <row r="915" spans="1:11" s="40" customFormat="1" ht="36" customHeight="1">
      <c r="A915" s="44"/>
      <c r="B915" s="54" t="s">
        <v>205</v>
      </c>
      <c r="C915" s="44" t="s">
        <v>3002</v>
      </c>
      <c r="D915" s="44" t="s">
        <v>3003</v>
      </c>
      <c r="E915" s="44"/>
      <c r="F915" s="44"/>
      <c r="G915" s="91">
        <v>44942</v>
      </c>
      <c r="H915" s="91">
        <v>45252</v>
      </c>
      <c r="I915" s="88">
        <v>45246</v>
      </c>
      <c r="J915" s="86"/>
    </row>
    <row r="916" spans="1:11" s="40" customFormat="1" ht="24" customHeight="1">
      <c r="A916" s="54"/>
      <c r="B916" s="54" t="s">
        <v>322</v>
      </c>
      <c r="C916" s="44" t="s">
        <v>3004</v>
      </c>
      <c r="D916" s="44" t="s">
        <v>18</v>
      </c>
      <c r="E916" s="44"/>
      <c r="F916" s="44"/>
      <c r="G916" s="91">
        <v>45195</v>
      </c>
      <c r="H916" s="91">
        <v>45258</v>
      </c>
      <c r="I916" s="88">
        <v>45256</v>
      </c>
      <c r="J916" s="86"/>
    </row>
    <row r="917" spans="1:11" s="40" customFormat="1" ht="29.85" customHeight="1">
      <c r="A917" s="44"/>
      <c r="B917" s="54" t="s">
        <v>155</v>
      </c>
      <c r="C917" s="44" t="s">
        <v>3005</v>
      </c>
      <c r="D917" s="44" t="s">
        <v>15</v>
      </c>
      <c r="E917" s="44" t="s">
        <v>15</v>
      </c>
      <c r="F917" s="44"/>
      <c r="G917" s="91">
        <v>44245</v>
      </c>
      <c r="H917" s="91">
        <v>45287</v>
      </c>
      <c r="I917" s="88">
        <v>45296</v>
      </c>
      <c r="J917" s="86">
        <v>756</v>
      </c>
    </row>
    <row r="918" spans="1:11" s="40" customFormat="1" ht="42" customHeight="1">
      <c r="A918" s="44"/>
      <c r="B918" s="54" t="s">
        <v>3006</v>
      </c>
      <c r="C918" s="44" t="s">
        <v>3007</v>
      </c>
      <c r="D918" s="44" t="s">
        <v>2969</v>
      </c>
      <c r="E918" s="44"/>
      <c r="F918" s="44"/>
      <c r="G918" s="91">
        <v>44476</v>
      </c>
      <c r="H918" s="91">
        <v>45288</v>
      </c>
      <c r="I918" s="88">
        <v>45288</v>
      </c>
      <c r="J918" s="86"/>
    </row>
    <row r="919" spans="1:11" s="40" customFormat="1" ht="30.75" customHeight="1">
      <c r="A919" s="54"/>
      <c r="B919" s="54" t="s">
        <v>2827</v>
      </c>
      <c r="C919" s="44" t="s">
        <v>3008</v>
      </c>
      <c r="D919" s="44" t="s">
        <v>44</v>
      </c>
      <c r="E919" s="44"/>
      <c r="F919" s="44"/>
      <c r="G919" s="91">
        <v>44839</v>
      </c>
      <c r="H919" s="91" t="s">
        <v>3009</v>
      </c>
      <c r="I919" s="88">
        <v>45265</v>
      </c>
      <c r="J919" s="86">
        <v>468</v>
      </c>
    </row>
    <row r="920" spans="1:11" s="40" customFormat="1" ht="29.85" customHeight="1">
      <c r="A920" s="46"/>
      <c r="B920" s="31" t="s">
        <v>3010</v>
      </c>
      <c r="C920" s="16" t="s">
        <v>3011</v>
      </c>
      <c r="D920" s="54" t="s">
        <v>18</v>
      </c>
      <c r="E920" s="44"/>
      <c r="F920" s="31"/>
      <c r="G920" s="93">
        <v>45210</v>
      </c>
      <c r="H920" s="93">
        <v>45294</v>
      </c>
      <c r="I920" s="88">
        <v>45294</v>
      </c>
      <c r="J920" s="86"/>
    </row>
    <row r="921" spans="1:11" s="40" customFormat="1" ht="24" customHeight="1">
      <c r="A921" s="46"/>
      <c r="B921" s="31" t="s">
        <v>1202</v>
      </c>
      <c r="C921" s="16" t="s">
        <v>3012</v>
      </c>
      <c r="D921" s="54" t="s">
        <v>3013</v>
      </c>
      <c r="E921" s="44"/>
      <c r="F921" s="31"/>
      <c r="G921" s="93" t="s">
        <v>3014</v>
      </c>
      <c r="H921" s="93" t="s">
        <v>3015</v>
      </c>
      <c r="I921" s="88">
        <v>45274</v>
      </c>
      <c r="J921" s="86"/>
    </row>
    <row r="922" spans="1:11" s="40" customFormat="1" ht="36" customHeight="1">
      <c r="A922" s="44"/>
      <c r="B922" s="54" t="s">
        <v>2154</v>
      </c>
      <c r="C922" s="44" t="s">
        <v>3016</v>
      </c>
      <c r="D922" s="44" t="s">
        <v>149</v>
      </c>
      <c r="E922" s="44"/>
      <c r="F922" s="44"/>
      <c r="G922" s="91">
        <v>44964</v>
      </c>
      <c r="H922" s="91" t="s">
        <v>3017</v>
      </c>
      <c r="I922" s="88">
        <v>45283</v>
      </c>
      <c r="J922" s="86"/>
    </row>
    <row r="923" spans="1:11" s="40" customFormat="1" ht="24" customHeight="1">
      <c r="A923" s="46"/>
      <c r="B923" s="31" t="s">
        <v>1289</v>
      </c>
      <c r="C923" s="16" t="s">
        <v>3018</v>
      </c>
      <c r="D923" s="54" t="s">
        <v>44</v>
      </c>
      <c r="E923" s="44"/>
      <c r="F923" s="31"/>
      <c r="G923" s="93">
        <v>45212</v>
      </c>
      <c r="H923" s="93"/>
      <c r="I923" s="88">
        <v>45273</v>
      </c>
      <c r="J923" s="86"/>
    </row>
    <row r="924" spans="1:11" s="40" customFormat="1" ht="36" customHeight="1">
      <c r="A924" s="101"/>
      <c r="B924" s="134" t="s">
        <v>195</v>
      </c>
      <c r="C924" s="44" t="s">
        <v>3019</v>
      </c>
      <c r="D924" s="44" t="s">
        <v>15</v>
      </c>
      <c r="E924" s="44"/>
      <c r="F924" s="109" t="s">
        <v>3020</v>
      </c>
      <c r="G924" s="91">
        <v>44531</v>
      </c>
      <c r="H924" s="91">
        <v>45303</v>
      </c>
      <c r="I924" s="88">
        <v>45302</v>
      </c>
      <c r="J924" s="86">
        <v>60</v>
      </c>
    </row>
    <row r="925" spans="1:11" s="40" customFormat="1" ht="28.5" customHeight="1">
      <c r="A925" s="44"/>
      <c r="B925" s="134" t="s">
        <v>195</v>
      </c>
      <c r="C925" s="44" t="s">
        <v>3021</v>
      </c>
      <c r="D925" s="44" t="s">
        <v>15</v>
      </c>
      <c r="E925" s="44"/>
      <c r="F925" s="44"/>
      <c r="G925" s="91">
        <v>37562</v>
      </c>
      <c r="H925" s="91">
        <v>45308</v>
      </c>
      <c r="I925" s="88">
        <v>45308</v>
      </c>
      <c r="J925" s="86">
        <v>624</v>
      </c>
    </row>
    <row r="926" spans="1:11" s="40" customFormat="1" ht="29.85" customHeight="1">
      <c r="A926" s="46"/>
      <c r="B926" s="31" t="s">
        <v>24</v>
      </c>
      <c r="C926" s="16" t="s">
        <v>3022</v>
      </c>
      <c r="D926" s="54" t="s">
        <v>15</v>
      </c>
      <c r="E926" s="44"/>
      <c r="F926" s="31"/>
      <c r="G926" s="93">
        <v>45278</v>
      </c>
      <c r="H926" s="93"/>
      <c r="I926" s="88">
        <v>45309</v>
      </c>
      <c r="J926" s="86" t="s">
        <v>3023</v>
      </c>
      <c r="K926" s="40" t="s">
        <v>3024</v>
      </c>
    </row>
    <row r="927" spans="1:11" s="40" customFormat="1" ht="24" customHeight="1">
      <c r="A927" s="54"/>
      <c r="B927" s="54" t="s">
        <v>3025</v>
      </c>
      <c r="C927" s="44" t="s">
        <v>3026</v>
      </c>
      <c r="D927" s="44" t="s">
        <v>15</v>
      </c>
      <c r="E927" s="44"/>
      <c r="F927" s="44"/>
      <c r="G927" s="91">
        <v>44816</v>
      </c>
      <c r="H927" s="91">
        <v>45310</v>
      </c>
      <c r="I927" s="88">
        <v>45310</v>
      </c>
      <c r="J927" s="86">
        <v>264</v>
      </c>
      <c r="K927" s="40" t="s">
        <v>3027</v>
      </c>
    </row>
    <row r="928" spans="1:11" s="40" customFormat="1" ht="28.5" customHeight="1">
      <c r="A928" s="54"/>
      <c r="B928" s="54" t="s">
        <v>152</v>
      </c>
      <c r="C928" s="44" t="s">
        <v>3028</v>
      </c>
      <c r="D928" s="44" t="s">
        <v>15</v>
      </c>
      <c r="E928" s="44"/>
      <c r="F928" s="44"/>
      <c r="G928" s="91">
        <v>44818</v>
      </c>
      <c r="H928" s="91"/>
      <c r="I928" s="88">
        <v>45305</v>
      </c>
      <c r="J928" s="86">
        <v>672</v>
      </c>
      <c r="K928" s="40" t="s">
        <v>3029</v>
      </c>
    </row>
    <row r="929" spans="1:10" s="40" customFormat="1" ht="42.6" customHeight="1">
      <c r="A929" s="46"/>
      <c r="B929" s="31" t="s">
        <v>3030</v>
      </c>
      <c r="C929" s="16" t="s">
        <v>3031</v>
      </c>
      <c r="D929" s="54" t="s">
        <v>3032</v>
      </c>
      <c r="E929" s="44"/>
      <c r="F929" s="31"/>
      <c r="G929" s="93">
        <v>45252</v>
      </c>
      <c r="H929" s="93">
        <v>45313</v>
      </c>
      <c r="I929" s="88">
        <v>45313</v>
      </c>
      <c r="J929" s="86"/>
    </row>
    <row r="930" spans="1:10" s="40" customFormat="1" ht="30.75" customHeight="1">
      <c r="A930" s="44"/>
      <c r="B930" s="54" t="s">
        <v>2377</v>
      </c>
      <c r="C930" s="44" t="s">
        <v>3033</v>
      </c>
      <c r="D930" s="44" t="s">
        <v>89</v>
      </c>
      <c r="E930" s="44"/>
      <c r="F930" s="44"/>
      <c r="G930" s="91">
        <v>45112</v>
      </c>
      <c r="H930" s="91">
        <v>45314</v>
      </c>
      <c r="I930" s="88">
        <v>45314</v>
      </c>
      <c r="J930" s="86"/>
    </row>
    <row r="931" spans="1:10" s="40" customFormat="1" ht="29.85" customHeight="1">
      <c r="A931" s="46"/>
      <c r="B931" s="31" t="s">
        <v>161</v>
      </c>
      <c r="C931" s="16" t="s">
        <v>3034</v>
      </c>
      <c r="D931" s="54" t="s">
        <v>15</v>
      </c>
      <c r="E931" s="44"/>
      <c r="F931" s="31"/>
      <c r="G931" s="93">
        <v>44405</v>
      </c>
      <c r="H931" s="93">
        <v>45315</v>
      </c>
      <c r="I931" s="88">
        <v>45315</v>
      </c>
      <c r="J931" s="86">
        <v>192</v>
      </c>
    </row>
    <row r="932" spans="1:10" s="40" customFormat="1" ht="28.5" customHeight="1">
      <c r="A932" s="46"/>
      <c r="B932" s="54" t="s">
        <v>33</v>
      </c>
      <c r="C932" s="44" t="s">
        <v>3035</v>
      </c>
      <c r="D932" s="44" t="s">
        <v>3036</v>
      </c>
      <c r="E932" s="44"/>
      <c r="F932" s="44"/>
      <c r="G932" s="91" t="s">
        <v>3037</v>
      </c>
      <c r="H932" s="91">
        <v>45282</v>
      </c>
      <c r="I932" s="88">
        <v>45282</v>
      </c>
      <c r="J932" s="86"/>
    </row>
    <row r="933" spans="1:10" s="40" customFormat="1" ht="28.5" customHeight="1">
      <c r="A933" s="46"/>
      <c r="B933" s="31" t="s">
        <v>3038</v>
      </c>
      <c r="C933" s="16" t="s">
        <v>3039</v>
      </c>
      <c r="D933" s="54" t="s">
        <v>672</v>
      </c>
      <c r="E933" s="44"/>
      <c r="F933" s="31"/>
      <c r="G933" s="93">
        <v>45245</v>
      </c>
      <c r="H933" s="93">
        <v>45623</v>
      </c>
      <c r="I933" s="88">
        <v>45618</v>
      </c>
      <c r="J933" s="86"/>
    </row>
    <row r="934" spans="1:10" s="40" customFormat="1" ht="31.5" customHeight="1">
      <c r="A934" s="44"/>
      <c r="B934" s="54" t="s">
        <v>2957</v>
      </c>
      <c r="C934" s="44" t="s">
        <v>3007</v>
      </c>
      <c r="D934" s="44" t="s">
        <v>3040</v>
      </c>
      <c r="E934" s="44"/>
      <c r="F934" s="44"/>
      <c r="G934" s="91">
        <v>45100</v>
      </c>
      <c r="H934" s="91">
        <v>45313</v>
      </c>
      <c r="I934" s="88">
        <v>45313</v>
      </c>
      <c r="J934" s="86"/>
    </row>
    <row r="935" spans="1:10" s="40" customFormat="1" ht="30.75" customHeight="1">
      <c r="A935" s="44"/>
      <c r="B935" s="54" t="s">
        <v>2753</v>
      </c>
      <c r="C935" s="44" t="s">
        <v>3041</v>
      </c>
      <c r="D935" s="44" t="s">
        <v>15</v>
      </c>
      <c r="E935" s="44"/>
      <c r="F935" s="44"/>
      <c r="G935" s="91">
        <v>45061</v>
      </c>
      <c r="H935" s="91">
        <v>45316</v>
      </c>
      <c r="I935" s="88">
        <v>45316</v>
      </c>
      <c r="J935" s="86">
        <v>588</v>
      </c>
    </row>
    <row r="936" spans="1:10" s="40" customFormat="1" ht="28.5" customHeight="1">
      <c r="A936" s="44"/>
      <c r="B936" s="134" t="s">
        <v>3042</v>
      </c>
      <c r="C936" s="44" t="s">
        <v>3043</v>
      </c>
      <c r="D936" s="44" t="s">
        <v>80</v>
      </c>
      <c r="E936" s="44"/>
      <c r="F936" s="44"/>
      <c r="G936" s="91">
        <v>44970</v>
      </c>
      <c r="H936" s="91">
        <v>45317</v>
      </c>
      <c r="I936" s="88">
        <v>45309</v>
      </c>
      <c r="J936" s="86">
        <v>192</v>
      </c>
    </row>
    <row r="937" spans="1:10" s="40" customFormat="1" ht="30.75" customHeight="1">
      <c r="A937" s="44"/>
      <c r="B937" s="54" t="s">
        <v>2747</v>
      </c>
      <c r="C937" s="44" t="s">
        <v>3044</v>
      </c>
      <c r="D937" s="44" t="s">
        <v>2272</v>
      </c>
      <c r="E937" s="44"/>
      <c r="F937" s="44"/>
      <c r="G937" s="91">
        <v>45061</v>
      </c>
      <c r="H937" s="91">
        <v>45316</v>
      </c>
      <c r="I937" s="88">
        <v>45316</v>
      </c>
      <c r="J937" s="86"/>
    </row>
    <row r="938" spans="1:10" s="40" customFormat="1" ht="36" customHeight="1">
      <c r="A938" s="44"/>
      <c r="B938" s="134" t="s">
        <v>3045</v>
      </c>
      <c r="C938" s="44" t="s">
        <v>3046</v>
      </c>
      <c r="D938" s="44" t="s">
        <v>80</v>
      </c>
      <c r="E938" s="44"/>
      <c r="F938" s="44"/>
      <c r="G938" s="91">
        <v>45050</v>
      </c>
      <c r="H938" s="91">
        <v>45324</v>
      </c>
      <c r="I938" s="88">
        <v>45315</v>
      </c>
      <c r="J938" s="86">
        <v>156</v>
      </c>
    </row>
    <row r="939" spans="1:10" s="40" customFormat="1" ht="30.75" customHeight="1">
      <c r="A939" s="44"/>
      <c r="B939" s="54" t="s">
        <v>90</v>
      </c>
      <c r="C939" s="44" t="s">
        <v>3047</v>
      </c>
      <c r="D939" s="44" t="s">
        <v>80</v>
      </c>
      <c r="E939" s="44"/>
      <c r="F939" s="44"/>
      <c r="G939" s="91">
        <v>44908</v>
      </c>
      <c r="H939" s="91">
        <v>45327</v>
      </c>
      <c r="I939" s="88">
        <v>45330</v>
      </c>
      <c r="J939" s="122">
        <v>108</v>
      </c>
    </row>
    <row r="940" spans="1:10" s="40" customFormat="1" ht="36" customHeight="1">
      <c r="A940" s="54"/>
      <c r="B940" s="54" t="s">
        <v>1512</v>
      </c>
      <c r="C940" s="44" t="s">
        <v>3048</v>
      </c>
      <c r="D940" s="44" t="s">
        <v>2491</v>
      </c>
      <c r="E940" s="44"/>
      <c r="F940" s="44"/>
      <c r="G940" s="91">
        <v>44684</v>
      </c>
      <c r="H940" s="91">
        <v>45327</v>
      </c>
      <c r="I940" s="88">
        <v>45325</v>
      </c>
      <c r="J940" s="86"/>
    </row>
    <row r="941" spans="1:10" s="40" customFormat="1" ht="42" customHeight="1">
      <c r="A941" s="46"/>
      <c r="B941" s="31" t="s">
        <v>248</v>
      </c>
      <c r="C941" s="16" t="s">
        <v>3049</v>
      </c>
      <c r="D941" s="54" t="s">
        <v>2491</v>
      </c>
      <c r="E941" s="44"/>
      <c r="F941" s="31"/>
      <c r="G941" s="93" t="s">
        <v>3050</v>
      </c>
      <c r="H941" s="93" t="s">
        <v>3051</v>
      </c>
      <c r="I941" s="88">
        <v>45331</v>
      </c>
      <c r="J941" s="86"/>
    </row>
    <row r="942" spans="1:10" s="40" customFormat="1" ht="36" customHeight="1">
      <c r="A942" s="44"/>
      <c r="B942" s="54" t="s">
        <v>2798</v>
      </c>
      <c r="C942" s="44" t="s">
        <v>3052</v>
      </c>
      <c r="D942" s="44" t="s">
        <v>15</v>
      </c>
      <c r="E942" s="44"/>
      <c r="F942" s="44"/>
      <c r="G942" s="91">
        <v>45085</v>
      </c>
      <c r="H942" s="91">
        <v>45331</v>
      </c>
      <c r="I942" s="88">
        <v>45330</v>
      </c>
      <c r="J942" s="86">
        <v>228</v>
      </c>
    </row>
    <row r="943" spans="1:10" s="40" customFormat="1" ht="42" customHeight="1">
      <c r="A943" s="44"/>
      <c r="B943" s="54" t="s">
        <v>2747</v>
      </c>
      <c r="C943" s="44" t="s">
        <v>3053</v>
      </c>
      <c r="D943" s="44" t="s">
        <v>3054</v>
      </c>
      <c r="E943" s="44"/>
      <c r="F943" s="44"/>
      <c r="G943" s="91">
        <v>45076</v>
      </c>
      <c r="H943" s="91" t="s">
        <v>3055</v>
      </c>
      <c r="I943" s="88">
        <v>45331</v>
      </c>
      <c r="J943" s="86">
        <v>684</v>
      </c>
    </row>
    <row r="944" spans="1:10" s="40" customFormat="1" ht="30.75" customHeight="1">
      <c r="A944" s="46"/>
      <c r="B944" s="31" t="s">
        <v>2738</v>
      </c>
      <c r="C944" s="16" t="s">
        <v>3056</v>
      </c>
      <c r="D944" s="54" t="s">
        <v>15</v>
      </c>
      <c r="E944" s="44"/>
      <c r="F944" s="31"/>
      <c r="G944" s="93">
        <v>45280</v>
      </c>
      <c r="H944" s="93">
        <v>45334</v>
      </c>
      <c r="I944" s="88">
        <v>45334</v>
      </c>
      <c r="J944" s="86">
        <v>72</v>
      </c>
    </row>
    <row r="945" spans="1:10" s="40" customFormat="1" ht="24" customHeight="1">
      <c r="A945" s="46"/>
      <c r="B945" s="31" t="s">
        <v>2567</v>
      </c>
      <c r="C945" s="16" t="s">
        <v>3057</v>
      </c>
      <c r="D945" s="54" t="s">
        <v>3058</v>
      </c>
      <c r="E945" s="44"/>
      <c r="F945" s="31"/>
      <c r="G945" s="93">
        <v>45244</v>
      </c>
      <c r="H945" s="93">
        <v>45337</v>
      </c>
      <c r="I945" s="88">
        <v>45336</v>
      </c>
      <c r="J945" s="86"/>
    </row>
    <row r="946" spans="1:10" s="40" customFormat="1" ht="36" customHeight="1">
      <c r="A946" s="54"/>
      <c r="B946" s="54" t="s">
        <v>500</v>
      </c>
      <c r="C946" s="44" t="s">
        <v>3059</v>
      </c>
      <c r="D946" s="44" t="s">
        <v>54</v>
      </c>
      <c r="E946" s="44"/>
      <c r="F946" s="44"/>
      <c r="G946" s="91">
        <v>45181</v>
      </c>
      <c r="H946" s="91">
        <v>45343</v>
      </c>
      <c r="I946" s="88">
        <v>45334</v>
      </c>
      <c r="J946" s="86"/>
    </row>
    <row r="947" spans="1:10" s="40" customFormat="1" ht="29.85" customHeight="1">
      <c r="A947" s="44"/>
      <c r="B947" s="54" t="s">
        <v>3060</v>
      </c>
      <c r="C947" s="44" t="s">
        <v>3061</v>
      </c>
      <c r="D947" s="44" t="s">
        <v>15</v>
      </c>
      <c r="E947" s="44"/>
      <c r="F947" s="44"/>
      <c r="G947" s="91">
        <v>45114</v>
      </c>
      <c r="H947" s="91">
        <v>45351</v>
      </c>
      <c r="I947" s="88">
        <v>45351</v>
      </c>
      <c r="J947" s="86">
        <v>108</v>
      </c>
    </row>
    <row r="948" spans="1:10" s="40" customFormat="1" ht="36" customHeight="1">
      <c r="A948" s="44"/>
      <c r="B948" s="54" t="s">
        <v>3062</v>
      </c>
      <c r="C948" s="44" t="s">
        <v>3063</v>
      </c>
      <c r="D948" s="44" t="s">
        <v>18</v>
      </c>
      <c r="E948" s="44"/>
      <c r="F948" s="44"/>
      <c r="G948" s="91">
        <v>44935</v>
      </c>
      <c r="H948" s="91">
        <v>45358</v>
      </c>
      <c r="I948" s="88">
        <v>45360</v>
      </c>
      <c r="J948" s="86"/>
    </row>
    <row r="949" spans="1:10" s="40" customFormat="1" ht="45" customHeight="1">
      <c r="A949" s="46"/>
      <c r="B949" s="31" t="s">
        <v>2957</v>
      </c>
      <c r="C949" s="16" t="s">
        <v>3064</v>
      </c>
      <c r="D949" s="54" t="s">
        <v>89</v>
      </c>
      <c r="E949" s="44"/>
      <c r="F949" s="31"/>
      <c r="G949" s="93">
        <v>45252</v>
      </c>
      <c r="H949" s="93">
        <v>45363</v>
      </c>
      <c r="I949" s="88">
        <v>45363</v>
      </c>
      <c r="J949" s="86"/>
    </row>
    <row r="950" spans="1:10" s="40" customFormat="1" ht="36" customHeight="1">
      <c r="A950" s="54"/>
      <c r="B950" s="54" t="s">
        <v>2974</v>
      </c>
      <c r="C950" s="44" t="s">
        <v>3065</v>
      </c>
      <c r="D950" s="44" t="s">
        <v>89</v>
      </c>
      <c r="E950" s="44"/>
      <c r="F950" s="44"/>
      <c r="G950" s="91">
        <v>45177</v>
      </c>
      <c r="H950" s="91">
        <v>45352</v>
      </c>
      <c r="I950" s="88">
        <v>45359</v>
      </c>
      <c r="J950" s="86"/>
    </row>
    <row r="951" spans="1:10" s="40" customFormat="1" ht="36" customHeight="1">
      <c r="A951" s="44"/>
      <c r="B951" s="54" t="s">
        <v>3066</v>
      </c>
      <c r="C951" s="44" t="s">
        <v>3067</v>
      </c>
      <c r="D951" s="44" t="s">
        <v>15</v>
      </c>
      <c r="E951" s="44"/>
      <c r="F951" s="44"/>
      <c r="G951" s="91">
        <v>45159</v>
      </c>
      <c r="H951" s="91">
        <v>45345</v>
      </c>
      <c r="I951" s="88">
        <v>45344</v>
      </c>
      <c r="J951" s="86">
        <v>816</v>
      </c>
    </row>
    <row r="952" spans="1:10" s="40" customFormat="1" ht="36" customHeight="1">
      <c r="A952" s="46"/>
      <c r="B952" s="31" t="s">
        <v>1694</v>
      </c>
      <c r="C952" s="16" t="s">
        <v>3068</v>
      </c>
      <c r="D952" s="54" t="s">
        <v>3069</v>
      </c>
      <c r="E952" s="44"/>
      <c r="F952" s="31"/>
      <c r="G952" s="93">
        <v>44491</v>
      </c>
      <c r="H952" s="93">
        <v>45349</v>
      </c>
      <c r="I952" s="88">
        <v>45349</v>
      </c>
      <c r="J952" s="86"/>
    </row>
    <row r="953" spans="1:10" s="40" customFormat="1" ht="36.6" customHeight="1">
      <c r="A953" s="44"/>
      <c r="B953" s="54" t="s">
        <v>3070</v>
      </c>
      <c r="C953" s="44" t="s">
        <v>3071</v>
      </c>
      <c r="D953" s="44" t="s">
        <v>44</v>
      </c>
      <c r="E953" s="44" t="s">
        <v>44</v>
      </c>
      <c r="F953" s="44"/>
      <c r="G953" s="91">
        <v>43122</v>
      </c>
      <c r="H953" s="91" t="s">
        <v>3072</v>
      </c>
      <c r="I953" s="88">
        <v>45351</v>
      </c>
      <c r="J953" s="123">
        <v>1140</v>
      </c>
    </row>
    <row r="954" spans="1:10" s="40" customFormat="1" ht="28.5" customHeight="1">
      <c r="A954" s="54"/>
      <c r="B954" s="54" t="s">
        <v>3073</v>
      </c>
      <c r="C954" s="44" t="s">
        <v>3074</v>
      </c>
      <c r="D954" s="44" t="s">
        <v>89</v>
      </c>
      <c r="E954" s="44"/>
      <c r="F954" s="44"/>
      <c r="G954" s="91">
        <v>45183</v>
      </c>
      <c r="H954" s="91"/>
      <c r="I954" s="88">
        <v>45379</v>
      </c>
      <c r="J954" s="86"/>
    </row>
    <row r="955" spans="1:10" s="40" customFormat="1" ht="36" customHeight="1">
      <c r="A955" s="44"/>
      <c r="B955" s="54" t="s">
        <v>37</v>
      </c>
      <c r="C955" s="44" t="s">
        <v>3075</v>
      </c>
      <c r="D955" s="44" t="s">
        <v>149</v>
      </c>
      <c r="E955" s="44"/>
      <c r="F955" s="44"/>
      <c r="G955" s="91">
        <v>45008</v>
      </c>
      <c r="H955" s="91">
        <v>45380</v>
      </c>
      <c r="I955" s="88">
        <v>45380</v>
      </c>
      <c r="J955" s="86"/>
    </row>
    <row r="956" spans="1:10" s="40" customFormat="1" ht="36" customHeight="1">
      <c r="A956" s="44"/>
      <c r="B956" s="54" t="s">
        <v>2974</v>
      </c>
      <c r="C956" s="44" t="s">
        <v>3076</v>
      </c>
      <c r="D956" s="44" t="s">
        <v>3003</v>
      </c>
      <c r="E956" s="44"/>
      <c r="F956" s="44"/>
      <c r="G956" s="91">
        <v>45131</v>
      </c>
      <c r="H956" s="91">
        <v>45300</v>
      </c>
      <c r="I956" s="88">
        <v>45300</v>
      </c>
      <c r="J956" s="86"/>
    </row>
    <row r="957" spans="1:10" s="40" customFormat="1" ht="28.5" customHeight="1">
      <c r="A957" s="44"/>
      <c r="B957" s="134" t="s">
        <v>3077</v>
      </c>
      <c r="C957" s="44" t="s">
        <v>3078</v>
      </c>
      <c r="D957" s="44" t="s">
        <v>15</v>
      </c>
      <c r="E957" s="44"/>
      <c r="F957" s="44"/>
      <c r="G957" s="91">
        <v>44546</v>
      </c>
      <c r="H957" s="91"/>
      <c r="I957" s="88">
        <v>45398</v>
      </c>
      <c r="J957" s="86">
        <v>636</v>
      </c>
    </row>
    <row r="958" spans="1:10" s="40" customFormat="1" ht="42" customHeight="1">
      <c r="A958" s="54"/>
      <c r="B958" s="54" t="s">
        <v>19</v>
      </c>
      <c r="C958" s="44" t="s">
        <v>3079</v>
      </c>
      <c r="D958" s="44" t="s">
        <v>2491</v>
      </c>
      <c r="E958" s="44"/>
      <c r="F958" s="44"/>
      <c r="G958" s="91" t="s">
        <v>3080</v>
      </c>
      <c r="H958" s="91" t="s">
        <v>3081</v>
      </c>
      <c r="I958" s="88">
        <v>45406</v>
      </c>
      <c r="J958" s="86"/>
    </row>
    <row r="959" spans="1:10" s="40" customFormat="1" ht="29.85" customHeight="1">
      <c r="A959" s="101"/>
      <c r="B959" s="134" t="s">
        <v>3082</v>
      </c>
      <c r="C959" s="54" t="s">
        <v>3083</v>
      </c>
      <c r="D959" s="54" t="s">
        <v>15</v>
      </c>
      <c r="E959" s="54"/>
      <c r="F959" s="111" t="s">
        <v>3084</v>
      </c>
      <c r="G959" s="112">
        <v>44531</v>
      </c>
      <c r="H959" s="112"/>
      <c r="I959" s="88">
        <v>45412</v>
      </c>
      <c r="J959" s="86">
        <v>1020</v>
      </c>
    </row>
    <row r="960" spans="1:10" s="40" customFormat="1" ht="29.85" customHeight="1">
      <c r="A960" s="44"/>
      <c r="B960" s="54" t="s">
        <v>9</v>
      </c>
      <c r="C960" s="44" t="s">
        <v>3085</v>
      </c>
      <c r="D960" s="44" t="s">
        <v>149</v>
      </c>
      <c r="E960" s="44"/>
      <c r="F960" s="44"/>
      <c r="G960" s="91">
        <v>45169</v>
      </c>
      <c r="H960" s="91" t="s">
        <v>3086</v>
      </c>
      <c r="I960" s="88">
        <v>45412</v>
      </c>
      <c r="J960" s="86"/>
    </row>
    <row r="961" spans="1:10" s="40" customFormat="1" ht="33.75" customHeight="1">
      <c r="A961" s="44"/>
      <c r="B961" s="54" t="s">
        <v>3087</v>
      </c>
      <c r="C961" s="44" t="s">
        <v>3088</v>
      </c>
      <c r="D961" s="44" t="s">
        <v>44</v>
      </c>
      <c r="E961" s="44"/>
      <c r="F961" s="44"/>
      <c r="G961" s="91">
        <v>44844</v>
      </c>
      <c r="H961" s="91">
        <v>45384</v>
      </c>
      <c r="I961" s="88">
        <v>45383</v>
      </c>
      <c r="J961" s="86">
        <v>1620</v>
      </c>
    </row>
    <row r="962" spans="1:10" s="40" customFormat="1" ht="36" customHeight="1">
      <c r="A962" s="46"/>
      <c r="B962" s="31" t="s">
        <v>1077</v>
      </c>
      <c r="C962" s="16" t="s">
        <v>3089</v>
      </c>
      <c r="D962" s="54" t="s">
        <v>3090</v>
      </c>
      <c r="E962" s="44"/>
      <c r="F962" s="31"/>
      <c r="G962" s="93">
        <v>45264</v>
      </c>
      <c r="H962" s="93">
        <v>45413</v>
      </c>
      <c r="I962" s="88">
        <v>45373</v>
      </c>
      <c r="J962" s="86">
        <v>17</v>
      </c>
    </row>
    <row r="963" spans="1:10" s="40" customFormat="1" ht="29.85" customHeight="1">
      <c r="A963" s="46"/>
      <c r="B963" s="31" t="s">
        <v>168</v>
      </c>
      <c r="C963" s="16" t="s">
        <v>3091</v>
      </c>
      <c r="D963" s="54" t="s">
        <v>702</v>
      </c>
      <c r="E963" s="44"/>
      <c r="F963" s="31"/>
      <c r="G963" s="93">
        <v>45229</v>
      </c>
      <c r="H963" s="93">
        <v>45413</v>
      </c>
      <c r="I963" s="88">
        <v>45412</v>
      </c>
      <c r="J963" s="86"/>
    </row>
    <row r="964" spans="1:10" s="40" customFormat="1" ht="36" customHeight="1">
      <c r="A964" s="44"/>
      <c r="B964" s="54" t="s">
        <v>3092</v>
      </c>
      <c r="C964" s="44" t="s">
        <v>3093</v>
      </c>
      <c r="D964" s="44" t="s">
        <v>120</v>
      </c>
      <c r="E964" s="44"/>
      <c r="F964" s="44"/>
      <c r="G964" s="91" t="s">
        <v>3094</v>
      </c>
      <c r="H964" s="91" t="s">
        <v>3095</v>
      </c>
      <c r="I964" s="88">
        <v>45386</v>
      </c>
      <c r="J964" s="86"/>
    </row>
    <row r="965" spans="1:10" s="40" customFormat="1" ht="30.75" customHeight="1">
      <c r="A965" s="46"/>
      <c r="B965" s="31" t="s">
        <v>3096</v>
      </c>
      <c r="C965" s="16" t="s">
        <v>3097</v>
      </c>
      <c r="D965" s="54" t="s">
        <v>167</v>
      </c>
      <c r="E965" s="44"/>
      <c r="F965" s="31"/>
      <c r="G965" s="93">
        <v>45362</v>
      </c>
      <c r="H965" s="93">
        <v>45418</v>
      </c>
      <c r="I965" s="88">
        <v>45418</v>
      </c>
      <c r="J965" s="86"/>
    </row>
    <row r="966" spans="1:10" s="40" customFormat="1" ht="30.75" customHeight="1">
      <c r="A966" s="46"/>
      <c r="B966" s="31" t="s">
        <v>13</v>
      </c>
      <c r="C966" s="16" t="s">
        <v>14</v>
      </c>
      <c r="D966" s="54" t="s">
        <v>3098</v>
      </c>
      <c r="E966" s="44"/>
      <c r="F966" s="31"/>
      <c r="G966" s="93">
        <v>45412</v>
      </c>
      <c r="H966" s="93"/>
      <c r="I966" s="88">
        <v>45442</v>
      </c>
      <c r="J966" s="86"/>
    </row>
    <row r="967" spans="1:10" s="40" customFormat="1" ht="28.5" customHeight="1">
      <c r="A967" s="44"/>
      <c r="B967" s="134" t="s">
        <v>3099</v>
      </c>
      <c r="C967" s="44" t="s">
        <v>3100</v>
      </c>
      <c r="D967" s="44" t="s">
        <v>44</v>
      </c>
      <c r="E967" s="44"/>
      <c r="F967" s="44"/>
      <c r="G967" s="91">
        <v>45012</v>
      </c>
      <c r="H967" s="91">
        <v>45427</v>
      </c>
      <c r="I967" s="88">
        <v>45427</v>
      </c>
      <c r="J967" s="86">
        <v>192</v>
      </c>
    </row>
    <row r="968" spans="1:10" s="40" customFormat="1" ht="30.75" customHeight="1">
      <c r="A968" s="44"/>
      <c r="B968" s="54" t="s">
        <v>2468</v>
      </c>
      <c r="C968" s="44" t="s">
        <v>3101</v>
      </c>
      <c r="D968" s="44" t="s">
        <v>54</v>
      </c>
      <c r="E968" s="44"/>
      <c r="F968" s="44"/>
      <c r="G968" s="91">
        <v>37606</v>
      </c>
      <c r="H968" s="91">
        <v>45429</v>
      </c>
      <c r="I968" s="88">
        <v>45428</v>
      </c>
      <c r="J968" s="86"/>
    </row>
    <row r="969" spans="1:10" s="40" customFormat="1" ht="36" customHeight="1">
      <c r="A969" s="46"/>
      <c r="B969" s="31" t="s">
        <v>141</v>
      </c>
      <c r="C969" s="16" t="s">
        <v>3102</v>
      </c>
      <c r="D969" s="54" t="s">
        <v>44</v>
      </c>
      <c r="E969" s="44"/>
      <c r="F969" s="31"/>
      <c r="G969" s="93">
        <v>45355</v>
      </c>
      <c r="H969" s="93">
        <v>45435</v>
      </c>
      <c r="I969" s="88">
        <v>45435</v>
      </c>
      <c r="J969" s="86"/>
    </row>
    <row r="970" spans="1:10" s="40" customFormat="1" ht="28.5" customHeight="1">
      <c r="A970" s="46"/>
      <c r="B970" s="31" t="s">
        <v>3103</v>
      </c>
      <c r="C970" s="16" t="s">
        <v>3104</v>
      </c>
      <c r="D970" s="54" t="s">
        <v>3105</v>
      </c>
      <c r="E970" s="44"/>
      <c r="F970" s="31"/>
      <c r="G970" s="93">
        <v>45281</v>
      </c>
      <c r="H970" s="93">
        <v>45434</v>
      </c>
      <c r="I970" s="88">
        <v>45436</v>
      </c>
      <c r="J970" s="86"/>
    </row>
    <row r="971" spans="1:10" s="40" customFormat="1" ht="29.85" customHeight="1">
      <c r="A971" s="46"/>
      <c r="B971" s="31" t="s">
        <v>3106</v>
      </c>
      <c r="C971" s="16" t="s">
        <v>3107</v>
      </c>
      <c r="D971" s="54" t="s">
        <v>44</v>
      </c>
      <c r="E971" s="44"/>
      <c r="F971" s="31"/>
      <c r="G971" s="93">
        <v>45338</v>
      </c>
      <c r="H971" s="93">
        <v>45441</v>
      </c>
      <c r="I971" s="88">
        <v>45441</v>
      </c>
      <c r="J971" s="86"/>
    </row>
    <row r="972" spans="1:10" s="40" customFormat="1" ht="36" customHeight="1">
      <c r="A972" s="44"/>
      <c r="B972" s="54" t="s">
        <v>39</v>
      </c>
      <c r="C972" s="44" t="s">
        <v>3108</v>
      </c>
      <c r="D972" s="44" t="s">
        <v>3109</v>
      </c>
      <c r="E972" s="44"/>
      <c r="F972" s="44"/>
      <c r="G972" s="91">
        <v>44993</v>
      </c>
      <c r="H972" s="91">
        <v>45357</v>
      </c>
      <c r="I972" s="88">
        <v>45390</v>
      </c>
      <c r="J972" s="86"/>
    </row>
    <row r="973" spans="1:10" s="40" customFormat="1" ht="28.5" customHeight="1">
      <c r="A973" s="54"/>
      <c r="B973" s="54" t="s">
        <v>184</v>
      </c>
      <c r="C973" s="44" t="s">
        <v>3110</v>
      </c>
      <c r="D973" s="44" t="s">
        <v>3003</v>
      </c>
      <c r="E973" s="44"/>
      <c r="F973" s="44"/>
      <c r="G973" s="91">
        <v>44635</v>
      </c>
      <c r="H973" s="91">
        <v>45502</v>
      </c>
      <c r="I973" s="88">
        <v>45502</v>
      </c>
      <c r="J973" s="86"/>
    </row>
    <row r="974" spans="1:10" s="40" customFormat="1" ht="36" customHeight="1">
      <c r="A974" s="46"/>
      <c r="B974" s="31" t="s">
        <v>1289</v>
      </c>
      <c r="C974" s="16" t="s">
        <v>3111</v>
      </c>
      <c r="D974" s="54"/>
      <c r="E974" s="44" t="s">
        <v>15</v>
      </c>
      <c r="F974" s="31"/>
      <c r="G974" s="93">
        <v>45342</v>
      </c>
      <c r="H974" s="93">
        <v>45395</v>
      </c>
      <c r="I974" s="88">
        <v>45395</v>
      </c>
      <c r="J974" s="86"/>
    </row>
    <row r="975" spans="1:10" s="40" customFormat="1" ht="28.5" customHeight="1">
      <c r="A975" s="44"/>
      <c r="B975" s="54" t="s">
        <v>3112</v>
      </c>
      <c r="C975" s="44" t="s">
        <v>3113</v>
      </c>
      <c r="D975" s="44" t="s">
        <v>89</v>
      </c>
      <c r="E975" s="44"/>
      <c r="F975" s="44"/>
      <c r="G975" s="91">
        <v>45008</v>
      </c>
      <c r="H975" s="91">
        <v>45370</v>
      </c>
      <c r="I975" s="88">
        <v>45405</v>
      </c>
      <c r="J975" s="86"/>
    </row>
    <row r="976" spans="1:10" s="40" customFormat="1" ht="29.85" customHeight="1">
      <c r="A976" s="46"/>
      <c r="B976" s="31" t="s">
        <v>3114</v>
      </c>
      <c r="C976" s="16" t="s">
        <v>3115</v>
      </c>
      <c r="D976" s="54" t="s">
        <v>15</v>
      </c>
      <c r="E976" s="44"/>
      <c r="F976" s="31"/>
      <c r="G976" s="93">
        <v>45218</v>
      </c>
      <c r="H976" s="93">
        <v>45447</v>
      </c>
      <c r="I976" s="88">
        <v>45453</v>
      </c>
      <c r="J976" s="86">
        <v>1284</v>
      </c>
    </row>
    <row r="977" spans="1:10" s="40" customFormat="1" ht="42" customHeight="1">
      <c r="A977" s="46"/>
      <c r="B977" s="31" t="s">
        <v>3116</v>
      </c>
      <c r="C977" s="16" t="s">
        <v>3117</v>
      </c>
      <c r="D977" s="54" t="s">
        <v>165</v>
      </c>
      <c r="E977" s="44"/>
      <c r="F977" s="31"/>
      <c r="G977" s="93">
        <v>45273</v>
      </c>
      <c r="H977" s="93">
        <v>45463</v>
      </c>
      <c r="I977" s="88">
        <v>45463</v>
      </c>
      <c r="J977" s="86"/>
    </row>
    <row r="978" spans="1:10" s="40" customFormat="1" ht="28.5" customHeight="1">
      <c r="A978" s="46"/>
      <c r="B978" s="31" t="s">
        <v>2468</v>
      </c>
      <c r="C978" s="16" t="s">
        <v>3118</v>
      </c>
      <c r="D978" s="54" t="s">
        <v>15</v>
      </c>
      <c r="E978" s="44"/>
      <c r="F978" s="31"/>
      <c r="G978" s="93">
        <v>44743</v>
      </c>
      <c r="H978" s="93">
        <v>45463</v>
      </c>
      <c r="I978" s="88">
        <v>45463</v>
      </c>
      <c r="J978" s="86">
        <v>636</v>
      </c>
    </row>
    <row r="979" spans="1:10" s="40" customFormat="1" ht="29.85" customHeight="1">
      <c r="A979" s="44"/>
      <c r="B979" s="54"/>
      <c r="C979" s="44"/>
      <c r="D979" s="44"/>
      <c r="E979" s="44"/>
      <c r="F979" s="44"/>
      <c r="G979" s="91"/>
      <c r="H979" s="91"/>
      <c r="I979" s="88"/>
      <c r="J979" s="86"/>
    </row>
    <row r="980" spans="1:10" s="40" customFormat="1" ht="29.85" customHeight="1">
      <c r="A980" s="46"/>
      <c r="B980" s="31" t="s">
        <v>9</v>
      </c>
      <c r="C980" s="16" t="s">
        <v>3119</v>
      </c>
      <c r="D980" s="54" t="s">
        <v>2491</v>
      </c>
      <c r="E980" s="44"/>
      <c r="F980" s="31"/>
      <c r="G980" s="93" t="s">
        <v>3120</v>
      </c>
      <c r="H980" s="93" t="s">
        <v>3121</v>
      </c>
      <c r="I980" s="88">
        <v>45428</v>
      </c>
      <c r="J980" s="86"/>
    </row>
    <row r="981" spans="1:10" s="40" customFormat="1" ht="29.85" customHeight="1">
      <c r="A981" s="46"/>
      <c r="B981" s="31" t="s">
        <v>2983</v>
      </c>
      <c r="C981" s="16" t="s">
        <v>3122</v>
      </c>
      <c r="D981" s="54" t="s">
        <v>44</v>
      </c>
      <c r="E981" s="44"/>
      <c r="F981" s="31"/>
      <c r="G981" s="93">
        <v>45238</v>
      </c>
      <c r="H981" s="93" t="s">
        <v>3123</v>
      </c>
      <c r="I981" s="88">
        <v>45481</v>
      </c>
      <c r="J981" s="86"/>
    </row>
    <row r="982" spans="1:10" s="40" customFormat="1" ht="29.85" customHeight="1">
      <c r="A982" s="46"/>
      <c r="B982" s="31" t="s">
        <v>3124</v>
      </c>
      <c r="C982" s="16" t="s">
        <v>3125</v>
      </c>
      <c r="D982" s="54" t="s">
        <v>44</v>
      </c>
      <c r="E982" s="44"/>
      <c r="F982" s="31"/>
      <c r="G982" s="93">
        <v>45441</v>
      </c>
      <c r="H982" s="93">
        <v>45471</v>
      </c>
      <c r="I982" s="88">
        <v>45472</v>
      </c>
      <c r="J982" s="86"/>
    </row>
    <row r="983" spans="1:10" s="40" customFormat="1" ht="30.75" customHeight="1">
      <c r="A983" s="44"/>
      <c r="B983" s="54" t="s">
        <v>3060</v>
      </c>
      <c r="C983" s="44" t="s">
        <v>3126</v>
      </c>
      <c r="D983" s="44" t="s">
        <v>15</v>
      </c>
      <c r="E983" s="44"/>
      <c r="F983" s="44"/>
      <c r="G983" s="91">
        <v>45019</v>
      </c>
      <c r="H983" s="91">
        <v>45482</v>
      </c>
      <c r="I983" s="88">
        <v>45482</v>
      </c>
      <c r="J983" s="86" t="s">
        <v>3127</v>
      </c>
    </row>
    <row r="984" spans="1:10" s="40" customFormat="1" ht="29.85" customHeight="1">
      <c r="A984" s="44"/>
      <c r="B984" s="54" t="s">
        <v>33</v>
      </c>
      <c r="C984" s="44" t="s">
        <v>3128</v>
      </c>
      <c r="D984" s="44" t="s">
        <v>3129</v>
      </c>
      <c r="E984" s="44"/>
      <c r="F984" s="109"/>
      <c r="G984" s="91">
        <v>44461</v>
      </c>
      <c r="H984" s="91" t="s">
        <v>3130</v>
      </c>
      <c r="I984" s="88">
        <v>45483</v>
      </c>
      <c r="J984" s="86">
        <v>1956</v>
      </c>
    </row>
    <row r="985" spans="1:10" s="40" customFormat="1" ht="29.85" customHeight="1">
      <c r="A985" s="54"/>
      <c r="B985" s="54" t="s">
        <v>2798</v>
      </c>
      <c r="C985" s="44" t="s">
        <v>3131</v>
      </c>
      <c r="D985" s="44" t="s">
        <v>44</v>
      </c>
      <c r="E985" s="44"/>
      <c r="F985" s="44"/>
      <c r="G985" s="91">
        <v>45400</v>
      </c>
      <c r="H985" s="91">
        <v>45483</v>
      </c>
      <c r="I985" s="88">
        <v>45491</v>
      </c>
      <c r="J985" s="86"/>
    </row>
    <row r="986" spans="1:10" s="40" customFormat="1" ht="28.5" customHeight="1">
      <c r="A986" s="46"/>
      <c r="B986" s="31" t="s">
        <v>3132</v>
      </c>
      <c r="C986" s="16" t="s">
        <v>3133</v>
      </c>
      <c r="D986" s="54" t="s">
        <v>15</v>
      </c>
      <c r="E986" s="44"/>
      <c r="F986" s="31"/>
      <c r="G986" s="93">
        <v>45246</v>
      </c>
      <c r="H986" s="93">
        <v>45498</v>
      </c>
      <c r="I986" s="88">
        <v>45498</v>
      </c>
      <c r="J986" s="86">
        <v>936</v>
      </c>
    </row>
    <row r="987" spans="1:10" s="40" customFormat="1" ht="30.75" customHeight="1">
      <c r="A987" s="54"/>
      <c r="B987" s="54" t="s">
        <v>3134</v>
      </c>
      <c r="C987" s="44" t="s">
        <v>3135</v>
      </c>
      <c r="D987" s="44" t="s">
        <v>15</v>
      </c>
      <c r="E987" s="44"/>
      <c r="F987" s="44"/>
      <c r="G987" s="91">
        <v>45188</v>
      </c>
      <c r="H987" s="91">
        <v>45502</v>
      </c>
      <c r="I987" s="88">
        <v>45502</v>
      </c>
      <c r="J987" s="86">
        <v>300</v>
      </c>
    </row>
    <row r="988" spans="1:10" s="40" customFormat="1" ht="30.75" customHeight="1">
      <c r="A988" s="54"/>
      <c r="B988" s="54" t="s">
        <v>248</v>
      </c>
      <c r="C988" s="44" t="s">
        <v>3136</v>
      </c>
      <c r="D988" s="44" t="s">
        <v>2491</v>
      </c>
      <c r="E988" s="44"/>
      <c r="F988" s="44"/>
      <c r="G988" s="91" t="s">
        <v>3137</v>
      </c>
      <c r="H988" s="91" t="s">
        <v>3138</v>
      </c>
      <c r="I988" s="88">
        <v>45449</v>
      </c>
      <c r="J988" s="147" t="s">
        <v>3139</v>
      </c>
    </row>
    <row r="989" spans="1:10" s="40" customFormat="1" ht="39" customHeight="1">
      <c r="A989" s="44"/>
      <c r="B989" s="54" t="s">
        <v>30</v>
      </c>
      <c r="C989" s="44" t="s">
        <v>3140</v>
      </c>
      <c r="D989" s="44" t="s">
        <v>2825</v>
      </c>
      <c r="E989" s="44" t="s">
        <v>2825</v>
      </c>
      <c r="F989" s="44"/>
      <c r="G989" s="91">
        <v>45040</v>
      </c>
      <c r="H989" s="91">
        <v>45415</v>
      </c>
      <c r="I989" s="88">
        <v>45436</v>
      </c>
      <c r="J989" s="86"/>
    </row>
    <row r="990" spans="1:10" s="40" customFormat="1" ht="30.75" customHeight="1">
      <c r="A990" s="46"/>
      <c r="B990" s="31" t="s">
        <v>90</v>
      </c>
      <c r="C990" s="16" t="s">
        <v>3141</v>
      </c>
      <c r="D990" s="54" t="s">
        <v>15</v>
      </c>
      <c r="E990" s="44"/>
      <c r="F990" s="31"/>
      <c r="G990" s="93">
        <v>45273</v>
      </c>
      <c r="H990" s="93">
        <v>45509</v>
      </c>
      <c r="I990" s="88">
        <v>45517</v>
      </c>
      <c r="J990" s="86">
        <v>252</v>
      </c>
    </row>
    <row r="991" spans="1:10" s="40" customFormat="1" ht="33" customHeight="1">
      <c r="A991" s="46"/>
      <c r="B991" s="31" t="s">
        <v>3142</v>
      </c>
      <c r="C991" s="146" t="s">
        <v>3143</v>
      </c>
      <c r="D991" s="54" t="s">
        <v>18</v>
      </c>
      <c r="E991" s="44"/>
      <c r="F991" s="31"/>
      <c r="G991" s="93">
        <v>45308</v>
      </c>
      <c r="H991" s="93">
        <v>45498</v>
      </c>
      <c r="I991" s="88">
        <v>45498</v>
      </c>
      <c r="J991" s="86"/>
    </row>
    <row r="992" spans="1:10" s="40" customFormat="1" ht="42.6" customHeight="1">
      <c r="A992" s="46"/>
      <c r="B992" s="31" t="s">
        <v>3144</v>
      </c>
      <c r="C992" s="16" t="s">
        <v>3145</v>
      </c>
      <c r="D992" s="54" t="s">
        <v>15</v>
      </c>
      <c r="E992" s="44"/>
      <c r="F992" s="31"/>
      <c r="G992" s="93">
        <v>45322</v>
      </c>
      <c r="H992" s="93">
        <v>45503</v>
      </c>
      <c r="I992" s="88">
        <v>45503</v>
      </c>
      <c r="J992" s="86"/>
    </row>
    <row r="993" spans="1:18" s="40" customFormat="1" ht="29.85" customHeight="1">
      <c r="A993" s="54"/>
      <c r="B993" s="54" t="s">
        <v>2178</v>
      </c>
      <c r="C993" s="44" t="s">
        <v>3146</v>
      </c>
      <c r="D993" s="44" t="s">
        <v>15</v>
      </c>
      <c r="E993" s="44" t="s">
        <v>44</v>
      </c>
      <c r="F993" s="44"/>
      <c r="G993" s="91">
        <v>43116</v>
      </c>
      <c r="H993" s="91">
        <v>45506</v>
      </c>
      <c r="I993" s="88">
        <v>45506</v>
      </c>
      <c r="J993" s="86">
        <v>240</v>
      </c>
    </row>
    <row r="994" spans="1:18" s="40" customFormat="1" ht="30.75" customHeight="1">
      <c r="A994" s="46"/>
      <c r="B994" s="31" t="s">
        <v>3147</v>
      </c>
      <c r="C994" s="16" t="s">
        <v>3148</v>
      </c>
      <c r="D994" s="54" t="s">
        <v>15</v>
      </c>
      <c r="E994" s="44"/>
      <c r="F994" s="31"/>
      <c r="G994" s="93">
        <v>45328</v>
      </c>
      <c r="H994" s="93">
        <v>45509</v>
      </c>
      <c r="I994" s="88">
        <v>45509</v>
      </c>
      <c r="J994" s="86"/>
    </row>
    <row r="995" spans="1:18" s="40" customFormat="1" ht="29.85" customHeight="1">
      <c r="A995" s="101"/>
      <c r="B995" s="134" t="s">
        <v>195</v>
      </c>
      <c r="C995" s="44" t="s">
        <v>3149</v>
      </c>
      <c r="D995" s="44" t="s">
        <v>15</v>
      </c>
      <c r="E995" s="44"/>
      <c r="F995" s="109" t="s">
        <v>3150</v>
      </c>
      <c r="G995" s="91">
        <v>44531</v>
      </c>
      <c r="H995" s="91"/>
      <c r="I995" s="88">
        <v>45493</v>
      </c>
      <c r="J995" s="86">
        <v>156</v>
      </c>
      <c r="R995" s="15"/>
    </row>
    <row r="996" spans="1:18" s="40" customFormat="1" ht="29.85" customHeight="1">
      <c r="A996" s="46"/>
      <c r="B996" s="31" t="s">
        <v>3151</v>
      </c>
      <c r="C996" s="16" t="s">
        <v>3152</v>
      </c>
      <c r="D996" s="54" t="s">
        <v>2604</v>
      </c>
      <c r="E996" s="44"/>
      <c r="F996" s="31"/>
      <c r="G996" s="93">
        <v>45446</v>
      </c>
      <c r="H996" s="93">
        <v>45509</v>
      </c>
      <c r="I996" s="88">
        <v>45507</v>
      </c>
      <c r="J996" s="86"/>
    </row>
    <row r="997" spans="1:18" s="40" customFormat="1" ht="29.85" customHeight="1">
      <c r="A997" s="46"/>
      <c r="B997" s="31" t="s">
        <v>222</v>
      </c>
      <c r="C997" s="16" t="s">
        <v>3153</v>
      </c>
      <c r="D997" s="54" t="s">
        <v>15</v>
      </c>
      <c r="E997" s="44"/>
      <c r="F997" s="31"/>
      <c r="G997" s="93">
        <v>45217</v>
      </c>
      <c r="H997" s="93">
        <v>45512</v>
      </c>
      <c r="I997" s="88">
        <v>45512</v>
      </c>
      <c r="J997" s="86">
        <v>288</v>
      </c>
    </row>
    <row r="998" spans="1:18" s="40" customFormat="1" ht="28.5" customHeight="1">
      <c r="A998" s="46"/>
      <c r="B998" s="31" t="s">
        <v>3154</v>
      </c>
      <c r="C998" s="16" t="s">
        <v>3155</v>
      </c>
      <c r="D998" s="54" t="s">
        <v>89</v>
      </c>
      <c r="E998" s="44"/>
      <c r="F998" s="31"/>
      <c r="G998" s="93">
        <v>45457</v>
      </c>
      <c r="H998" s="93">
        <v>45505</v>
      </c>
      <c r="I998" s="88">
        <v>45505</v>
      </c>
      <c r="J998" s="86"/>
    </row>
    <row r="999" spans="1:18" s="40" customFormat="1" ht="29.65" customHeight="1">
      <c r="A999" s="44"/>
      <c r="B999" s="54" t="s">
        <v>124</v>
      </c>
      <c r="C999" s="44" t="s">
        <v>3156</v>
      </c>
      <c r="D999" s="44" t="s">
        <v>15</v>
      </c>
      <c r="E999" s="44"/>
      <c r="F999" s="44"/>
      <c r="G999" s="91">
        <v>44896</v>
      </c>
      <c r="H999" s="91">
        <v>45519</v>
      </c>
      <c r="I999" s="88">
        <v>45519</v>
      </c>
      <c r="J999" s="86">
        <v>672</v>
      </c>
    </row>
    <row r="1000" spans="1:18" s="40" customFormat="1" ht="29.85" customHeight="1">
      <c r="A1000" s="46"/>
      <c r="B1000" s="31" t="s">
        <v>201</v>
      </c>
      <c r="C1000" s="16" t="s">
        <v>3157</v>
      </c>
      <c r="D1000" s="54" t="s">
        <v>149</v>
      </c>
      <c r="E1000" s="44"/>
      <c r="F1000" s="31"/>
      <c r="G1000" s="93">
        <v>45194</v>
      </c>
      <c r="H1000" s="93" t="s">
        <v>3158</v>
      </c>
      <c r="I1000" s="88">
        <v>45498</v>
      </c>
      <c r="J1000" s="86"/>
    </row>
    <row r="1001" spans="1:18" s="40" customFormat="1" ht="36" customHeight="1">
      <c r="A1001" s="54"/>
      <c r="B1001" s="54" t="s">
        <v>3159</v>
      </c>
      <c r="C1001" s="44" t="s">
        <v>3160</v>
      </c>
      <c r="D1001" s="44" t="s">
        <v>15</v>
      </c>
      <c r="E1001" s="44"/>
      <c r="F1001" s="44"/>
      <c r="G1001" s="91">
        <v>45386</v>
      </c>
      <c r="H1001" s="91">
        <v>45492</v>
      </c>
      <c r="I1001" s="88">
        <v>45492</v>
      </c>
      <c r="J1001" s="86"/>
    </row>
    <row r="1002" spans="1:18" s="40" customFormat="1" ht="28.5" customHeight="1">
      <c r="A1002" s="46"/>
      <c r="B1002" s="31" t="s">
        <v>3161</v>
      </c>
      <c r="C1002" s="16" t="s">
        <v>2343</v>
      </c>
      <c r="D1002" s="54" t="s">
        <v>15</v>
      </c>
      <c r="E1002" s="44"/>
      <c r="F1002" s="31"/>
      <c r="G1002" s="93">
        <v>45418</v>
      </c>
      <c r="H1002" s="93">
        <v>45526</v>
      </c>
      <c r="I1002" s="88">
        <v>45526</v>
      </c>
      <c r="J1002" s="86"/>
    </row>
    <row r="1003" spans="1:18" s="40" customFormat="1" ht="29.85" customHeight="1">
      <c r="A1003" s="46"/>
      <c r="B1003" s="31" t="s">
        <v>205</v>
      </c>
      <c r="C1003" s="16" t="s">
        <v>3162</v>
      </c>
      <c r="D1003" s="54" t="s">
        <v>120</v>
      </c>
      <c r="E1003" s="44"/>
      <c r="F1003" s="31"/>
      <c r="G1003" s="93">
        <v>45223</v>
      </c>
      <c r="H1003" s="93">
        <v>45524</v>
      </c>
      <c r="I1003" s="88">
        <v>45524</v>
      </c>
      <c r="J1003" s="86"/>
    </row>
    <row r="1004" spans="1:18" s="40" customFormat="1" ht="29.85" customHeight="1">
      <c r="A1004" s="46"/>
      <c r="B1004" s="31" t="s">
        <v>3163</v>
      </c>
      <c r="C1004" s="16" t="s">
        <v>3164</v>
      </c>
      <c r="D1004" s="54" t="s">
        <v>44</v>
      </c>
      <c r="E1004" s="44"/>
      <c r="F1004" s="31"/>
      <c r="G1004" s="93">
        <v>45329</v>
      </c>
      <c r="H1004" s="93">
        <v>45527</v>
      </c>
      <c r="I1004" s="88">
        <v>45527</v>
      </c>
      <c r="J1004" s="86"/>
    </row>
    <row r="1005" spans="1:18" s="40" customFormat="1" ht="30.75" customHeight="1">
      <c r="A1005" s="54"/>
      <c r="B1005" s="54" t="s">
        <v>3112</v>
      </c>
      <c r="C1005" s="54" t="s">
        <v>3165</v>
      </c>
      <c r="D1005" s="54" t="s">
        <v>186</v>
      </c>
      <c r="E1005" s="54"/>
      <c r="F1005" s="111"/>
      <c r="G1005" s="112">
        <v>45370</v>
      </c>
      <c r="H1005" s="112">
        <v>45526</v>
      </c>
      <c r="I1005" s="88">
        <v>45523</v>
      </c>
      <c r="J1005" s="86"/>
    </row>
    <row r="1006" spans="1:18" s="40" customFormat="1" ht="29.85" customHeight="1">
      <c r="A1006" s="44"/>
      <c r="B1006" s="54" t="s">
        <v>3166</v>
      </c>
      <c r="C1006" s="44" t="s">
        <v>3167</v>
      </c>
      <c r="D1006" s="44" t="s">
        <v>89</v>
      </c>
      <c r="E1006" s="44"/>
      <c r="F1006" s="44"/>
      <c r="G1006" s="91">
        <v>45141</v>
      </c>
      <c r="H1006" s="91">
        <v>45531</v>
      </c>
      <c r="I1006" s="88">
        <v>45538</v>
      </c>
      <c r="J1006" s="86"/>
    </row>
    <row r="1007" spans="1:18" s="40" customFormat="1" ht="29.85" customHeight="1">
      <c r="A1007" s="46"/>
      <c r="B1007" s="31" t="s">
        <v>24</v>
      </c>
      <c r="C1007" s="16" t="s">
        <v>3168</v>
      </c>
      <c r="D1007" s="44" t="s">
        <v>15</v>
      </c>
      <c r="E1007" s="44"/>
      <c r="F1007" s="16"/>
      <c r="G1007" s="91">
        <v>45520</v>
      </c>
      <c r="H1007" s="94">
        <v>45532</v>
      </c>
      <c r="I1007" s="88">
        <v>45551</v>
      </c>
      <c r="J1007" s="86"/>
    </row>
    <row r="1008" spans="1:18" s="40" customFormat="1" ht="24" customHeight="1">
      <c r="A1008" s="54"/>
      <c r="B1008" s="54" t="s">
        <v>1512</v>
      </c>
      <c r="C1008" s="44" t="s">
        <v>3169</v>
      </c>
      <c r="D1008" s="44" t="s">
        <v>18</v>
      </c>
      <c r="E1008" s="44"/>
      <c r="F1008" s="44"/>
      <c r="G1008" s="91">
        <v>44739</v>
      </c>
      <c r="H1008" s="91">
        <v>45534</v>
      </c>
      <c r="I1008" s="88">
        <v>45531</v>
      </c>
      <c r="J1008" s="86"/>
    </row>
    <row r="1009" spans="1:10" s="40" customFormat="1" ht="28.5" customHeight="1">
      <c r="A1009" s="46"/>
      <c r="B1009" s="31" t="s">
        <v>3170</v>
      </c>
      <c r="C1009" s="16" t="s">
        <v>3171</v>
      </c>
      <c r="D1009" s="54" t="s">
        <v>44</v>
      </c>
      <c r="E1009" s="44"/>
      <c r="F1009" s="31"/>
      <c r="G1009" s="93">
        <v>45362</v>
      </c>
      <c r="H1009" s="93" t="s">
        <v>3172</v>
      </c>
      <c r="I1009" s="88">
        <v>45515</v>
      </c>
      <c r="J1009" s="86"/>
    </row>
    <row r="1010" spans="1:10" s="40" customFormat="1" ht="29.85" customHeight="1">
      <c r="A1010" s="54"/>
      <c r="B1010" s="54" t="s">
        <v>3173</v>
      </c>
      <c r="C1010" s="44" t="s">
        <v>3174</v>
      </c>
      <c r="D1010" s="44" t="s">
        <v>18</v>
      </c>
      <c r="E1010" s="44"/>
      <c r="F1010" s="44"/>
      <c r="G1010" s="91">
        <v>45162</v>
      </c>
      <c r="H1010" s="91">
        <v>45546</v>
      </c>
      <c r="I1010" s="88">
        <v>45546</v>
      </c>
      <c r="J1010" s="86"/>
    </row>
    <row r="1011" spans="1:10" s="40" customFormat="1" ht="29.85" customHeight="1">
      <c r="A1011" s="44"/>
      <c r="B1011" s="54" t="s">
        <v>75</v>
      </c>
      <c r="C1011" s="44" t="s">
        <v>3175</v>
      </c>
      <c r="D1011" s="44" t="s">
        <v>3176</v>
      </c>
      <c r="E1011" s="44"/>
      <c r="F1011" s="44"/>
      <c r="G1011" s="91">
        <v>44974</v>
      </c>
      <c r="H1011" s="91" t="s">
        <v>3177</v>
      </c>
      <c r="I1011" s="88">
        <v>45552</v>
      </c>
      <c r="J1011" s="86"/>
    </row>
    <row r="1012" spans="1:10" s="40" customFormat="1" ht="29.85" customHeight="1">
      <c r="A1012" s="44"/>
      <c r="B1012" s="54" t="s">
        <v>13</v>
      </c>
      <c r="C1012" s="44" t="s">
        <v>3178</v>
      </c>
      <c r="D1012" s="44" t="s">
        <v>44</v>
      </c>
      <c r="E1012" s="44"/>
      <c r="F1012" s="44"/>
      <c r="G1012" s="91">
        <v>45107</v>
      </c>
      <c r="H1012" s="91">
        <v>45554</v>
      </c>
      <c r="I1012" s="88">
        <v>45565</v>
      </c>
      <c r="J1012" s="86">
        <v>2544</v>
      </c>
    </row>
    <row r="1013" spans="1:10" s="40" customFormat="1" ht="34.15" customHeight="1">
      <c r="A1013" s="54"/>
      <c r="B1013" s="54" t="s">
        <v>1850</v>
      </c>
      <c r="C1013" s="44" t="s">
        <v>3179</v>
      </c>
      <c r="D1013" s="44" t="s">
        <v>3180</v>
      </c>
      <c r="E1013" s="44"/>
      <c r="F1013" s="44"/>
      <c r="G1013" s="91">
        <v>44790</v>
      </c>
      <c r="H1013" s="91">
        <v>45558</v>
      </c>
      <c r="I1013" s="88">
        <v>45558</v>
      </c>
      <c r="J1013" s="86"/>
    </row>
    <row r="1014" spans="1:10" s="40" customFormat="1" ht="25.35" customHeight="1">
      <c r="A1014" s="54"/>
      <c r="B1014" s="54" t="s">
        <v>90</v>
      </c>
      <c r="C1014" s="44" t="s">
        <v>3181</v>
      </c>
      <c r="D1014" s="44" t="s">
        <v>15</v>
      </c>
      <c r="E1014" s="44"/>
      <c r="F1014" s="44"/>
      <c r="G1014" s="91">
        <v>45195</v>
      </c>
      <c r="H1014" s="91">
        <v>45560</v>
      </c>
      <c r="I1014" s="88">
        <v>45561</v>
      </c>
      <c r="J1014" s="86">
        <v>1416</v>
      </c>
    </row>
    <row r="1015" spans="1:10" s="40" customFormat="1" ht="30.75" customHeight="1">
      <c r="A1015" s="44"/>
      <c r="B1015" s="54" t="s">
        <v>2567</v>
      </c>
      <c r="C1015" s="44" t="s">
        <v>3182</v>
      </c>
      <c r="D1015" s="44" t="s">
        <v>3183</v>
      </c>
      <c r="E1015" s="44"/>
      <c r="F1015" s="44"/>
      <c r="G1015" s="91" t="s">
        <v>3184</v>
      </c>
      <c r="H1015" s="91" t="s">
        <v>3185</v>
      </c>
      <c r="I1015" s="88">
        <v>45480</v>
      </c>
      <c r="J1015" s="86">
        <v>852</v>
      </c>
    </row>
    <row r="1016" spans="1:10" s="40" customFormat="1" ht="30.75" customHeight="1">
      <c r="A1016" s="46"/>
      <c r="B1016" s="31" t="s">
        <v>271</v>
      </c>
      <c r="C1016" s="16" t="s">
        <v>3186</v>
      </c>
      <c r="D1016" s="44" t="s">
        <v>44</v>
      </c>
      <c r="E1016" s="44"/>
      <c r="F1016" s="16"/>
      <c r="G1016" s="91">
        <v>45495</v>
      </c>
      <c r="H1016" s="148">
        <v>45534</v>
      </c>
      <c r="I1016" s="88">
        <v>45534</v>
      </c>
      <c r="J1016" s="86"/>
    </row>
    <row r="1017" spans="1:10" s="40" customFormat="1" ht="29.85" customHeight="1">
      <c r="A1017" s="44"/>
      <c r="B1017" s="54" t="s">
        <v>107</v>
      </c>
      <c r="C1017" s="44" t="s">
        <v>3187</v>
      </c>
      <c r="D1017" s="44" t="s">
        <v>89</v>
      </c>
      <c r="E1017" s="44"/>
      <c r="F1017" s="77"/>
      <c r="G1017" s="91">
        <v>44705</v>
      </c>
      <c r="H1017" s="91">
        <v>45566</v>
      </c>
      <c r="I1017" s="88">
        <v>45566</v>
      </c>
      <c r="J1017" s="86"/>
    </row>
    <row r="1018" spans="1:10" s="40" customFormat="1" ht="31.5" customHeight="1">
      <c r="A1018" s="46"/>
      <c r="B1018" s="31" t="s">
        <v>322</v>
      </c>
      <c r="C1018" s="16" t="s">
        <v>3188</v>
      </c>
      <c r="D1018" s="54" t="s">
        <v>3189</v>
      </c>
      <c r="E1018" s="44"/>
      <c r="F1018" s="31"/>
      <c r="G1018" s="93">
        <v>45414</v>
      </c>
      <c r="H1018" s="93">
        <v>45567</v>
      </c>
      <c r="I1018" s="88">
        <v>45567</v>
      </c>
      <c r="J1018" s="86"/>
    </row>
    <row r="1019" spans="1:10" s="40" customFormat="1" ht="29.25" customHeight="1">
      <c r="A1019" s="54"/>
      <c r="B1019" s="54" t="s">
        <v>500</v>
      </c>
      <c r="C1019" s="44" t="s">
        <v>3190</v>
      </c>
      <c r="D1019" s="44" t="s">
        <v>44</v>
      </c>
      <c r="E1019" s="44"/>
      <c r="F1019" s="44"/>
      <c r="G1019" s="91">
        <v>45548</v>
      </c>
      <c r="H1019" s="91">
        <v>45566</v>
      </c>
      <c r="I1019" s="88">
        <v>45578</v>
      </c>
      <c r="J1019" s="86">
        <v>13</v>
      </c>
    </row>
    <row r="1020" spans="1:10" s="40" customFormat="1" ht="29.85" customHeight="1">
      <c r="A1020" s="54"/>
      <c r="B1020" s="54" t="s">
        <v>3191</v>
      </c>
      <c r="C1020" s="44" t="s">
        <v>3192</v>
      </c>
      <c r="D1020" s="44" t="s">
        <v>3193</v>
      </c>
      <c r="E1020" s="44"/>
      <c r="F1020" s="44"/>
      <c r="G1020" s="91">
        <v>45524</v>
      </c>
      <c r="H1020" s="91">
        <v>45552</v>
      </c>
      <c r="I1020" s="88">
        <v>45555</v>
      </c>
      <c r="J1020" s="86"/>
    </row>
    <row r="1021" spans="1:10" s="40" customFormat="1" ht="32.65" customHeight="1">
      <c r="A1021" s="49"/>
      <c r="B1021" s="31" t="s">
        <v>37</v>
      </c>
      <c r="C1021" s="16" t="s">
        <v>3194</v>
      </c>
      <c r="D1021" s="54" t="s">
        <v>15</v>
      </c>
      <c r="E1021" s="44"/>
      <c r="F1021" s="31"/>
      <c r="G1021" s="93">
        <v>44538</v>
      </c>
      <c r="H1021" s="93" t="s">
        <v>3195</v>
      </c>
      <c r="I1021" s="88">
        <v>45558</v>
      </c>
      <c r="J1021" s="86">
        <v>1308</v>
      </c>
    </row>
    <row r="1022" spans="1:10" s="40" customFormat="1" ht="30.75" customHeight="1">
      <c r="A1022" s="46"/>
      <c r="B1022" s="31" t="s">
        <v>107</v>
      </c>
      <c r="C1022" s="16" t="s">
        <v>108</v>
      </c>
      <c r="D1022" s="54" t="s">
        <v>3196</v>
      </c>
      <c r="E1022" s="44"/>
      <c r="F1022" s="31"/>
      <c r="G1022" s="93">
        <v>45491</v>
      </c>
      <c r="H1022" s="93">
        <v>45581</v>
      </c>
      <c r="I1022" s="88">
        <v>45583</v>
      </c>
      <c r="J1022" s="86"/>
    </row>
    <row r="1023" spans="1:10" s="40" customFormat="1" ht="29.25" customHeight="1">
      <c r="A1023" s="46"/>
      <c r="B1023" s="31" t="s">
        <v>3197</v>
      </c>
      <c r="C1023" s="16" t="s">
        <v>3198</v>
      </c>
      <c r="D1023" s="54" t="s">
        <v>44</v>
      </c>
      <c r="E1023" s="44"/>
      <c r="F1023" s="31"/>
      <c r="G1023" s="93">
        <v>45460</v>
      </c>
      <c r="H1023" s="93">
        <v>45582</v>
      </c>
      <c r="I1023" s="88">
        <v>45582</v>
      </c>
      <c r="J1023" s="86"/>
    </row>
    <row r="1024" spans="1:10" s="40" customFormat="1" ht="29.85" customHeight="1">
      <c r="A1024" s="46"/>
      <c r="B1024" s="31" t="s">
        <v>2587</v>
      </c>
      <c r="C1024" s="16" t="s">
        <v>3199</v>
      </c>
      <c r="D1024" s="54" t="s">
        <v>44</v>
      </c>
      <c r="E1024" s="44"/>
      <c r="F1024" s="31"/>
      <c r="G1024" s="93">
        <v>45302</v>
      </c>
      <c r="H1024" s="93" t="s">
        <v>3200</v>
      </c>
      <c r="I1024" s="88">
        <v>45576</v>
      </c>
      <c r="J1024" s="86"/>
    </row>
    <row r="1025" spans="1:19" s="40" customFormat="1" ht="29.85" customHeight="1">
      <c r="A1025" s="54"/>
      <c r="B1025" s="54" t="s">
        <v>3201</v>
      </c>
      <c r="C1025" s="44" t="s">
        <v>3202</v>
      </c>
      <c r="D1025" s="44" t="s">
        <v>2813</v>
      </c>
      <c r="E1025" s="44"/>
      <c r="F1025" s="44"/>
      <c r="G1025" s="91">
        <v>44833</v>
      </c>
      <c r="H1025" s="91">
        <v>45579</v>
      </c>
      <c r="I1025" s="88">
        <v>45579</v>
      </c>
      <c r="J1025" s="86"/>
    </row>
    <row r="1026" spans="1:19" s="40" customFormat="1" ht="29.85" customHeight="1">
      <c r="A1026" s="54"/>
      <c r="B1026" s="54" t="s">
        <v>24</v>
      </c>
      <c r="C1026" s="44" t="s">
        <v>3203</v>
      </c>
      <c r="D1026" s="44" t="s">
        <v>44</v>
      </c>
      <c r="E1026" s="44"/>
      <c r="F1026" s="44"/>
      <c r="G1026" s="91">
        <v>45540</v>
      </c>
      <c r="H1026" s="91">
        <v>45574</v>
      </c>
      <c r="I1026" s="88">
        <v>45570</v>
      </c>
      <c r="J1026" s="86">
        <v>8</v>
      </c>
    </row>
    <row r="1027" spans="1:19" s="40" customFormat="1" ht="45" customHeight="1">
      <c r="A1027" s="46"/>
      <c r="B1027" s="31" t="s">
        <v>3204</v>
      </c>
      <c r="C1027" s="16" t="s">
        <v>3205</v>
      </c>
      <c r="D1027" s="54" t="s">
        <v>54</v>
      </c>
      <c r="E1027" s="44"/>
      <c r="F1027" s="31"/>
      <c r="G1027" s="93">
        <v>45250</v>
      </c>
      <c r="H1027" s="93">
        <v>45575</v>
      </c>
      <c r="I1027" s="88">
        <v>45569</v>
      </c>
      <c r="J1027" s="86"/>
    </row>
    <row r="1028" spans="1:19" s="40" customFormat="1" ht="29.85" customHeight="1">
      <c r="A1028" s="44"/>
      <c r="B1028" s="54" t="s">
        <v>822</v>
      </c>
      <c r="C1028" s="44" t="s">
        <v>3206</v>
      </c>
      <c r="D1028" s="44" t="s">
        <v>15</v>
      </c>
      <c r="E1028" s="44"/>
      <c r="F1028" s="44"/>
      <c r="G1028" s="91">
        <v>45148</v>
      </c>
      <c r="H1028" s="91">
        <v>45594</v>
      </c>
      <c r="I1028" s="88">
        <v>45594</v>
      </c>
      <c r="J1028" s="86">
        <v>344</v>
      </c>
    </row>
    <row r="1029" spans="1:19" s="40" customFormat="1" ht="29.85" customHeight="1">
      <c r="A1029" s="46"/>
      <c r="B1029" s="31" t="s">
        <v>230</v>
      </c>
      <c r="C1029" s="16" t="s">
        <v>3207</v>
      </c>
      <c r="D1029" s="54" t="s">
        <v>15</v>
      </c>
      <c r="E1029" s="44"/>
      <c r="F1029" s="31"/>
      <c r="G1029" s="93">
        <v>45320</v>
      </c>
      <c r="H1029" s="93">
        <v>45594</v>
      </c>
      <c r="I1029" s="88">
        <v>45594</v>
      </c>
      <c r="J1029" s="86">
        <v>480</v>
      </c>
    </row>
    <row r="1030" spans="1:19" s="40" customFormat="1" ht="29.85" customHeight="1">
      <c r="A1030" s="54"/>
      <c r="B1030" s="54" t="s">
        <v>3208</v>
      </c>
      <c r="C1030" s="44" t="s">
        <v>3209</v>
      </c>
      <c r="D1030" s="44" t="s">
        <v>15</v>
      </c>
      <c r="E1030" s="44"/>
      <c r="F1030" s="44"/>
      <c r="G1030" s="91">
        <v>44580</v>
      </c>
      <c r="H1030" s="91" t="s">
        <v>3210</v>
      </c>
      <c r="I1030" s="88">
        <v>45596</v>
      </c>
      <c r="J1030" s="86">
        <v>2268</v>
      </c>
    </row>
    <row r="1031" spans="1:19" s="40" customFormat="1" ht="29.85" customHeight="1">
      <c r="A1031" s="54"/>
      <c r="B1031" s="54" t="s">
        <v>3142</v>
      </c>
      <c r="C1031" s="44" t="s">
        <v>3211</v>
      </c>
      <c r="D1031" s="44" t="s">
        <v>3212</v>
      </c>
      <c r="E1031" s="44"/>
      <c r="F1031" s="44"/>
      <c r="G1031" s="91">
        <v>45397</v>
      </c>
      <c r="H1031" s="91" t="s">
        <v>3213</v>
      </c>
      <c r="I1031" s="88">
        <v>45580</v>
      </c>
      <c r="J1031" s="86"/>
    </row>
    <row r="1032" spans="1:19" s="40" customFormat="1" ht="31.5" customHeight="1">
      <c r="A1032" s="46"/>
      <c r="B1032" s="31" t="s">
        <v>205</v>
      </c>
      <c r="C1032" s="16" t="s">
        <v>3214</v>
      </c>
      <c r="D1032" s="54" t="s">
        <v>15</v>
      </c>
      <c r="E1032" s="44"/>
      <c r="F1032" s="31"/>
      <c r="G1032" s="93">
        <v>45154</v>
      </c>
      <c r="H1032" s="93">
        <v>45597</v>
      </c>
      <c r="I1032" s="88">
        <v>45597</v>
      </c>
      <c r="J1032" s="86">
        <v>288</v>
      </c>
    </row>
    <row r="1033" spans="1:19">
      <c r="A1033" s="46"/>
      <c r="B1033" s="31" t="s">
        <v>30</v>
      </c>
      <c r="C1033" s="16" t="s">
        <v>3215</v>
      </c>
      <c r="D1033" s="54" t="s">
        <v>3216</v>
      </c>
      <c r="E1033" s="44"/>
      <c r="F1033" s="31"/>
      <c r="G1033" s="93">
        <v>45421</v>
      </c>
      <c r="H1033" s="93"/>
      <c r="I1033" s="88">
        <v>45588</v>
      </c>
      <c r="J1033" s="86"/>
    </row>
    <row r="1034" spans="1:19" ht="38.25">
      <c r="A1034" s="46"/>
      <c r="B1034" s="31" t="s">
        <v>3217</v>
      </c>
      <c r="C1034" s="16" t="s">
        <v>3218</v>
      </c>
      <c r="D1034" s="54" t="s">
        <v>3219</v>
      </c>
      <c r="E1034" s="44"/>
      <c r="F1034" s="31"/>
      <c r="G1034" s="93">
        <v>45426</v>
      </c>
      <c r="H1034" s="93" t="s">
        <v>3220</v>
      </c>
      <c r="I1034" s="88">
        <v>45609</v>
      </c>
      <c r="J1034" s="86"/>
    </row>
    <row r="1035" spans="1:19">
      <c r="A1035" s="46"/>
      <c r="B1035" s="31" t="s">
        <v>3116</v>
      </c>
      <c r="C1035" s="16" t="s">
        <v>3221</v>
      </c>
      <c r="D1035" s="54" t="s">
        <v>18</v>
      </c>
      <c r="E1035" s="44"/>
      <c r="F1035" s="31"/>
      <c r="G1035" s="93">
        <v>45447</v>
      </c>
      <c r="H1035" s="93">
        <v>45616</v>
      </c>
      <c r="I1035" s="88">
        <v>45610</v>
      </c>
      <c r="J1035" s="86"/>
      <c r="K1035" s="40"/>
      <c r="L1035" s="40"/>
      <c r="M1035" s="40"/>
      <c r="N1035" s="40"/>
      <c r="O1035" s="40"/>
      <c r="P1035" s="40"/>
      <c r="Q1035" s="40"/>
      <c r="R1035" s="40"/>
    </row>
    <row r="1036" spans="1:19">
      <c r="A1036" s="54"/>
      <c r="B1036" s="54" t="s">
        <v>161</v>
      </c>
      <c r="C1036" s="44" t="s">
        <v>3222</v>
      </c>
      <c r="D1036" s="44" t="s">
        <v>15</v>
      </c>
      <c r="E1036" s="44"/>
      <c r="F1036" s="44"/>
      <c r="G1036" s="91">
        <v>44587</v>
      </c>
      <c r="H1036" s="91">
        <v>45572</v>
      </c>
      <c r="I1036" s="88">
        <v>45572</v>
      </c>
      <c r="J1036" s="86">
        <v>192</v>
      </c>
      <c r="K1036" s="40"/>
      <c r="L1036" s="40"/>
      <c r="M1036" s="40"/>
      <c r="N1036" s="40"/>
      <c r="O1036" s="40"/>
      <c r="P1036" s="40"/>
      <c r="Q1036" s="40"/>
      <c r="R1036" s="40"/>
      <c r="S1036" s="40"/>
    </row>
    <row r="1037" spans="1:19">
      <c r="A1037" s="46"/>
      <c r="B1037" s="31" t="s">
        <v>30</v>
      </c>
      <c r="C1037" s="16" t="s">
        <v>3223</v>
      </c>
      <c r="D1037" s="54" t="s">
        <v>165</v>
      </c>
      <c r="E1037" s="44"/>
      <c r="F1037" s="31"/>
      <c r="G1037" s="93">
        <v>45238</v>
      </c>
      <c r="H1037" s="93">
        <v>45622</v>
      </c>
      <c r="I1037" s="88">
        <v>45634</v>
      </c>
      <c r="J1037" s="86"/>
    </row>
    <row r="1038" spans="1:19">
      <c r="A1038" s="44"/>
      <c r="B1038" s="54" t="s">
        <v>3224</v>
      </c>
      <c r="C1038" s="44" t="s">
        <v>3225</v>
      </c>
      <c r="D1038" s="44" t="s">
        <v>15</v>
      </c>
      <c r="E1038" s="44"/>
      <c r="F1038" s="16"/>
      <c r="G1038" s="91">
        <v>45127</v>
      </c>
      <c r="H1038" s="91">
        <v>45637</v>
      </c>
      <c r="I1038" s="88">
        <v>45637</v>
      </c>
      <c r="J1038" s="86">
        <v>1104</v>
      </c>
      <c r="K1038" s="40"/>
      <c r="L1038" s="40"/>
      <c r="M1038" s="40"/>
      <c r="N1038" s="40"/>
      <c r="O1038" s="40"/>
      <c r="P1038" s="40"/>
      <c r="Q1038" s="40"/>
      <c r="R1038" s="40"/>
      <c r="S1038" s="40"/>
    </row>
    <row r="1039" spans="1:19">
      <c r="A1039" s="46"/>
      <c r="B1039" s="31" t="s">
        <v>3226</v>
      </c>
      <c r="C1039" s="16" t="s">
        <v>3227</v>
      </c>
      <c r="D1039" s="54" t="s">
        <v>15</v>
      </c>
      <c r="E1039" s="44"/>
      <c r="F1039" s="31"/>
      <c r="G1039" s="93">
        <v>45464</v>
      </c>
      <c r="H1039" s="93">
        <v>45639</v>
      </c>
      <c r="I1039" s="88">
        <v>45639</v>
      </c>
      <c r="J1039" s="86"/>
      <c r="K1039" s="40"/>
      <c r="L1039" s="40"/>
      <c r="M1039" s="40"/>
      <c r="N1039" s="40"/>
      <c r="O1039" s="40"/>
      <c r="P1039" s="40"/>
      <c r="Q1039" s="40"/>
      <c r="R1039" s="40"/>
      <c r="S1039" s="40"/>
    </row>
    <row r="1040" spans="1:19">
      <c r="A1040" s="46"/>
      <c r="B1040" s="31" t="s">
        <v>3228</v>
      </c>
      <c r="C1040" s="16" t="s">
        <v>3229</v>
      </c>
      <c r="D1040" s="54" t="s">
        <v>44</v>
      </c>
      <c r="E1040" s="44"/>
      <c r="F1040" s="31"/>
      <c r="G1040" s="93">
        <v>45432</v>
      </c>
      <c r="H1040" s="93">
        <v>45628</v>
      </c>
      <c r="I1040" s="88">
        <v>45628</v>
      </c>
      <c r="J1040" s="86"/>
      <c r="K1040" s="40"/>
      <c r="L1040" s="40"/>
      <c r="M1040" s="40"/>
      <c r="N1040" s="40"/>
      <c r="O1040" s="40"/>
      <c r="P1040" s="40"/>
      <c r="Q1040" s="40"/>
      <c r="R1040" s="40"/>
      <c r="S1040" s="40"/>
    </row>
    <row r="1041" spans="1:19" ht="25.5">
      <c r="A1041" s="46"/>
      <c r="B1041" s="31" t="s">
        <v>2587</v>
      </c>
      <c r="C1041" s="16" t="s">
        <v>3230</v>
      </c>
      <c r="D1041" s="54" t="s">
        <v>15</v>
      </c>
      <c r="E1041" s="44"/>
      <c r="F1041" s="31"/>
      <c r="G1041" s="93">
        <v>45222</v>
      </c>
      <c r="H1041" s="93">
        <v>45636</v>
      </c>
      <c r="I1041" s="88">
        <v>45636</v>
      </c>
      <c r="J1041" s="86"/>
      <c r="K1041" s="40"/>
      <c r="L1041" s="40"/>
      <c r="M1041" s="40"/>
      <c r="N1041" s="40"/>
      <c r="O1041" s="40"/>
      <c r="P1041" s="40"/>
      <c r="Q1041" s="40"/>
      <c r="R1041" s="40"/>
      <c r="S1041" s="40"/>
    </row>
    <row r="1042" spans="1:19">
      <c r="A1042" s="46"/>
      <c r="B1042" s="31" t="s">
        <v>3231</v>
      </c>
      <c r="C1042" s="16" t="s">
        <v>3232</v>
      </c>
      <c r="D1042" s="44" t="s">
        <v>15</v>
      </c>
      <c r="E1042" s="44"/>
      <c r="F1042" s="16"/>
      <c r="G1042" s="91">
        <v>45519</v>
      </c>
      <c r="H1042" s="148">
        <v>45642</v>
      </c>
      <c r="I1042" s="88">
        <v>45641</v>
      </c>
      <c r="J1042" s="86"/>
    </row>
    <row r="1043" spans="1:19" ht="25.5">
      <c r="A1043" s="46"/>
      <c r="B1043" s="31" t="s">
        <v>24</v>
      </c>
      <c r="C1043" s="16" t="s">
        <v>3233</v>
      </c>
      <c r="D1043" s="54" t="s">
        <v>3234</v>
      </c>
      <c r="E1043" s="44"/>
      <c r="F1043" s="31"/>
      <c r="G1043" s="93">
        <v>45440</v>
      </c>
      <c r="H1043" s="93" t="s">
        <v>3235</v>
      </c>
      <c r="I1043" s="88">
        <v>45636</v>
      </c>
      <c r="J1043" s="86"/>
    </row>
    <row r="1044" spans="1:19">
      <c r="A1044" s="46"/>
      <c r="B1044" s="31" t="s">
        <v>107</v>
      </c>
      <c r="C1044" s="16" t="s">
        <v>108</v>
      </c>
      <c r="D1044" s="54" t="s">
        <v>18</v>
      </c>
      <c r="E1044" s="44"/>
      <c r="F1044" s="31"/>
      <c r="G1044" s="93">
        <v>45419</v>
      </c>
      <c r="H1044" s="93">
        <v>45581</v>
      </c>
      <c r="I1044" s="88">
        <v>45603</v>
      </c>
      <c r="J1044" s="86"/>
      <c r="K1044" s="40"/>
      <c r="L1044" s="40"/>
      <c r="M1044" s="40"/>
      <c r="N1044" s="40"/>
      <c r="O1044" s="40"/>
      <c r="P1044" s="40"/>
      <c r="Q1044" s="40"/>
      <c r="R1044" s="40"/>
      <c r="S1044" s="40"/>
    </row>
    <row r="1045" spans="1:19">
      <c r="A1045" s="46"/>
      <c r="B1045" s="31" t="s">
        <v>90</v>
      </c>
      <c r="C1045" s="16" t="s">
        <v>3236</v>
      </c>
      <c r="D1045" s="54" t="s">
        <v>44</v>
      </c>
      <c r="E1045" s="44"/>
      <c r="F1045" s="31"/>
      <c r="G1045" s="93">
        <v>45454</v>
      </c>
      <c r="H1045" s="93">
        <v>45603</v>
      </c>
      <c r="I1045" s="88">
        <v>45603</v>
      </c>
      <c r="J1045" s="86"/>
      <c r="K1045" s="40"/>
      <c r="L1045" s="40"/>
      <c r="M1045" s="40"/>
      <c r="N1045" s="40"/>
      <c r="O1045" s="40"/>
      <c r="P1045" s="40"/>
      <c r="Q1045" s="40"/>
      <c r="R1045" s="40"/>
      <c r="S1045" s="40"/>
    </row>
    <row r="1046" spans="1:19">
      <c r="A1046" s="54"/>
      <c r="B1046" s="54" t="s">
        <v>322</v>
      </c>
      <c r="C1046" s="44" t="s">
        <v>3237</v>
      </c>
      <c r="D1046" s="44" t="s">
        <v>18</v>
      </c>
      <c r="E1046" s="44"/>
      <c r="F1046" s="44"/>
      <c r="G1046" s="91">
        <v>45520</v>
      </c>
      <c r="H1046" s="91">
        <v>45649</v>
      </c>
      <c r="I1046" s="88">
        <v>45649</v>
      </c>
      <c r="J1046" s="86"/>
      <c r="K1046" s="40"/>
      <c r="L1046" s="40"/>
      <c r="M1046" s="40"/>
      <c r="N1046" s="40"/>
      <c r="O1046" s="40"/>
      <c r="P1046" s="40"/>
      <c r="Q1046" s="40"/>
      <c r="R1046" s="40"/>
      <c r="S1046" s="40"/>
    </row>
    <row r="1047" spans="1:19" ht="25.5">
      <c r="A1047" s="54"/>
      <c r="B1047" s="54" t="s">
        <v>145</v>
      </c>
      <c r="C1047" s="44" t="s">
        <v>3238</v>
      </c>
      <c r="D1047" s="44" t="s">
        <v>3239</v>
      </c>
      <c r="E1047" s="44"/>
      <c r="F1047" s="44"/>
      <c r="G1047" s="91">
        <v>45618</v>
      </c>
      <c r="H1047" s="91">
        <v>45647</v>
      </c>
      <c r="I1047" s="88">
        <v>45648</v>
      </c>
      <c r="J1047" s="86"/>
    </row>
    <row r="1048" spans="1:19">
      <c r="A1048" s="54"/>
      <c r="B1048" s="54" t="s">
        <v>3066</v>
      </c>
      <c r="C1048" s="54" t="s">
        <v>3240</v>
      </c>
      <c r="D1048" s="54" t="s">
        <v>44</v>
      </c>
      <c r="E1048" s="54"/>
      <c r="F1048" s="111"/>
      <c r="G1048" s="112">
        <v>45371</v>
      </c>
      <c r="H1048" s="112">
        <v>45645</v>
      </c>
      <c r="I1048" s="88">
        <v>45646</v>
      </c>
      <c r="J1048" s="86"/>
      <c r="K1048" s="40"/>
      <c r="L1048" s="40"/>
      <c r="M1048" s="40"/>
      <c r="N1048" s="40"/>
      <c r="O1048" s="40"/>
      <c r="P1048" s="40"/>
      <c r="Q1048" s="40"/>
      <c r="R1048" s="40"/>
      <c r="S1048" s="40"/>
    </row>
    <row r="1049" spans="1:19" ht="25.5">
      <c r="A1049" s="54"/>
      <c r="B1049" s="54" t="s">
        <v>2587</v>
      </c>
      <c r="C1049" s="44" t="s">
        <v>3230</v>
      </c>
      <c r="D1049" s="44" t="s">
        <v>3241</v>
      </c>
      <c r="E1049" s="44"/>
      <c r="F1049" s="44"/>
      <c r="G1049" s="91">
        <v>45530</v>
      </c>
      <c r="H1049" s="91">
        <v>45636</v>
      </c>
      <c r="I1049" s="88">
        <v>45636</v>
      </c>
      <c r="J1049" s="86"/>
      <c r="K1049" s="40"/>
      <c r="L1049" s="40"/>
      <c r="M1049" s="40"/>
      <c r="N1049" s="40"/>
      <c r="O1049" s="40"/>
      <c r="P1049" s="40"/>
      <c r="Q1049" s="40"/>
      <c r="R1049" s="40"/>
      <c r="S1049" s="40"/>
    </row>
    <row r="1050" spans="1:19">
      <c r="A1050" s="46"/>
      <c r="B1050" s="31" t="s">
        <v>3242</v>
      </c>
      <c r="C1050" s="16" t="s">
        <v>3243</v>
      </c>
      <c r="D1050" s="54" t="s">
        <v>89</v>
      </c>
      <c r="E1050" s="44"/>
      <c r="F1050" s="31"/>
      <c r="G1050" s="93">
        <v>45280</v>
      </c>
      <c r="H1050" s="93">
        <v>45638</v>
      </c>
      <c r="I1050" s="88">
        <v>45638</v>
      </c>
      <c r="J1050" s="86"/>
      <c r="K1050" s="40"/>
      <c r="L1050" s="40"/>
      <c r="M1050" s="40"/>
      <c r="N1050" s="40"/>
      <c r="O1050" s="40"/>
      <c r="P1050" s="40"/>
      <c r="Q1050" s="40"/>
      <c r="R1050" s="40"/>
      <c r="S1050" s="40"/>
    </row>
    <row r="1051" spans="1:19">
      <c r="A1051" s="44"/>
      <c r="B1051" s="54" t="s">
        <v>75</v>
      </c>
      <c r="C1051" s="44" t="s">
        <v>3244</v>
      </c>
      <c r="D1051" s="44" t="s">
        <v>18</v>
      </c>
      <c r="E1051" s="44"/>
      <c r="F1051" s="44"/>
      <c r="G1051" s="91">
        <v>44938</v>
      </c>
      <c r="H1051" s="91"/>
      <c r="I1051" s="88">
        <v>45638</v>
      </c>
      <c r="J1051" s="86"/>
    </row>
    <row r="1052" spans="1:19">
      <c r="A1052" s="54"/>
      <c r="B1052" s="44" t="s">
        <v>3245</v>
      </c>
      <c r="C1052" s="44" t="s">
        <v>3246</v>
      </c>
      <c r="D1052" s="44" t="s">
        <v>15</v>
      </c>
      <c r="E1052" s="44"/>
      <c r="F1052" s="44"/>
      <c r="G1052" s="91">
        <v>44531</v>
      </c>
      <c r="H1052" s="91">
        <v>45663</v>
      </c>
      <c r="I1052" s="88">
        <v>45663</v>
      </c>
      <c r="J1052" s="86">
        <v>444</v>
      </c>
    </row>
    <row r="1053" spans="1:19">
      <c r="A1053" s="46"/>
      <c r="B1053" s="31" t="s">
        <v>3247</v>
      </c>
      <c r="C1053" s="16" t="s">
        <v>3248</v>
      </c>
      <c r="D1053" s="54" t="s">
        <v>44</v>
      </c>
      <c r="E1053" s="44"/>
      <c r="F1053" s="31"/>
      <c r="G1053" s="93">
        <v>45345</v>
      </c>
      <c r="H1053" s="93"/>
      <c r="I1053" s="88">
        <v>45664</v>
      </c>
      <c r="J1053" s="86"/>
      <c r="K1053" s="40"/>
      <c r="L1053" s="40"/>
      <c r="M1053" s="40"/>
      <c r="N1053" s="40"/>
      <c r="O1053" s="40"/>
      <c r="P1053" s="40"/>
      <c r="Q1053" s="40"/>
      <c r="R1053" s="40"/>
      <c r="S1053" s="40"/>
    </row>
    <row r="1054" spans="1:19">
      <c r="A1054" s="46"/>
      <c r="B1054" s="31" t="s">
        <v>143</v>
      </c>
      <c r="C1054" s="16" t="s">
        <v>3249</v>
      </c>
      <c r="D1054" s="54" t="s">
        <v>44</v>
      </c>
      <c r="E1054" s="44"/>
      <c r="F1054" s="31"/>
      <c r="G1054" s="93">
        <v>45464</v>
      </c>
      <c r="H1054" s="93">
        <v>45668</v>
      </c>
      <c r="I1054" s="88">
        <v>45668</v>
      </c>
      <c r="J1054" s="86"/>
      <c r="K1054" s="40"/>
      <c r="L1054" s="40"/>
      <c r="M1054" s="40"/>
      <c r="N1054" s="40"/>
      <c r="O1054" s="40"/>
      <c r="P1054" s="40"/>
      <c r="Q1054" s="40"/>
      <c r="R1054" s="40"/>
      <c r="S1054" s="40"/>
    </row>
    <row r="1055" spans="1:19">
      <c r="A1055" s="54"/>
      <c r="B1055" s="54" t="s">
        <v>30</v>
      </c>
      <c r="C1055" s="44" t="s">
        <v>3250</v>
      </c>
      <c r="D1055" s="44" t="s">
        <v>54</v>
      </c>
      <c r="E1055" s="44"/>
      <c r="F1055" s="44"/>
      <c r="G1055" s="91">
        <v>45541</v>
      </c>
      <c r="H1055" s="91">
        <v>45664</v>
      </c>
      <c r="I1055" s="88">
        <v>45664</v>
      </c>
      <c r="J1055" s="86"/>
    </row>
    <row r="1056" spans="1:19">
      <c r="A1056" s="46"/>
      <c r="B1056" s="31" t="s">
        <v>3251</v>
      </c>
      <c r="C1056" s="16" t="s">
        <v>3252</v>
      </c>
      <c r="D1056" s="44" t="s">
        <v>15</v>
      </c>
      <c r="E1056" s="44"/>
      <c r="F1056" s="16"/>
      <c r="G1056" s="91">
        <v>45513</v>
      </c>
      <c r="H1056" s="94">
        <v>45672</v>
      </c>
      <c r="I1056" s="88">
        <v>45672</v>
      </c>
      <c r="J1056" s="86"/>
    </row>
    <row r="1057" spans="1:19">
      <c r="A1057" s="46"/>
      <c r="B1057" s="31" t="s">
        <v>3253</v>
      </c>
      <c r="C1057" s="16" t="s">
        <v>3254</v>
      </c>
      <c r="D1057" s="54" t="s">
        <v>15</v>
      </c>
      <c r="E1057" s="44"/>
      <c r="F1057" s="31"/>
      <c r="G1057" s="93">
        <v>45303</v>
      </c>
      <c r="H1057" s="93">
        <v>45672</v>
      </c>
      <c r="I1057" s="88">
        <v>45672</v>
      </c>
      <c r="J1057" s="86">
        <v>768</v>
      </c>
    </row>
    <row r="1058" spans="1:19">
      <c r="A1058" s="54"/>
      <c r="B1058" s="54" t="s">
        <v>822</v>
      </c>
      <c r="C1058" s="44" t="s">
        <v>3255</v>
      </c>
      <c r="D1058" s="44" t="s">
        <v>44</v>
      </c>
      <c r="E1058" s="44"/>
      <c r="F1058" s="44"/>
      <c r="G1058" s="91">
        <v>45643</v>
      </c>
      <c r="H1058" s="91">
        <v>45674</v>
      </c>
      <c r="I1058" s="88">
        <v>45674</v>
      </c>
      <c r="J1058" s="86"/>
    </row>
    <row r="1059" spans="1:19" ht="25.5">
      <c r="A1059" s="46"/>
      <c r="B1059" s="31" t="s">
        <v>3256</v>
      </c>
      <c r="C1059" s="16" t="s">
        <v>3257</v>
      </c>
      <c r="D1059" s="44" t="s">
        <v>44</v>
      </c>
      <c r="E1059" s="44"/>
      <c r="F1059" s="16"/>
      <c r="G1059" s="91">
        <v>45514</v>
      </c>
      <c r="H1059" s="94">
        <v>45675</v>
      </c>
      <c r="I1059" s="88">
        <v>45675</v>
      </c>
      <c r="J1059" s="86"/>
      <c r="K1059" s="40"/>
      <c r="L1059" s="40"/>
      <c r="M1059" s="40"/>
      <c r="N1059" s="40"/>
      <c r="O1059" s="40"/>
      <c r="P1059" s="40"/>
      <c r="Q1059" s="40"/>
      <c r="R1059" s="40"/>
    </row>
    <row r="1060" spans="1:19" s="40" customFormat="1" ht="29.85" customHeight="1">
      <c r="A1060" s="44"/>
      <c r="B1060" s="54" t="s">
        <v>3258</v>
      </c>
      <c r="C1060" s="44" t="s">
        <v>3259</v>
      </c>
      <c r="D1060" s="44" t="s">
        <v>18</v>
      </c>
      <c r="E1060" s="44"/>
      <c r="F1060" s="44"/>
      <c r="G1060" s="91">
        <v>44880</v>
      </c>
      <c r="H1060" s="91">
        <v>45674</v>
      </c>
      <c r="I1060" s="88">
        <v>45672</v>
      </c>
      <c r="J1060" s="86"/>
    </row>
    <row r="1061" spans="1:19">
      <c r="A1061" s="46"/>
      <c r="B1061" s="31" t="s">
        <v>248</v>
      </c>
      <c r="C1061" s="16" t="s">
        <v>3260</v>
      </c>
      <c r="D1061" s="44" t="s">
        <v>2755</v>
      </c>
      <c r="E1061" s="44"/>
      <c r="F1061" s="16"/>
      <c r="G1061" s="91">
        <v>45502</v>
      </c>
      <c r="H1061" s="94">
        <v>45674</v>
      </c>
      <c r="I1061" s="88">
        <v>45674</v>
      </c>
      <c r="J1061" s="86"/>
      <c r="K1061" s="40"/>
      <c r="L1061" s="40"/>
      <c r="M1061" s="40"/>
      <c r="N1061" s="40"/>
      <c r="O1061" s="40"/>
      <c r="P1061" s="40"/>
      <c r="Q1061" s="40"/>
      <c r="R1061" s="40"/>
    </row>
    <row r="1062" spans="1:19">
      <c r="A1062" s="54"/>
      <c r="B1062" s="54" t="s">
        <v>3261</v>
      </c>
      <c r="C1062" s="44" t="s">
        <v>3262</v>
      </c>
      <c r="D1062" s="44" t="s">
        <v>44</v>
      </c>
      <c r="E1062" s="44"/>
      <c r="F1062" s="44"/>
      <c r="G1062" s="91">
        <v>45552</v>
      </c>
      <c r="H1062" s="91">
        <v>45674</v>
      </c>
      <c r="I1062" s="88">
        <v>45674</v>
      </c>
      <c r="J1062" s="86">
        <v>17</v>
      </c>
    </row>
    <row r="1063" spans="1:19">
      <c r="A1063" s="44"/>
      <c r="B1063" s="54" t="s">
        <v>3263</v>
      </c>
      <c r="C1063" s="44" t="s">
        <v>3243</v>
      </c>
      <c r="D1063" s="44" t="s">
        <v>15</v>
      </c>
      <c r="E1063" s="44"/>
      <c r="F1063" s="44"/>
      <c r="G1063" s="91">
        <v>44690</v>
      </c>
      <c r="H1063" s="91">
        <v>45679</v>
      </c>
      <c r="I1063" s="88">
        <v>45679</v>
      </c>
      <c r="J1063" s="86">
        <v>8520</v>
      </c>
      <c r="K1063" s="40"/>
      <c r="L1063" s="40"/>
      <c r="M1063" s="40"/>
      <c r="N1063" s="40"/>
      <c r="O1063" s="40"/>
      <c r="P1063" s="40"/>
      <c r="Q1063" s="40"/>
      <c r="R1063" s="40"/>
      <c r="S1063" s="40"/>
    </row>
    <row r="1064" spans="1:19">
      <c r="A1064" s="46"/>
      <c r="B1064" s="31" t="s">
        <v>141</v>
      </c>
      <c r="C1064" s="16" t="s">
        <v>3264</v>
      </c>
      <c r="D1064" s="54" t="s">
        <v>44</v>
      </c>
      <c r="E1064" s="44"/>
      <c r="F1064" s="31"/>
      <c r="G1064" s="93">
        <v>45343</v>
      </c>
      <c r="H1064" s="93">
        <v>45682</v>
      </c>
      <c r="I1064" s="88">
        <v>45678</v>
      </c>
      <c r="J1064" s="86"/>
      <c r="K1064" s="40"/>
      <c r="L1064" s="40"/>
      <c r="M1064" s="40"/>
      <c r="N1064" s="40"/>
      <c r="O1064" s="40"/>
      <c r="P1064" s="40"/>
      <c r="Q1064" s="40"/>
      <c r="R1064" s="40"/>
      <c r="S1064" s="40"/>
    </row>
    <row r="1065" spans="1:19">
      <c r="A1065" s="46"/>
      <c r="B1065" s="31" t="s">
        <v>2183</v>
      </c>
      <c r="C1065" s="16" t="s">
        <v>3265</v>
      </c>
      <c r="D1065" s="15" t="s">
        <v>15</v>
      </c>
      <c r="E1065" s="15" t="s">
        <v>15</v>
      </c>
      <c r="F1065" s="99" t="s">
        <v>3266</v>
      </c>
      <c r="G1065" s="94">
        <v>44063</v>
      </c>
      <c r="H1065" s="94">
        <v>45677</v>
      </c>
      <c r="I1065" s="88">
        <v>45677</v>
      </c>
      <c r="J1065" s="122">
        <v>756</v>
      </c>
      <c r="K1065" s="40"/>
      <c r="L1065" s="40"/>
      <c r="M1065" s="40"/>
      <c r="N1065" s="40"/>
      <c r="O1065" s="40"/>
      <c r="P1065" s="40"/>
      <c r="Q1065" s="40"/>
      <c r="R1065" s="40"/>
      <c r="S1065" s="40"/>
    </row>
    <row r="1066" spans="1:19" ht="29.25">
      <c r="A1066" s="159"/>
      <c r="B1066" s="159" t="s">
        <v>3267</v>
      </c>
      <c r="C1066" s="160" t="s">
        <v>3268</v>
      </c>
      <c r="D1066" s="160" t="s">
        <v>15</v>
      </c>
      <c r="E1066" s="160"/>
      <c r="F1066" s="160"/>
      <c r="G1066" s="161">
        <v>45546</v>
      </c>
      <c r="H1066" s="161">
        <v>45686</v>
      </c>
      <c r="I1066" s="162">
        <v>45686</v>
      </c>
      <c r="J1066" s="163"/>
    </row>
    <row r="1067" spans="1:19">
      <c r="A1067" s="46"/>
      <c r="B1067" s="31" t="s">
        <v>3112</v>
      </c>
      <c r="C1067" s="16" t="s">
        <v>3269</v>
      </c>
      <c r="D1067" s="54" t="s">
        <v>3270</v>
      </c>
      <c r="E1067" s="44"/>
      <c r="F1067" s="31"/>
      <c r="G1067" s="93">
        <v>45265</v>
      </c>
      <c r="H1067" s="93">
        <v>45685</v>
      </c>
      <c r="I1067" s="88">
        <v>45685</v>
      </c>
      <c r="J1067" s="86"/>
    </row>
    <row r="1068" spans="1:19">
      <c r="A1068" s="54"/>
      <c r="B1068" s="54" t="s">
        <v>30</v>
      </c>
      <c r="C1068" s="44" t="s">
        <v>3271</v>
      </c>
      <c r="D1068" s="44" t="s">
        <v>18</v>
      </c>
      <c r="E1068" s="44"/>
      <c r="F1068" s="44"/>
      <c r="G1068" s="91">
        <v>45364</v>
      </c>
      <c r="H1068" s="91">
        <v>45691</v>
      </c>
      <c r="I1068" s="88">
        <v>45691</v>
      </c>
      <c r="J1068" s="86"/>
    </row>
    <row r="1069" spans="1:19">
      <c r="A1069" s="46"/>
      <c r="B1069" s="31" t="s">
        <v>3272</v>
      </c>
      <c r="C1069" s="16" t="s">
        <v>3273</v>
      </c>
      <c r="D1069" s="54" t="s">
        <v>18</v>
      </c>
      <c r="E1069" s="44"/>
      <c r="F1069" s="31"/>
      <c r="G1069" s="93">
        <v>45531</v>
      </c>
      <c r="H1069" s="93">
        <v>45684</v>
      </c>
      <c r="I1069" s="88">
        <v>45684</v>
      </c>
      <c r="J1069" s="49"/>
      <c r="K1069" s="55"/>
      <c r="L1069" s="25"/>
      <c r="M1069" s="40"/>
      <c r="N1069" s="40"/>
      <c r="O1069" s="25"/>
      <c r="P1069" s="113"/>
      <c r="Q1069" s="86"/>
      <c r="R1069" s="86"/>
      <c r="S1069" s="86"/>
    </row>
    <row r="1070" spans="1:19">
      <c r="A1070" s="46"/>
      <c r="B1070" s="31" t="s">
        <v>30</v>
      </c>
      <c r="C1070" s="16" t="s">
        <v>3274</v>
      </c>
      <c r="D1070" s="54" t="s">
        <v>149</v>
      </c>
      <c r="E1070" s="44"/>
      <c r="F1070" s="31"/>
      <c r="G1070" s="93">
        <v>45404</v>
      </c>
      <c r="H1070" s="93">
        <v>45664</v>
      </c>
      <c r="I1070" s="88">
        <v>45664</v>
      </c>
      <c r="J1070" s="86"/>
      <c r="K1070" s="40"/>
      <c r="L1070" s="40"/>
      <c r="M1070" s="40"/>
      <c r="N1070" s="40"/>
      <c r="O1070" s="40"/>
      <c r="P1070" s="40"/>
      <c r="Q1070" s="40"/>
      <c r="R1070" s="40"/>
      <c r="S1070" s="40"/>
    </row>
    <row r="1071" spans="1:19">
      <c r="A1071" s="46"/>
      <c r="B1071" s="31" t="s">
        <v>30</v>
      </c>
      <c r="C1071" s="16" t="s">
        <v>3275</v>
      </c>
      <c r="D1071" s="54" t="s">
        <v>149</v>
      </c>
      <c r="E1071" s="44"/>
      <c r="F1071" s="31"/>
      <c r="G1071" s="93">
        <v>45341</v>
      </c>
      <c r="H1071" s="93">
        <v>45693</v>
      </c>
      <c r="I1071" s="88">
        <v>45693</v>
      </c>
      <c r="J1071" s="86"/>
      <c r="K1071" s="40"/>
      <c r="L1071" s="40"/>
      <c r="M1071" s="40"/>
      <c r="N1071" s="40"/>
      <c r="O1071" s="40"/>
      <c r="P1071" s="40"/>
      <c r="Q1071" s="40"/>
      <c r="R1071" s="40"/>
      <c r="S1071" s="40"/>
    </row>
    <row r="1072" spans="1:19" ht="25.5">
      <c r="A1072" s="54"/>
      <c r="B1072" s="54" t="s">
        <v>3103</v>
      </c>
      <c r="C1072" s="44" t="s">
        <v>3276</v>
      </c>
      <c r="D1072" s="44" t="s">
        <v>2640</v>
      </c>
      <c r="E1072" s="44"/>
      <c r="F1072" s="44"/>
      <c r="G1072" s="91">
        <v>45393</v>
      </c>
      <c r="H1072" s="91">
        <v>45693</v>
      </c>
      <c r="I1072" s="88">
        <v>45693</v>
      </c>
      <c r="J1072" s="86"/>
      <c r="K1072" s="40"/>
      <c r="L1072" s="40"/>
      <c r="M1072" s="40"/>
      <c r="N1072" s="40"/>
      <c r="O1072" s="40"/>
      <c r="P1072" s="40"/>
      <c r="Q1072" s="40"/>
      <c r="R1072" s="40"/>
      <c r="S1072" s="40"/>
    </row>
    <row r="1073" spans="1:19">
      <c r="A1073" s="44"/>
      <c r="B1073" s="54" t="s">
        <v>3277</v>
      </c>
      <c r="C1073" s="44" t="s">
        <v>3278</v>
      </c>
      <c r="D1073" s="44" t="s">
        <v>80</v>
      </c>
      <c r="E1073" s="44"/>
      <c r="F1073" s="44"/>
      <c r="G1073" s="91">
        <v>44901</v>
      </c>
      <c r="H1073" s="91" t="s">
        <v>3279</v>
      </c>
      <c r="I1073" s="88">
        <v>45663</v>
      </c>
      <c r="J1073" s="86">
        <v>60</v>
      </c>
      <c r="K1073" s="40"/>
      <c r="L1073" s="40"/>
      <c r="M1073" s="40"/>
      <c r="N1073" s="40"/>
      <c r="O1073" s="40"/>
      <c r="P1073" s="40"/>
      <c r="Q1073" s="40"/>
      <c r="R1073" s="40"/>
      <c r="S1073" s="40"/>
    </row>
    <row r="1074" spans="1:19" ht="25.5">
      <c r="A1074" s="54"/>
      <c r="B1074" s="54" t="s">
        <v>16</v>
      </c>
      <c r="C1074" s="44" t="s">
        <v>3280</v>
      </c>
      <c r="D1074" s="44" t="s">
        <v>3281</v>
      </c>
      <c r="E1074" s="44"/>
      <c r="F1074" s="44"/>
      <c r="G1074" s="91">
        <v>45615</v>
      </c>
      <c r="H1074" s="91">
        <v>45699</v>
      </c>
      <c r="I1074" s="88">
        <v>45699</v>
      </c>
      <c r="J1074" s="86"/>
      <c r="K1074" s="40"/>
      <c r="L1074" s="40"/>
      <c r="M1074" s="40"/>
      <c r="N1074" s="40"/>
      <c r="O1074" s="40"/>
      <c r="P1074" s="40"/>
      <c r="Q1074" s="40"/>
      <c r="R1074" s="40"/>
      <c r="S1074" s="40"/>
    </row>
    <row r="1075" spans="1:19" ht="51">
      <c r="A1075" s="46"/>
      <c r="B1075" s="31" t="s">
        <v>201</v>
      </c>
      <c r="C1075" s="16" t="s">
        <v>3282</v>
      </c>
      <c r="D1075" s="54" t="s">
        <v>3283</v>
      </c>
      <c r="E1075" s="44"/>
      <c r="F1075" s="31"/>
      <c r="G1075" s="93">
        <v>45651</v>
      </c>
      <c r="H1075" s="157" t="s">
        <v>3284</v>
      </c>
      <c r="I1075" s="88">
        <v>45707</v>
      </c>
      <c r="J1075" s="86">
        <v>5532</v>
      </c>
      <c r="K1075" s="40"/>
      <c r="L1075" s="40"/>
      <c r="M1075" s="40"/>
      <c r="N1075" s="40"/>
      <c r="O1075" s="40"/>
      <c r="P1075" s="40"/>
      <c r="Q1075" s="40"/>
      <c r="R1075" s="40"/>
      <c r="S1075" s="40"/>
    </row>
    <row r="1076" spans="1:19" ht="29.25">
      <c r="A1076" s="165"/>
      <c r="B1076" s="166" t="s">
        <v>3285</v>
      </c>
      <c r="C1076" s="167" t="s">
        <v>3286</v>
      </c>
      <c r="D1076" s="159" t="s">
        <v>44</v>
      </c>
      <c r="E1076" s="160"/>
      <c r="F1076" s="166"/>
      <c r="G1076" s="169">
        <v>45485</v>
      </c>
      <c r="H1076" s="184" t="s">
        <v>3287</v>
      </c>
      <c r="I1076" s="162">
        <v>45700</v>
      </c>
      <c r="J1076" s="163"/>
      <c r="K1076" s="164"/>
      <c r="L1076" s="164"/>
      <c r="M1076" s="164"/>
      <c r="N1076" s="164"/>
      <c r="O1076" s="164"/>
      <c r="P1076" s="164"/>
      <c r="Q1076" s="164"/>
      <c r="R1076" s="164"/>
      <c r="S1076" s="164"/>
    </row>
    <row r="1077" spans="1:19" ht="38.25">
      <c r="A1077" s="54"/>
      <c r="B1077" s="54" t="s">
        <v>2465</v>
      </c>
      <c r="C1077" s="44" t="s">
        <v>3288</v>
      </c>
      <c r="D1077" s="44" t="s">
        <v>80</v>
      </c>
      <c r="E1077" s="44"/>
      <c r="F1077" s="44"/>
      <c r="G1077" s="91">
        <v>45005</v>
      </c>
      <c r="H1077" s="91" t="s">
        <v>3289</v>
      </c>
      <c r="I1077" s="88">
        <v>45708</v>
      </c>
      <c r="J1077" s="86">
        <v>72</v>
      </c>
      <c r="K1077" s="40"/>
      <c r="L1077" s="40"/>
      <c r="M1077" s="40"/>
      <c r="N1077" s="40"/>
      <c r="O1077" s="40"/>
      <c r="P1077" s="40"/>
      <c r="Q1077" s="40"/>
      <c r="R1077" s="40"/>
      <c r="S1077" s="40"/>
    </row>
    <row r="1078" spans="1:19" ht="29.25">
      <c r="A1078" s="159"/>
      <c r="B1078" s="159" t="s">
        <v>3290</v>
      </c>
      <c r="C1078" s="160" t="s">
        <v>3291</v>
      </c>
      <c r="D1078" s="160" t="s">
        <v>44</v>
      </c>
      <c r="E1078" s="160"/>
      <c r="F1078" s="160"/>
      <c r="G1078" s="161">
        <v>45545</v>
      </c>
      <c r="H1078" s="161">
        <v>45712</v>
      </c>
      <c r="I1078" s="162">
        <v>45712</v>
      </c>
      <c r="J1078" s="163">
        <v>5</v>
      </c>
      <c r="K1078" s="164"/>
      <c r="L1078" s="164"/>
      <c r="M1078" s="164"/>
      <c r="N1078" s="164"/>
      <c r="O1078" s="164"/>
      <c r="P1078" s="164"/>
      <c r="Q1078" s="164"/>
      <c r="R1078" s="164"/>
      <c r="S1078" s="164"/>
    </row>
    <row r="1079" spans="1:19" ht="25.5">
      <c r="A1079" s="54"/>
      <c r="B1079" s="54" t="s">
        <v>635</v>
      </c>
      <c r="C1079" s="44" t="s">
        <v>3292</v>
      </c>
      <c r="D1079" s="44" t="s">
        <v>15</v>
      </c>
      <c r="E1079" s="44"/>
      <c r="F1079" s="44"/>
      <c r="G1079" s="91">
        <v>44673</v>
      </c>
      <c r="H1079" s="91">
        <v>45715</v>
      </c>
      <c r="I1079" s="88">
        <v>45715</v>
      </c>
      <c r="J1079" s="40"/>
      <c r="K1079" s="40"/>
      <c r="L1079" s="40"/>
      <c r="M1079" s="40"/>
      <c r="N1079" s="40"/>
      <c r="O1079" s="40"/>
      <c r="P1079" s="40"/>
      <c r="Q1079" s="40"/>
    </row>
    <row r="1080" spans="1:19" ht="29.25">
      <c r="A1080" s="159"/>
      <c r="B1080" s="166" t="s">
        <v>3293</v>
      </c>
      <c r="C1080" s="160" t="s">
        <v>3280</v>
      </c>
      <c r="D1080" s="160" t="s">
        <v>3294</v>
      </c>
      <c r="E1080" s="160" t="s">
        <v>89</v>
      </c>
      <c r="F1080" s="160"/>
      <c r="G1080" s="161">
        <v>45614</v>
      </c>
      <c r="H1080" s="161">
        <v>45699</v>
      </c>
      <c r="I1080" s="162">
        <v>45699</v>
      </c>
      <c r="J1080" s="164"/>
      <c r="K1080" s="164"/>
      <c r="L1080" s="164"/>
      <c r="M1080" s="164"/>
      <c r="N1080" s="164"/>
      <c r="O1080" s="164"/>
      <c r="P1080" s="164"/>
      <c r="Q1080" s="164"/>
      <c r="R1080" s="164"/>
    </row>
    <row r="1081" spans="1:19" ht="51">
      <c r="A1081" s="44"/>
      <c r="B1081" s="54" t="s">
        <v>3116</v>
      </c>
      <c r="C1081" s="44" t="s">
        <v>3295</v>
      </c>
      <c r="D1081" s="44" t="s">
        <v>3296</v>
      </c>
      <c r="E1081" s="44"/>
      <c r="F1081" s="44"/>
      <c r="G1081" s="91">
        <v>45065</v>
      </c>
      <c r="H1081" s="91" t="s">
        <v>3297</v>
      </c>
      <c r="I1081" s="88">
        <v>45676</v>
      </c>
      <c r="J1081" s="40"/>
      <c r="K1081" s="40"/>
      <c r="L1081" s="40"/>
      <c r="M1081" s="40"/>
      <c r="N1081" s="40"/>
      <c r="O1081" s="40"/>
      <c r="P1081" s="40"/>
      <c r="Q1081" s="40"/>
      <c r="R1081" s="40"/>
    </row>
    <row r="1082" spans="1:19">
      <c r="A1082" s="46"/>
      <c r="B1082" s="31" t="s">
        <v>30</v>
      </c>
      <c r="C1082" s="16" t="s">
        <v>3298</v>
      </c>
      <c r="D1082" s="54" t="s">
        <v>18</v>
      </c>
      <c r="E1082" s="44"/>
      <c r="F1082" s="31"/>
      <c r="G1082" s="93">
        <v>45321</v>
      </c>
      <c r="H1082" s="93">
        <v>45818</v>
      </c>
      <c r="I1082" s="88">
        <v>45818</v>
      </c>
      <c r="J1082" s="40"/>
      <c r="K1082" s="40"/>
      <c r="L1082" s="40"/>
      <c r="M1082" s="40"/>
      <c r="N1082" s="40"/>
      <c r="O1082" s="40"/>
      <c r="P1082" s="40"/>
      <c r="Q1082" s="40"/>
      <c r="R1082" s="40"/>
    </row>
    <row r="1083" spans="1:19">
      <c r="A1083" s="44"/>
      <c r="B1083" s="54" t="s">
        <v>3299</v>
      </c>
      <c r="C1083" s="44" t="s">
        <v>3300</v>
      </c>
      <c r="D1083" s="44" t="s">
        <v>80</v>
      </c>
      <c r="E1083" s="44"/>
      <c r="F1083" s="44"/>
      <c r="G1083" s="91">
        <v>44992</v>
      </c>
      <c r="H1083" s="91">
        <v>45720</v>
      </c>
      <c r="I1083" s="88">
        <v>45720</v>
      </c>
      <c r="J1083" s="55"/>
      <c r="K1083" s="25"/>
      <c r="L1083" s="40"/>
      <c r="M1083" s="40"/>
      <c r="N1083" s="25"/>
      <c r="O1083" s="113"/>
      <c r="P1083" s="86"/>
      <c r="Q1083" s="86"/>
      <c r="R1083" s="86"/>
    </row>
    <row r="1084" spans="1:19" ht="25.5">
      <c r="A1084" s="54"/>
      <c r="B1084" s="54" t="s">
        <v>2574</v>
      </c>
      <c r="C1084" s="44" t="s">
        <v>3301</v>
      </c>
      <c r="D1084" s="44" t="s">
        <v>120</v>
      </c>
      <c r="E1084" s="44"/>
      <c r="F1084" s="44"/>
      <c r="G1084" s="91">
        <v>45615</v>
      </c>
      <c r="H1084" s="91">
        <v>45719</v>
      </c>
      <c r="I1084" s="88">
        <v>45719</v>
      </c>
      <c r="J1084" s="40"/>
      <c r="K1084" s="40"/>
      <c r="L1084" s="40"/>
      <c r="M1084" s="40"/>
      <c r="N1084" s="40"/>
      <c r="O1084" s="40"/>
      <c r="P1084" s="40"/>
      <c r="Q1084" s="40"/>
      <c r="R1084" s="40"/>
    </row>
    <row r="1085" spans="1:19">
      <c r="A1085" s="44"/>
      <c r="B1085" s="54" t="s">
        <v>3302</v>
      </c>
      <c r="C1085" s="44" t="s">
        <v>3303</v>
      </c>
      <c r="D1085" s="44" t="s">
        <v>44</v>
      </c>
      <c r="E1085" s="44"/>
      <c r="F1085" s="44"/>
      <c r="G1085" s="91">
        <v>45713</v>
      </c>
      <c r="H1085" s="91">
        <v>45720</v>
      </c>
      <c r="I1085" s="88">
        <v>45741</v>
      </c>
      <c r="J1085" s="40"/>
      <c r="K1085" s="40"/>
      <c r="L1085" s="40"/>
      <c r="M1085" s="40"/>
      <c r="N1085" s="40"/>
      <c r="O1085" s="40"/>
      <c r="P1085" s="40"/>
      <c r="Q1085" s="40"/>
      <c r="R1085" s="40"/>
    </row>
    <row r="1086" spans="1:19" ht="25.5">
      <c r="A1086" s="44"/>
      <c r="B1086" s="54" t="s">
        <v>24</v>
      </c>
      <c r="C1086" s="44" t="s">
        <v>3304</v>
      </c>
      <c r="D1086" s="44" t="s">
        <v>15</v>
      </c>
      <c r="E1086" s="44"/>
      <c r="F1086" s="44"/>
      <c r="G1086" s="91">
        <v>45694</v>
      </c>
      <c r="H1086" s="91">
        <v>45721</v>
      </c>
      <c r="I1086" s="88">
        <v>45722</v>
      </c>
      <c r="J1086" s="40"/>
      <c r="K1086" s="40"/>
      <c r="L1086" s="40"/>
      <c r="M1086" s="40"/>
      <c r="N1086" s="40"/>
      <c r="O1086" s="40"/>
      <c r="P1086" s="40"/>
      <c r="Q1086" s="40"/>
      <c r="R1086" s="40"/>
    </row>
    <row r="1087" spans="1:19" ht="38.25">
      <c r="A1087" s="54"/>
      <c r="B1087" s="54" t="s">
        <v>3305</v>
      </c>
      <c r="C1087" s="44" t="s">
        <v>3306</v>
      </c>
      <c r="D1087" s="44" t="s">
        <v>2698</v>
      </c>
      <c r="E1087" s="44"/>
      <c r="F1087" s="44"/>
      <c r="G1087" s="91">
        <v>44650</v>
      </c>
      <c r="H1087" s="91" t="s">
        <v>3307</v>
      </c>
      <c r="I1087" s="88">
        <v>45723</v>
      </c>
      <c r="J1087" s="164"/>
      <c r="K1087" s="164"/>
      <c r="L1087" s="164"/>
      <c r="M1087" s="164"/>
      <c r="N1087" s="40"/>
      <c r="O1087" s="40"/>
      <c r="P1087" s="40"/>
      <c r="Q1087" s="40"/>
      <c r="R1087" s="40"/>
    </row>
    <row r="1088" spans="1:19" ht="38.25">
      <c r="A1088" s="54"/>
      <c r="B1088" s="54" t="s">
        <v>201</v>
      </c>
      <c r="C1088" s="44" t="s">
        <v>3308</v>
      </c>
      <c r="D1088" s="44" t="s">
        <v>2331</v>
      </c>
      <c r="E1088" s="44"/>
      <c r="F1088" s="44"/>
      <c r="G1088" s="91">
        <v>44811</v>
      </c>
      <c r="H1088" s="91" t="s">
        <v>3309</v>
      </c>
      <c r="I1088" s="88">
        <v>45723</v>
      </c>
      <c r="J1088" s="40"/>
      <c r="K1088" s="40"/>
      <c r="L1088" s="40"/>
      <c r="M1088" s="40"/>
      <c r="N1088" s="40"/>
      <c r="O1088" s="40"/>
      <c r="P1088" s="40"/>
      <c r="Q1088" s="40"/>
      <c r="R1088" s="40"/>
    </row>
    <row r="1089" spans="1:18">
      <c r="A1089" s="46"/>
      <c r="B1089" s="31" t="s">
        <v>3154</v>
      </c>
      <c r="C1089" s="16" t="s">
        <v>3310</v>
      </c>
      <c r="D1089" s="54" t="s">
        <v>3311</v>
      </c>
      <c r="E1089" s="44"/>
      <c r="F1089" s="31"/>
      <c r="G1089" s="93">
        <v>45469</v>
      </c>
      <c r="H1089" s="93">
        <v>45721</v>
      </c>
      <c r="I1089" s="88">
        <v>45721</v>
      </c>
      <c r="J1089" s="40"/>
      <c r="K1089" s="40"/>
      <c r="L1089" s="40"/>
      <c r="M1089" s="40"/>
      <c r="N1089" s="40"/>
      <c r="O1089" s="40"/>
      <c r="P1089" s="40"/>
      <c r="Q1089" s="40"/>
      <c r="R1089" s="40"/>
    </row>
    <row r="1090" spans="1:18" ht="63.75">
      <c r="A1090" s="54"/>
      <c r="B1090" s="54" t="s">
        <v>2729</v>
      </c>
      <c r="C1090" s="44" t="s">
        <v>3312</v>
      </c>
      <c r="D1090" s="44" t="s">
        <v>3313</v>
      </c>
      <c r="E1090" s="44"/>
      <c r="F1090" s="44"/>
      <c r="G1090" s="91">
        <v>44657</v>
      </c>
      <c r="H1090" s="91" t="s">
        <v>3314</v>
      </c>
      <c r="I1090" s="88">
        <v>45726</v>
      </c>
      <c r="J1090" s="40"/>
      <c r="K1090" s="40"/>
      <c r="L1090" s="40"/>
      <c r="M1090" s="40"/>
      <c r="N1090" s="40"/>
      <c r="O1090" s="40"/>
      <c r="P1090" s="40"/>
      <c r="Q1090" s="40"/>
      <c r="R1090" s="40"/>
    </row>
    <row r="1091" spans="1:18" ht="38.25">
      <c r="A1091" s="54"/>
      <c r="B1091" s="54" t="s">
        <v>37</v>
      </c>
      <c r="C1091" s="44" t="s">
        <v>3315</v>
      </c>
      <c r="D1091" s="44" t="s">
        <v>15</v>
      </c>
      <c r="E1091" s="44"/>
      <c r="F1091" s="44"/>
      <c r="G1091" s="91">
        <v>44778</v>
      </c>
      <c r="H1091" s="91" t="s">
        <v>3316</v>
      </c>
      <c r="I1091" s="88">
        <v>45693</v>
      </c>
      <c r="J1091" s="40"/>
      <c r="K1091" s="40"/>
      <c r="L1091" s="40"/>
      <c r="M1091" s="40"/>
      <c r="N1091" s="40"/>
      <c r="O1091" s="40"/>
      <c r="P1091" s="40"/>
      <c r="Q1091" s="40"/>
      <c r="R1091" s="40"/>
    </row>
    <row r="1092" spans="1:18">
      <c r="A1092" s="46"/>
      <c r="B1092" s="31" t="s">
        <v>3170</v>
      </c>
      <c r="C1092" s="16" t="s">
        <v>3317</v>
      </c>
      <c r="D1092" s="44" t="s">
        <v>44</v>
      </c>
      <c r="E1092" s="44"/>
      <c r="F1092" s="16"/>
      <c r="G1092" s="91">
        <v>45511</v>
      </c>
      <c r="H1092" s="94">
        <v>45733</v>
      </c>
      <c r="I1092" s="88">
        <v>45733</v>
      </c>
      <c r="J1092" s="40"/>
      <c r="K1092" s="40"/>
      <c r="L1092" s="40"/>
      <c r="M1092" s="40"/>
      <c r="N1092" s="40"/>
      <c r="O1092" s="40"/>
      <c r="P1092" s="40"/>
      <c r="Q1092" s="40"/>
      <c r="R1092" s="40"/>
    </row>
    <row r="1093" spans="1:18">
      <c r="A1093" s="46"/>
      <c r="B1093" s="31" t="s">
        <v>191</v>
      </c>
      <c r="C1093" s="16" t="s">
        <v>3318</v>
      </c>
      <c r="D1093" s="54" t="s">
        <v>44</v>
      </c>
      <c r="E1093" s="44"/>
      <c r="F1093" s="31"/>
      <c r="G1093" s="93">
        <v>45344</v>
      </c>
      <c r="H1093" s="93">
        <v>45730</v>
      </c>
      <c r="I1093" s="88">
        <v>45730</v>
      </c>
      <c r="J1093" s="40"/>
      <c r="K1093" s="40"/>
      <c r="L1093" s="40"/>
      <c r="M1093" s="40"/>
      <c r="N1093" s="40"/>
      <c r="O1093" s="40"/>
      <c r="P1093" s="40"/>
      <c r="Q1093" s="40"/>
      <c r="R1093" s="40"/>
    </row>
    <row r="1094" spans="1:18" ht="25.5">
      <c r="A1094" s="46"/>
      <c r="B1094" s="31" t="s">
        <v>3201</v>
      </c>
      <c r="C1094" s="16" t="s">
        <v>3319</v>
      </c>
      <c r="D1094" s="54" t="s">
        <v>54</v>
      </c>
      <c r="E1094" s="44"/>
      <c r="F1094" s="31"/>
      <c r="G1094" s="93">
        <v>45309</v>
      </c>
      <c r="H1094" s="157" t="s">
        <v>3320</v>
      </c>
      <c r="I1094" s="88">
        <v>45729</v>
      </c>
      <c r="J1094" s="40"/>
      <c r="K1094" s="40"/>
      <c r="L1094" s="40"/>
      <c r="M1094" s="40"/>
      <c r="N1094" s="40"/>
      <c r="O1094" s="40"/>
      <c r="P1094" s="40"/>
      <c r="Q1094" s="40"/>
      <c r="R1094" s="40"/>
    </row>
    <row r="1095" spans="1:18" ht="51">
      <c r="A1095" s="44"/>
      <c r="B1095" s="54" t="s">
        <v>9</v>
      </c>
      <c r="C1095" s="44" t="s">
        <v>3321</v>
      </c>
      <c r="D1095" s="44" t="s">
        <v>3322</v>
      </c>
      <c r="E1095" s="44"/>
      <c r="F1095" s="44"/>
      <c r="G1095" s="91" t="s">
        <v>3323</v>
      </c>
      <c r="H1095" s="91" t="s">
        <v>3324</v>
      </c>
      <c r="I1095" s="88">
        <v>45736</v>
      </c>
      <c r="J1095" s="164"/>
      <c r="K1095" s="164"/>
      <c r="L1095" s="164"/>
      <c r="M1095" s="164"/>
      <c r="N1095" s="164"/>
      <c r="O1095" s="164"/>
      <c r="P1095" s="164"/>
      <c r="Q1095" s="164"/>
      <c r="R1095" s="164"/>
    </row>
    <row r="1096" spans="1:18" ht="15">
      <c r="A1096" s="159"/>
      <c r="B1096" s="159" t="s">
        <v>201</v>
      </c>
      <c r="C1096" s="160" t="s">
        <v>3325</v>
      </c>
      <c r="D1096" s="160" t="s">
        <v>54</v>
      </c>
      <c r="E1096" s="160"/>
      <c r="F1096" s="160"/>
      <c r="G1096" s="161">
        <v>45601</v>
      </c>
      <c r="H1096" s="161">
        <v>45742</v>
      </c>
      <c r="I1096" s="162">
        <v>45742</v>
      </c>
      <c r="J1096" s="164"/>
      <c r="K1096" s="164"/>
      <c r="L1096" s="164"/>
      <c r="M1096" s="164"/>
      <c r="N1096" s="164"/>
      <c r="O1096" s="164"/>
      <c r="P1096" s="164"/>
      <c r="Q1096" s="164"/>
      <c r="R1096" s="164"/>
    </row>
    <row r="1097" spans="1:18" ht="25.5">
      <c r="A1097" s="57"/>
      <c r="B1097" s="31" t="s">
        <v>1694</v>
      </c>
      <c r="C1097" s="16" t="s">
        <v>3326</v>
      </c>
      <c r="D1097" s="44" t="s">
        <v>3327</v>
      </c>
      <c r="E1097" s="44" t="s">
        <v>44</v>
      </c>
      <c r="F1097" s="16"/>
      <c r="G1097" s="94"/>
      <c r="H1097" s="94"/>
      <c r="I1097" s="89">
        <v>45730</v>
      </c>
      <c r="J1097" s="40"/>
      <c r="K1097" s="40"/>
      <c r="L1097" s="40"/>
      <c r="M1097" s="40"/>
      <c r="N1097" s="40"/>
      <c r="O1097" s="40"/>
      <c r="P1097" s="40"/>
      <c r="Q1097" s="40"/>
      <c r="R1097" s="40"/>
    </row>
    <row r="1098" spans="1:18">
      <c r="A1098" s="44"/>
      <c r="B1098" s="54" t="s">
        <v>1694</v>
      </c>
      <c r="C1098" s="44" t="s">
        <v>3328</v>
      </c>
      <c r="D1098" s="44" t="s">
        <v>15</v>
      </c>
      <c r="E1098" s="44"/>
      <c r="F1098" s="44"/>
      <c r="G1098" s="91">
        <v>45124</v>
      </c>
      <c r="H1098" s="91"/>
      <c r="I1098" s="88">
        <v>45733</v>
      </c>
      <c r="J1098" s="40"/>
      <c r="K1098" s="40"/>
      <c r="L1098" s="40"/>
      <c r="M1098" s="40"/>
      <c r="N1098" s="40"/>
      <c r="O1098" s="40"/>
      <c r="P1098" s="40"/>
      <c r="Q1098" s="40"/>
      <c r="R1098" s="40"/>
    </row>
    <row r="1099" spans="1:18">
      <c r="A1099" s="44"/>
      <c r="B1099" s="54" t="s">
        <v>201</v>
      </c>
      <c r="C1099" s="44" t="s">
        <v>3329</v>
      </c>
      <c r="D1099" s="44" t="s">
        <v>18</v>
      </c>
      <c r="E1099" s="44"/>
      <c r="F1099" s="44"/>
      <c r="G1099" s="91">
        <v>45142</v>
      </c>
      <c r="H1099" s="91">
        <v>45755</v>
      </c>
      <c r="I1099" s="88">
        <v>45755</v>
      </c>
      <c r="J1099" s="40"/>
      <c r="K1099" s="40"/>
      <c r="L1099" s="40"/>
      <c r="M1099" s="40"/>
      <c r="N1099" s="40"/>
      <c r="O1099" s="40"/>
      <c r="P1099" s="40"/>
      <c r="Q1099" s="40"/>
      <c r="R1099" s="40"/>
    </row>
    <row r="1100" spans="1:18">
      <c r="A1100" s="46"/>
      <c r="B1100" s="31" t="s">
        <v>3154</v>
      </c>
      <c r="C1100" s="16" t="s">
        <v>3330</v>
      </c>
      <c r="D1100" s="54" t="s">
        <v>89</v>
      </c>
      <c r="E1100" s="44"/>
      <c r="F1100" s="31"/>
      <c r="G1100" s="93">
        <v>45735</v>
      </c>
      <c r="H1100" s="93">
        <v>45755</v>
      </c>
      <c r="I1100" s="88">
        <v>45766</v>
      </c>
      <c r="J1100" s="40"/>
      <c r="K1100" s="40"/>
      <c r="L1100" s="40"/>
      <c r="M1100" s="40"/>
      <c r="N1100" s="40"/>
      <c r="O1100" s="40"/>
      <c r="P1100" s="40"/>
      <c r="Q1100" s="40"/>
      <c r="R1100" s="40"/>
    </row>
    <row r="1101" spans="1:18">
      <c r="A1101" s="54"/>
      <c r="B1101" s="54" t="s">
        <v>3114</v>
      </c>
      <c r="C1101" s="44" t="s">
        <v>3331</v>
      </c>
      <c r="D1101" s="44" t="s">
        <v>15</v>
      </c>
      <c r="E1101" s="44"/>
      <c r="F1101" s="44"/>
      <c r="G1101" s="91">
        <v>45175</v>
      </c>
      <c r="H1101" s="91">
        <v>45757</v>
      </c>
      <c r="I1101" s="88">
        <v>45753</v>
      </c>
      <c r="J1101" s="40"/>
      <c r="K1101" s="40"/>
      <c r="L1101" s="40"/>
      <c r="M1101" s="40"/>
      <c r="N1101" s="40"/>
      <c r="O1101" s="40"/>
      <c r="P1101" s="40"/>
      <c r="Q1101" s="40"/>
      <c r="R1101" s="40"/>
    </row>
    <row r="1102" spans="1:18" ht="28.5">
      <c r="A1102" s="159"/>
      <c r="B1102" s="159" t="s">
        <v>222</v>
      </c>
      <c r="C1102" s="160" t="s">
        <v>3332</v>
      </c>
      <c r="D1102" s="160" t="s">
        <v>44</v>
      </c>
      <c r="E1102" s="160"/>
      <c r="F1102" s="160"/>
      <c r="G1102" s="161">
        <v>45645</v>
      </c>
      <c r="H1102" s="161">
        <v>45761</v>
      </c>
      <c r="I1102" s="162">
        <v>45761</v>
      </c>
      <c r="J1102" s="40"/>
      <c r="K1102" s="40"/>
      <c r="L1102" s="40"/>
      <c r="M1102" s="40"/>
      <c r="N1102" s="40"/>
      <c r="O1102" s="40"/>
      <c r="P1102" s="40"/>
      <c r="Q1102" s="40"/>
      <c r="R1102" s="40"/>
    </row>
    <row r="1103" spans="1:18" ht="14.25">
      <c r="A1103" s="54"/>
      <c r="B1103" s="54" t="s">
        <v>248</v>
      </c>
      <c r="C1103" s="44" t="s">
        <v>3333</v>
      </c>
      <c r="D1103" s="44" t="s">
        <v>18</v>
      </c>
      <c r="E1103" s="44"/>
      <c r="F1103" s="44"/>
      <c r="G1103" s="91">
        <v>45499</v>
      </c>
      <c r="H1103" s="91">
        <v>45763</v>
      </c>
      <c r="I1103" s="88">
        <v>45773</v>
      </c>
      <c r="J1103" s="164"/>
      <c r="K1103" s="164"/>
      <c r="L1103" s="164"/>
      <c r="M1103" s="164"/>
      <c r="N1103" s="164"/>
      <c r="O1103" s="164"/>
      <c r="P1103" s="164"/>
      <c r="Q1103" s="164"/>
      <c r="R1103" s="164"/>
    </row>
    <row r="1104" spans="1:18">
      <c r="A1104" s="46"/>
      <c r="B1104" s="31" t="s">
        <v>16</v>
      </c>
      <c r="C1104" s="16" t="s">
        <v>2931</v>
      </c>
      <c r="D1104" s="54" t="s">
        <v>498</v>
      </c>
      <c r="E1104" s="44"/>
      <c r="F1104" s="31"/>
      <c r="G1104" s="93">
        <v>45736</v>
      </c>
      <c r="H1104" s="93">
        <v>45768</v>
      </c>
      <c r="I1104" s="88">
        <v>45767</v>
      </c>
      <c r="J1104" s="40"/>
      <c r="K1104" s="40"/>
      <c r="L1104" s="40"/>
      <c r="M1104" s="40"/>
      <c r="N1104" s="40"/>
      <c r="O1104" s="40"/>
      <c r="P1104" s="40"/>
      <c r="Q1104" s="40"/>
      <c r="R1104" s="40"/>
    </row>
    <row r="1105" spans="1:18" ht="24.75">
      <c r="A1105" s="46"/>
      <c r="B1105" s="31" t="s">
        <v>3151</v>
      </c>
      <c r="C1105" s="16" t="s">
        <v>3334</v>
      </c>
      <c r="D1105" s="54" t="s">
        <v>3335</v>
      </c>
      <c r="E1105" s="44"/>
      <c r="F1105" s="31"/>
      <c r="G1105" s="93">
        <v>45247</v>
      </c>
      <c r="H1105" s="93">
        <v>45768</v>
      </c>
      <c r="I1105" s="88">
        <v>45764</v>
      </c>
      <c r="J1105" s="40"/>
      <c r="K1105" s="40"/>
      <c r="L1105" s="40"/>
      <c r="M1105" s="40"/>
      <c r="N1105" s="40"/>
      <c r="O1105" s="40"/>
      <c r="P1105" s="40"/>
      <c r="Q1105" s="40"/>
      <c r="R1105" s="40"/>
    </row>
    <row r="1106" spans="1:18" ht="15">
      <c r="A1106" s="159"/>
      <c r="B1106" s="159" t="s">
        <v>3147</v>
      </c>
      <c r="C1106" s="160" t="s">
        <v>3336</v>
      </c>
      <c r="D1106" s="160" t="s">
        <v>44</v>
      </c>
      <c r="E1106" s="160"/>
      <c r="F1106" s="160"/>
      <c r="G1106" s="161">
        <v>45687</v>
      </c>
      <c r="H1106" s="161">
        <v>45772</v>
      </c>
      <c r="I1106" s="162">
        <v>45772</v>
      </c>
      <c r="J1106" s="40"/>
      <c r="K1106" s="40"/>
      <c r="L1106" s="40"/>
      <c r="M1106" s="40"/>
      <c r="N1106" s="40"/>
      <c r="O1106" s="40"/>
      <c r="P1106" s="40"/>
      <c r="Q1106" s="40"/>
      <c r="R1106" s="40"/>
    </row>
    <row r="1107" spans="1:18">
      <c r="A1107" s="46"/>
      <c r="B1107" s="31" t="s">
        <v>1415</v>
      </c>
      <c r="C1107" s="16" t="s">
        <v>3337</v>
      </c>
      <c r="D1107" s="54" t="s">
        <v>3338</v>
      </c>
      <c r="E1107" s="44"/>
      <c r="F1107" s="31"/>
      <c r="G1107" s="93">
        <v>45310</v>
      </c>
      <c r="H1107" s="93">
        <v>45769</v>
      </c>
      <c r="I1107" s="88">
        <v>45766</v>
      </c>
      <c r="J1107" s="40"/>
      <c r="K1107" s="40"/>
      <c r="L1107" s="40"/>
      <c r="M1107" s="40"/>
      <c r="N1107" s="40"/>
      <c r="O1107" s="40"/>
      <c r="P1107" s="40"/>
      <c r="Q1107" s="40"/>
      <c r="R1107" s="40"/>
    </row>
    <row r="1108" spans="1:18" ht="24.75">
      <c r="A1108" s="54"/>
      <c r="B1108" s="54" t="s">
        <v>3339</v>
      </c>
      <c r="C1108" s="44" t="s">
        <v>3340</v>
      </c>
      <c r="D1108" s="44" t="s">
        <v>44</v>
      </c>
      <c r="E1108" s="44"/>
      <c r="F1108" s="44"/>
      <c r="G1108" s="91">
        <v>45555</v>
      </c>
      <c r="H1108" s="91">
        <v>45775</v>
      </c>
      <c r="I1108" s="88">
        <v>45767</v>
      </c>
      <c r="J1108" s="164"/>
      <c r="K1108" s="164"/>
      <c r="L1108" s="164"/>
      <c r="M1108" s="164"/>
      <c r="N1108" s="164"/>
      <c r="O1108" s="164"/>
      <c r="P1108" s="164"/>
      <c r="Q1108" s="164"/>
      <c r="R1108" s="164"/>
    </row>
    <row r="1109" spans="1:18" ht="24.75">
      <c r="A1109" s="46"/>
      <c r="B1109" s="31" t="s">
        <v>3341</v>
      </c>
      <c r="C1109" s="16" t="s">
        <v>3342</v>
      </c>
      <c r="D1109" s="54" t="s">
        <v>3343</v>
      </c>
      <c r="E1109" s="44"/>
      <c r="F1109" s="31"/>
      <c r="G1109" s="93">
        <v>45258</v>
      </c>
      <c r="H1109" s="93" t="s">
        <v>3344</v>
      </c>
      <c r="I1109" s="88">
        <v>45775</v>
      </c>
      <c r="J1109" s="40"/>
      <c r="K1109" s="40"/>
      <c r="L1109" s="40"/>
      <c r="M1109" s="40"/>
      <c r="N1109" s="40"/>
      <c r="O1109" s="40"/>
      <c r="P1109" s="40"/>
      <c r="Q1109" s="40"/>
      <c r="R1109" s="40"/>
    </row>
    <row r="1110" spans="1:18" ht="24.75">
      <c r="A1110" s="54"/>
      <c r="B1110" s="54" t="s">
        <v>2205</v>
      </c>
      <c r="C1110" s="44" t="s">
        <v>3345</v>
      </c>
      <c r="D1110" s="44" t="s">
        <v>3346</v>
      </c>
      <c r="E1110" s="44"/>
      <c r="F1110" s="44"/>
      <c r="G1110" s="91">
        <v>45185</v>
      </c>
      <c r="H1110" s="91" t="s">
        <v>3347</v>
      </c>
      <c r="I1110" s="88">
        <v>45779</v>
      </c>
      <c r="J1110" s="40"/>
      <c r="K1110" s="40"/>
      <c r="L1110" s="40"/>
      <c r="M1110" s="40"/>
      <c r="N1110" s="40"/>
      <c r="O1110" s="40"/>
      <c r="P1110" s="40"/>
      <c r="Q1110" s="40"/>
      <c r="R1110" s="40"/>
    </row>
    <row r="1111" spans="1:18">
      <c r="A1111" s="44"/>
      <c r="B1111" s="134" t="s">
        <v>3099</v>
      </c>
      <c r="C1111" s="44" t="s">
        <v>3348</v>
      </c>
      <c r="D1111" s="44" t="s">
        <v>15</v>
      </c>
      <c r="E1111" s="44"/>
      <c r="F1111" s="44"/>
      <c r="G1111" s="91">
        <v>45013</v>
      </c>
      <c r="H1111" s="91">
        <v>45779</v>
      </c>
      <c r="I1111" s="88">
        <v>45775</v>
      </c>
      <c r="J1111" s="40"/>
      <c r="K1111" s="40"/>
      <c r="L1111" s="40"/>
      <c r="M1111" s="40"/>
    </row>
    <row r="1112" spans="1:18">
      <c r="A1112" s="54"/>
      <c r="B1112" s="54" t="s">
        <v>3349</v>
      </c>
      <c r="C1112" s="44" t="s">
        <v>3350</v>
      </c>
      <c r="D1112" s="44" t="s">
        <v>15</v>
      </c>
      <c r="E1112" s="44"/>
      <c r="F1112" s="44"/>
      <c r="G1112" s="91">
        <v>45755</v>
      </c>
      <c r="H1112" s="91">
        <v>45782</v>
      </c>
      <c r="I1112" s="88">
        <v>45785</v>
      </c>
      <c r="J1112" s="86"/>
    </row>
    <row r="1113" spans="1:18" ht="28.5">
      <c r="A1113" s="159"/>
      <c r="B1113" s="159" t="s">
        <v>3351</v>
      </c>
      <c r="C1113" s="160" t="s">
        <v>3352</v>
      </c>
      <c r="D1113" s="160" t="s">
        <v>2825</v>
      </c>
      <c r="E1113" s="160"/>
      <c r="F1113" s="160"/>
      <c r="G1113" s="161">
        <v>45598</v>
      </c>
      <c r="H1113" s="161">
        <v>45782</v>
      </c>
      <c r="I1113" s="162">
        <v>45779</v>
      </c>
      <c r="J1113" s="40"/>
      <c r="K1113" s="40"/>
      <c r="L1113" s="40"/>
      <c r="M1113" s="40"/>
      <c r="N1113" s="40"/>
      <c r="O1113" s="40"/>
      <c r="P1113" s="40"/>
      <c r="Q1113" s="40"/>
      <c r="R1113" s="40"/>
    </row>
    <row r="1114" spans="1:18">
      <c r="A1114" s="54"/>
      <c r="B1114" s="54" t="s">
        <v>43</v>
      </c>
      <c r="C1114" s="44" t="s">
        <v>3353</v>
      </c>
      <c r="D1114" s="44" t="s">
        <v>44</v>
      </c>
      <c r="E1114" s="44"/>
      <c r="F1114" s="44"/>
      <c r="G1114" s="91">
        <v>45593</v>
      </c>
      <c r="H1114" s="91">
        <v>45784</v>
      </c>
      <c r="I1114" s="88">
        <v>45775</v>
      </c>
      <c r="J1114" s="40"/>
      <c r="K1114" s="40"/>
      <c r="L1114" s="40"/>
      <c r="M1114" s="40"/>
    </row>
    <row r="1115" spans="1:18">
      <c r="A1115" s="46"/>
      <c r="B1115" s="31" t="s">
        <v>90</v>
      </c>
      <c r="C1115" s="16" t="s">
        <v>3354</v>
      </c>
      <c r="D1115" s="54" t="s">
        <v>44</v>
      </c>
      <c r="E1115" s="44"/>
      <c r="F1115" s="31"/>
      <c r="G1115" s="93">
        <v>45358</v>
      </c>
      <c r="H1115" s="93">
        <v>45783</v>
      </c>
      <c r="I1115" s="88">
        <v>45779</v>
      </c>
      <c r="J1115" s="40"/>
      <c r="K1115" s="40"/>
      <c r="L1115" s="40"/>
      <c r="M1115" s="40"/>
      <c r="N1115" s="40"/>
      <c r="O1115" s="40"/>
      <c r="P1115" s="40"/>
      <c r="Q1115" s="40"/>
      <c r="R1115" s="40"/>
    </row>
    <row r="1116" spans="1:18" ht="28.5">
      <c r="A1116" s="159"/>
      <c r="B1116" s="159" t="s">
        <v>3355</v>
      </c>
      <c r="C1116" s="160" t="s">
        <v>3356</v>
      </c>
      <c r="D1116" s="160" t="s">
        <v>3357</v>
      </c>
      <c r="E1116" s="160"/>
      <c r="F1116" s="160"/>
      <c r="G1116" s="161">
        <v>45674</v>
      </c>
      <c r="H1116" s="161">
        <v>45785</v>
      </c>
      <c r="I1116" s="162">
        <v>45785</v>
      </c>
      <c r="J1116" s="40"/>
      <c r="K1116" s="40"/>
      <c r="L1116" s="40"/>
      <c r="M1116" s="40"/>
      <c r="N1116" s="40"/>
      <c r="O1116" s="40"/>
      <c r="P1116" s="40"/>
      <c r="Q1116" s="40"/>
      <c r="R1116" s="40"/>
    </row>
    <row r="1117" spans="1:18" ht="15">
      <c r="A1117" s="165"/>
      <c r="B1117" s="166" t="s">
        <v>3099</v>
      </c>
      <c r="C1117" s="167" t="s">
        <v>3358</v>
      </c>
      <c r="D1117" s="159" t="s">
        <v>80</v>
      </c>
      <c r="E1117" s="160"/>
      <c r="F1117" s="166"/>
      <c r="G1117" s="169">
        <v>45211</v>
      </c>
      <c r="H1117" s="169">
        <v>45791</v>
      </c>
      <c r="I1117" s="162">
        <v>45789</v>
      </c>
      <c r="J1117" s="40"/>
      <c r="K1117" s="40"/>
      <c r="L1117" s="40"/>
      <c r="M1117" s="40"/>
      <c r="N1117" s="40"/>
      <c r="O1117" s="40"/>
      <c r="P1117" s="40"/>
      <c r="Q1117" s="40"/>
      <c r="R1117" s="40"/>
    </row>
    <row r="1118" spans="1:18" ht="28.5">
      <c r="A1118" s="159"/>
      <c r="B1118" s="159" t="s">
        <v>2803</v>
      </c>
      <c r="C1118" s="160" t="s">
        <v>3359</v>
      </c>
      <c r="D1118" s="160" t="s">
        <v>15</v>
      </c>
      <c r="E1118" s="160"/>
      <c r="F1118" s="160"/>
      <c r="G1118" s="161">
        <v>45673</v>
      </c>
      <c r="H1118" s="161">
        <v>45791</v>
      </c>
      <c r="I1118" s="162">
        <v>45793</v>
      </c>
      <c r="J1118" s="40"/>
      <c r="K1118" s="40"/>
      <c r="L1118" s="40"/>
      <c r="M1118" s="40"/>
      <c r="N1118" s="40"/>
      <c r="O1118" s="40"/>
      <c r="P1118" s="40"/>
      <c r="Q1118" s="40"/>
      <c r="R1118" s="40"/>
    </row>
    <row r="1119" spans="1:18" ht="23.25">
      <c r="A1119" s="46"/>
      <c r="B1119" s="31" t="s">
        <v>195</v>
      </c>
      <c r="C1119" s="16" t="s">
        <v>3360</v>
      </c>
      <c r="D1119" s="54" t="s">
        <v>15</v>
      </c>
      <c r="E1119" s="44"/>
      <c r="F1119" s="31"/>
      <c r="G1119" s="93">
        <v>45422</v>
      </c>
      <c r="H1119" s="93">
        <v>45791</v>
      </c>
      <c r="I1119" s="88">
        <v>45787</v>
      </c>
      <c r="J1119" s="40"/>
      <c r="K1119" s="40"/>
      <c r="L1119" s="40"/>
      <c r="M1119" s="40"/>
      <c r="N1119" s="40"/>
      <c r="O1119" s="40"/>
      <c r="P1119" s="40"/>
      <c r="Q1119" s="40"/>
      <c r="R1119" s="40"/>
    </row>
    <row r="1120" spans="1:18" ht="37.5">
      <c r="A1120" s="44"/>
      <c r="B1120" s="54" t="s">
        <v>248</v>
      </c>
      <c r="C1120" s="44" t="s">
        <v>3361</v>
      </c>
      <c r="D1120" s="44" t="s">
        <v>3362</v>
      </c>
      <c r="E1120" s="44"/>
      <c r="F1120" s="44"/>
      <c r="G1120" s="91">
        <v>44881</v>
      </c>
      <c r="H1120" s="91">
        <v>45793</v>
      </c>
      <c r="I1120" s="88">
        <v>45793</v>
      </c>
      <c r="J1120" s="40"/>
      <c r="K1120" s="40"/>
      <c r="L1120" s="40"/>
      <c r="M1120" s="40"/>
      <c r="N1120" s="40"/>
      <c r="O1120" s="40"/>
      <c r="P1120" s="40"/>
      <c r="Q1120" s="40"/>
      <c r="R1120" s="40"/>
    </row>
    <row r="1121" spans="1:18">
      <c r="A1121" s="46"/>
      <c r="B1121" s="31" t="s">
        <v>3154</v>
      </c>
      <c r="C1121" s="16" t="s">
        <v>3155</v>
      </c>
      <c r="D1121" s="54" t="s">
        <v>89</v>
      </c>
      <c r="E1121" s="44"/>
      <c r="F1121" s="31"/>
      <c r="G1121" s="93">
        <v>45525</v>
      </c>
      <c r="H1121" s="93">
        <v>45790</v>
      </c>
      <c r="I1121" s="88">
        <v>45790</v>
      </c>
      <c r="J1121" s="40"/>
      <c r="K1121" s="40"/>
      <c r="L1121" s="40"/>
      <c r="M1121" s="40"/>
      <c r="N1121" s="40"/>
      <c r="O1121" s="40"/>
      <c r="P1121" s="40"/>
      <c r="Q1121" s="40"/>
      <c r="R1121" s="40"/>
    </row>
    <row r="1122" spans="1:18">
      <c r="A1122" s="54"/>
      <c r="B1122" s="54" t="s">
        <v>3251</v>
      </c>
      <c r="C1122" s="44" t="s">
        <v>3363</v>
      </c>
      <c r="D1122" s="44" t="s">
        <v>44</v>
      </c>
      <c r="E1122" s="44"/>
      <c r="F1122" s="44"/>
      <c r="G1122" s="91">
        <v>45552</v>
      </c>
      <c r="H1122" s="91">
        <v>45796</v>
      </c>
      <c r="I1122" s="88">
        <v>45794</v>
      </c>
      <c r="J1122" s="40"/>
      <c r="K1122" s="40"/>
      <c r="L1122" s="40"/>
      <c r="M1122" s="40"/>
      <c r="N1122" s="40"/>
      <c r="O1122" s="40"/>
      <c r="P1122" s="40"/>
      <c r="Q1122" s="40"/>
      <c r="R1122" s="40"/>
    </row>
    <row r="1123" spans="1:18">
      <c r="A1123" s="46"/>
      <c r="B1123" s="31" t="s">
        <v>3364</v>
      </c>
      <c r="C1123" s="16" t="s">
        <v>3365</v>
      </c>
      <c r="D1123" s="54" t="s">
        <v>80</v>
      </c>
      <c r="E1123" s="44"/>
      <c r="F1123" s="31"/>
      <c r="G1123" s="93">
        <v>45737</v>
      </c>
      <c r="H1123" s="93">
        <v>45807</v>
      </c>
      <c r="I1123" s="88">
        <v>45807</v>
      </c>
      <c r="J1123" s="40"/>
      <c r="K1123" s="40"/>
      <c r="L1123" s="40"/>
      <c r="M1123" s="40"/>
      <c r="N1123" s="40"/>
      <c r="O1123" s="40"/>
      <c r="P1123" s="40"/>
      <c r="Q1123" s="40"/>
      <c r="R1123" s="40"/>
    </row>
    <row r="1124" spans="1:18" ht="35.25">
      <c r="A1124" s="46"/>
      <c r="B1124" s="31" t="s">
        <v>33</v>
      </c>
      <c r="C1124" s="16" t="s">
        <v>3366</v>
      </c>
      <c r="D1124" s="54" t="s">
        <v>15</v>
      </c>
      <c r="E1124" s="44"/>
      <c r="F1124" s="31"/>
      <c r="G1124" s="93">
        <v>45138</v>
      </c>
      <c r="H1124" s="93"/>
      <c r="I1124" s="88">
        <v>45747</v>
      </c>
      <c r="J1124" s="40"/>
      <c r="K1124" s="40"/>
      <c r="L1124" s="40"/>
      <c r="M1124" s="40"/>
      <c r="N1124" s="40"/>
      <c r="O1124" s="40"/>
      <c r="P1124" s="40"/>
      <c r="Q1124" s="40"/>
      <c r="R1124" s="40"/>
    </row>
    <row r="1125" spans="1:18" ht="23.25">
      <c r="A1125" s="46"/>
      <c r="B1125" s="31" t="s">
        <v>3367</v>
      </c>
      <c r="C1125" s="16" t="s">
        <v>3368</v>
      </c>
      <c r="D1125" s="54" t="s">
        <v>3369</v>
      </c>
      <c r="E1125" s="44"/>
      <c r="F1125" s="31"/>
      <c r="G1125" s="93">
        <v>45490</v>
      </c>
      <c r="H1125" s="93">
        <v>45709</v>
      </c>
      <c r="I1125" s="88">
        <v>45764</v>
      </c>
      <c r="J1125" s="164"/>
      <c r="K1125" s="164"/>
      <c r="L1125" s="164"/>
      <c r="M1125" s="164"/>
      <c r="N1125" s="164"/>
      <c r="O1125" s="164"/>
      <c r="P1125" s="164"/>
      <c r="Q1125" s="164"/>
      <c r="R1125" s="164"/>
    </row>
    <row r="1126" spans="1:18">
      <c r="A1126" s="44"/>
      <c r="B1126" s="54" t="s">
        <v>1694</v>
      </c>
      <c r="C1126" s="44" t="s">
        <v>3370</v>
      </c>
      <c r="D1126" s="44" t="s">
        <v>44</v>
      </c>
      <c r="E1126" s="44" t="s">
        <v>15</v>
      </c>
      <c r="F1126" s="44"/>
      <c r="G1126" s="91">
        <v>45042</v>
      </c>
      <c r="H1126" s="91">
        <v>45730</v>
      </c>
      <c r="I1126" s="88">
        <v>45773</v>
      </c>
      <c r="J1126" s="40"/>
      <c r="K1126" s="40"/>
      <c r="L1126" s="40"/>
      <c r="M1126" s="40"/>
      <c r="N1126" s="40"/>
      <c r="O1126" s="40"/>
      <c r="P1126" s="40"/>
      <c r="Q1126" s="40"/>
      <c r="R1126" s="40"/>
    </row>
    <row r="1127" spans="1:18" ht="50.25">
      <c r="A1127" s="44"/>
      <c r="B1127" s="54" t="s">
        <v>201</v>
      </c>
      <c r="C1127" s="44" t="s">
        <v>3371</v>
      </c>
      <c r="D1127" s="44" t="s">
        <v>3372</v>
      </c>
      <c r="E1127" s="44"/>
      <c r="F1127" s="44"/>
      <c r="G1127" s="91" t="s">
        <v>3373</v>
      </c>
      <c r="H1127" s="91" t="s">
        <v>3374</v>
      </c>
      <c r="I1127" s="88">
        <v>45775</v>
      </c>
      <c r="J1127" s="40"/>
      <c r="K1127" s="40"/>
      <c r="L1127" s="40"/>
      <c r="M1127" s="40"/>
      <c r="N1127" s="40"/>
      <c r="O1127" s="40"/>
      <c r="P1127" s="40"/>
      <c r="Q1127" s="40"/>
      <c r="R1127" s="40"/>
    </row>
    <row r="1128" spans="1:18" ht="28.5">
      <c r="A1128" s="159"/>
      <c r="B1128" s="159" t="s">
        <v>13</v>
      </c>
      <c r="C1128" s="160" t="s">
        <v>3375</v>
      </c>
      <c r="D1128" s="160" t="s">
        <v>15</v>
      </c>
      <c r="E1128" s="160"/>
      <c r="F1128" s="160"/>
      <c r="G1128" s="161">
        <v>45790</v>
      </c>
      <c r="H1128" s="161">
        <v>45817</v>
      </c>
      <c r="I1128" s="162">
        <v>45821</v>
      </c>
      <c r="J1128" s="40"/>
      <c r="K1128" s="40"/>
      <c r="L1128" s="40"/>
      <c r="M1128" s="40"/>
      <c r="N1128" s="40"/>
      <c r="O1128" s="40"/>
      <c r="P1128" s="40"/>
      <c r="Q1128" s="40"/>
      <c r="R1128" s="40"/>
    </row>
    <row r="1129" spans="1:18">
      <c r="A1129" s="46"/>
      <c r="B1129" s="31" t="s">
        <v>2983</v>
      </c>
      <c r="C1129" s="16" t="s">
        <v>3376</v>
      </c>
      <c r="D1129" s="54" t="s">
        <v>15</v>
      </c>
      <c r="E1129" s="44"/>
      <c r="F1129" s="31"/>
      <c r="G1129" s="93">
        <v>45728</v>
      </c>
      <c r="H1129" s="93">
        <v>45819</v>
      </c>
      <c r="I1129" s="88">
        <v>45819</v>
      </c>
      <c r="J1129" s="40"/>
      <c r="K1129" s="40"/>
      <c r="L1129" s="40"/>
      <c r="M1129" s="40"/>
      <c r="N1129" s="40"/>
      <c r="O1129" s="40"/>
      <c r="P1129" s="40"/>
      <c r="Q1129" s="40"/>
      <c r="R1129" s="40"/>
    </row>
    <row r="1130" spans="1:18">
      <c r="A1130" s="46"/>
      <c r="B1130" s="31" t="s">
        <v>3377</v>
      </c>
      <c r="C1130" s="16" t="s">
        <v>3378</v>
      </c>
      <c r="D1130" s="54" t="s">
        <v>167</v>
      </c>
      <c r="E1130" s="44"/>
      <c r="F1130" s="31"/>
      <c r="G1130" s="93">
        <v>45722</v>
      </c>
      <c r="H1130" s="93">
        <v>45816</v>
      </c>
      <c r="I1130" s="88">
        <v>45814</v>
      </c>
      <c r="J1130" s="40"/>
      <c r="K1130" s="40"/>
      <c r="L1130" s="40"/>
      <c r="M1130" s="40"/>
      <c r="N1130" s="40"/>
      <c r="O1130" s="40"/>
      <c r="P1130" s="40"/>
      <c r="Q1130" s="40"/>
      <c r="R1130" s="40"/>
    </row>
    <row r="1131" spans="1:18" ht="14.25">
      <c r="A1131" s="46"/>
      <c r="B1131" s="31" t="s">
        <v>3103</v>
      </c>
      <c r="C1131" s="16" t="s">
        <v>3379</v>
      </c>
      <c r="D1131" s="54" t="s">
        <v>149</v>
      </c>
      <c r="E1131" s="44"/>
      <c r="F1131" s="31"/>
      <c r="G1131" s="93">
        <v>45470</v>
      </c>
      <c r="H1131" s="93">
        <v>45819</v>
      </c>
      <c r="I1131" s="88">
        <v>45819</v>
      </c>
      <c r="J1131" s="164"/>
      <c r="K1131" s="164"/>
      <c r="L1131" s="164"/>
      <c r="M1131" s="164"/>
      <c r="N1131" s="40"/>
      <c r="O1131" s="40"/>
      <c r="P1131" s="40"/>
      <c r="Q1131" s="40"/>
      <c r="R1131" s="40"/>
    </row>
    <row r="1132" spans="1:18">
      <c r="A1132" s="54"/>
      <c r="B1132" s="54" t="s">
        <v>2567</v>
      </c>
      <c r="C1132" s="44" t="s">
        <v>3380</v>
      </c>
      <c r="D1132" s="44" t="s">
        <v>15</v>
      </c>
      <c r="E1132" s="44"/>
      <c r="F1132" s="44"/>
      <c r="G1132" s="91">
        <v>45176</v>
      </c>
      <c r="H1132" s="91">
        <v>45785</v>
      </c>
      <c r="I1132" s="88">
        <v>45784</v>
      </c>
      <c r="J1132" s="40"/>
      <c r="K1132" s="40"/>
      <c r="L1132" s="40"/>
      <c r="M1132" s="40"/>
      <c r="N1132" s="40"/>
      <c r="O1132" s="40"/>
      <c r="P1132" s="40"/>
      <c r="Q1132" s="40"/>
      <c r="R1132" s="40"/>
    </row>
    <row r="1133" spans="1:18" ht="24.75">
      <c r="A1133" s="44"/>
      <c r="B1133" s="134" t="s">
        <v>3339</v>
      </c>
      <c r="C1133" s="44" t="s">
        <v>3381</v>
      </c>
      <c r="D1133" s="44" t="s">
        <v>15</v>
      </c>
      <c r="E1133" s="44"/>
      <c r="F1133" s="44"/>
      <c r="G1133" s="91">
        <v>45051</v>
      </c>
      <c r="H1133" s="91">
        <v>45821</v>
      </c>
      <c r="I1133" s="88">
        <v>45821</v>
      </c>
      <c r="J1133" s="40"/>
      <c r="K1133" s="40"/>
      <c r="L1133" s="40"/>
      <c r="M1133" s="40"/>
      <c r="N1133" s="40"/>
      <c r="O1133" s="40"/>
      <c r="P1133" s="40"/>
      <c r="Q1133" s="40"/>
      <c r="R1133" s="40"/>
    </row>
    <row r="1134" spans="1:18" ht="15">
      <c r="A1134" s="159"/>
      <c r="B1134" s="159" t="s">
        <v>141</v>
      </c>
      <c r="C1134" s="160" t="s">
        <v>3382</v>
      </c>
      <c r="D1134" s="160" t="s">
        <v>15</v>
      </c>
      <c r="E1134" s="160"/>
      <c r="F1134" s="160"/>
      <c r="G1134" s="161">
        <v>45817</v>
      </c>
      <c r="H1134" s="161">
        <v>45825</v>
      </c>
      <c r="I1134" s="162">
        <v>45847</v>
      </c>
      <c r="J1134" s="40"/>
      <c r="K1134" s="40"/>
      <c r="L1134" s="40"/>
      <c r="M1134" s="40"/>
      <c r="N1134" s="40"/>
      <c r="O1134" s="40"/>
      <c r="P1134" s="40"/>
      <c r="Q1134" s="40"/>
      <c r="R1134" s="40"/>
    </row>
    <row r="1135" spans="1:18" ht="24.75">
      <c r="A1135" s="44"/>
      <c r="B1135" s="54" t="s">
        <v>3383</v>
      </c>
      <c r="C1135" s="44" t="s">
        <v>3384</v>
      </c>
      <c r="D1135" s="44" t="s">
        <v>15</v>
      </c>
      <c r="E1135" s="44"/>
      <c r="F1135" s="44"/>
      <c r="G1135" s="91">
        <v>45693</v>
      </c>
      <c r="H1135" s="91">
        <v>45832</v>
      </c>
      <c r="I1135" s="88">
        <v>45832</v>
      </c>
      <c r="J1135" s="164"/>
      <c r="K1135" s="164"/>
      <c r="L1135" s="164"/>
      <c r="M1135" s="164"/>
      <c r="N1135" s="164"/>
      <c r="O1135" s="164"/>
      <c r="P1135" s="164"/>
      <c r="Q1135" s="164"/>
      <c r="R1135" s="164"/>
    </row>
    <row r="1136" spans="1:18">
      <c r="A1136" s="46"/>
      <c r="B1136" s="31" t="s">
        <v>3385</v>
      </c>
      <c r="C1136" s="16" t="s">
        <v>3386</v>
      </c>
      <c r="D1136" s="54" t="s">
        <v>44</v>
      </c>
      <c r="E1136" s="44"/>
      <c r="F1136" s="31"/>
      <c r="G1136" s="93">
        <v>45736</v>
      </c>
      <c r="H1136" s="93">
        <v>45777</v>
      </c>
      <c r="I1136" s="88">
        <v>45797</v>
      </c>
      <c r="J1136" s="40"/>
      <c r="K1136" s="40"/>
      <c r="L1136" s="40"/>
      <c r="M1136" s="40"/>
      <c r="N1136" s="40"/>
      <c r="O1136" s="40"/>
      <c r="P1136" s="40"/>
      <c r="Q1136" s="40"/>
      <c r="R1136" s="40"/>
    </row>
    <row r="1137" spans="1:18" ht="50.25">
      <c r="A1137" s="44"/>
      <c r="B1137" s="54" t="s">
        <v>248</v>
      </c>
      <c r="C1137" s="44" t="s">
        <v>3387</v>
      </c>
      <c r="D1137" s="44" t="s">
        <v>3388</v>
      </c>
      <c r="E1137" s="44"/>
      <c r="F1137" s="44"/>
      <c r="G1137" s="91" t="s">
        <v>3389</v>
      </c>
      <c r="H1137" s="183" t="s">
        <v>3390</v>
      </c>
      <c r="I1137" s="88">
        <v>45838</v>
      </c>
      <c r="J1137" s="164"/>
      <c r="K1137" s="164"/>
      <c r="L1137" s="164"/>
      <c r="M1137" s="164"/>
      <c r="N1137" s="40"/>
      <c r="O1137" s="40"/>
      <c r="P1137" s="40"/>
      <c r="Q1137" s="40"/>
      <c r="R1137" s="40"/>
    </row>
    <row r="1138" spans="1:18" ht="14.25">
      <c r="A1138" s="44"/>
      <c r="B1138" s="134" t="s">
        <v>3290</v>
      </c>
      <c r="C1138" s="44" t="s">
        <v>3391</v>
      </c>
      <c r="D1138" s="44" t="s">
        <v>15</v>
      </c>
      <c r="E1138" s="44"/>
      <c r="F1138" s="44"/>
      <c r="G1138" s="91">
        <v>45167</v>
      </c>
      <c r="H1138" s="91">
        <v>45835</v>
      </c>
      <c r="I1138" s="88">
        <v>45836</v>
      </c>
      <c r="J1138" s="164"/>
      <c r="K1138" s="164"/>
      <c r="L1138" s="164"/>
      <c r="M1138" s="164"/>
      <c r="N1138" s="164"/>
      <c r="O1138" s="164"/>
      <c r="P1138" s="164"/>
      <c r="Q1138" s="164"/>
      <c r="R1138" s="164"/>
    </row>
    <row r="1139" spans="1:18">
      <c r="A1139" s="46"/>
      <c r="B1139" s="31" t="s">
        <v>3132</v>
      </c>
      <c r="C1139" s="16" t="s">
        <v>3392</v>
      </c>
      <c r="D1139" s="54" t="s">
        <v>15</v>
      </c>
      <c r="E1139" s="44"/>
      <c r="F1139" s="31"/>
      <c r="G1139" s="93">
        <v>45280</v>
      </c>
      <c r="H1139" s="93">
        <v>45841</v>
      </c>
      <c r="I1139" s="88">
        <v>45841</v>
      </c>
      <c r="J1139" s="40"/>
      <c r="K1139" s="40"/>
      <c r="L1139" s="40"/>
      <c r="M1139" s="40"/>
      <c r="N1139" s="40"/>
      <c r="O1139" s="40"/>
      <c r="P1139" s="40"/>
      <c r="Q1139" s="40"/>
      <c r="R1139" s="40"/>
    </row>
    <row r="1140" spans="1:18" ht="15">
      <c r="A1140" s="159"/>
      <c r="B1140" s="159" t="s">
        <v>860</v>
      </c>
      <c r="C1140" s="160" t="s">
        <v>3393</v>
      </c>
      <c r="D1140" s="160" t="s">
        <v>15</v>
      </c>
      <c r="E1140" s="160"/>
      <c r="F1140" s="160"/>
      <c r="G1140" s="161">
        <v>45821</v>
      </c>
      <c r="H1140" s="161">
        <v>45841</v>
      </c>
      <c r="I1140" s="162">
        <v>45851</v>
      </c>
      <c r="J1140" s="40"/>
      <c r="K1140" s="40"/>
      <c r="L1140" s="40"/>
      <c r="M1140" s="40"/>
      <c r="N1140" s="40"/>
      <c r="O1140" s="40"/>
      <c r="P1140" s="40"/>
      <c r="Q1140" s="40"/>
      <c r="R1140" s="40"/>
    </row>
    <row r="1141" spans="1:18" ht="15">
      <c r="A1141" s="159"/>
      <c r="B1141" s="159" t="s">
        <v>3394</v>
      </c>
      <c r="C1141" s="160" t="s">
        <v>3395</v>
      </c>
      <c r="D1141" s="160" t="s">
        <v>165</v>
      </c>
      <c r="E1141" s="160"/>
      <c r="F1141" s="160"/>
      <c r="G1141" s="161">
        <v>45698</v>
      </c>
      <c r="H1141" s="161">
        <v>45846</v>
      </c>
      <c r="I1141" s="162">
        <v>45848</v>
      </c>
      <c r="J1141" s="40"/>
      <c r="K1141" s="40"/>
      <c r="L1141" s="40"/>
      <c r="M1141" s="40"/>
      <c r="N1141" s="40"/>
      <c r="O1141" s="40"/>
      <c r="P1141" s="40"/>
      <c r="Q1141" s="40"/>
      <c r="R1141" s="40"/>
    </row>
    <row r="1142" spans="1:18" ht="28.5">
      <c r="A1142" s="159"/>
      <c r="B1142" s="159" t="s">
        <v>3396</v>
      </c>
      <c r="C1142" s="160" t="s">
        <v>3397</v>
      </c>
      <c r="D1142" s="160" t="s">
        <v>3398</v>
      </c>
      <c r="E1142" s="160"/>
      <c r="F1142" s="160"/>
      <c r="G1142" s="161">
        <v>45645</v>
      </c>
      <c r="H1142" s="161">
        <v>45841</v>
      </c>
      <c r="I1142" s="162">
        <v>45841</v>
      </c>
      <c r="J1142" s="164"/>
      <c r="K1142" s="164"/>
      <c r="L1142" s="164"/>
      <c r="M1142" s="164"/>
      <c r="N1142" s="164"/>
      <c r="O1142" s="164"/>
      <c r="P1142" s="164"/>
      <c r="Q1142" s="164"/>
      <c r="R1142" s="164"/>
    </row>
    <row r="1143" spans="1:18">
      <c r="A1143" s="54"/>
      <c r="B1143" s="54" t="s">
        <v>33</v>
      </c>
      <c r="C1143" s="44" t="s">
        <v>3399</v>
      </c>
      <c r="D1143" s="44" t="s">
        <v>18</v>
      </c>
      <c r="E1143" s="44"/>
      <c r="F1143" s="44"/>
      <c r="G1143" s="91">
        <v>45602</v>
      </c>
      <c r="H1143" s="91">
        <v>45847</v>
      </c>
      <c r="I1143" s="88">
        <v>45844</v>
      </c>
      <c r="J1143" s="40"/>
      <c r="K1143" s="40"/>
      <c r="L1143" s="40"/>
      <c r="M1143" s="40"/>
      <c r="N1143" s="40"/>
      <c r="O1143" s="40"/>
      <c r="P1143" s="40"/>
      <c r="Q1143" s="40"/>
      <c r="R1143" s="40"/>
    </row>
    <row r="1144" spans="1:18">
      <c r="A1144" s="46"/>
      <c r="B1144" s="31" t="s">
        <v>39</v>
      </c>
      <c r="C1144" s="16" t="s">
        <v>3400</v>
      </c>
      <c r="D1144" s="54" t="s">
        <v>702</v>
      </c>
      <c r="E1144" s="44"/>
      <c r="F1144" s="31"/>
      <c r="G1144" s="93">
        <v>45232</v>
      </c>
      <c r="H1144" s="93" t="s">
        <v>3401</v>
      </c>
      <c r="I1144" s="88">
        <v>45840</v>
      </c>
      <c r="J1144" s="40"/>
      <c r="K1144" s="40"/>
      <c r="L1144" s="40"/>
      <c r="M1144" s="40"/>
      <c r="N1144" s="40"/>
      <c r="O1144" s="40"/>
      <c r="P1144" s="40"/>
      <c r="Q1144" s="40"/>
      <c r="R1144" s="40"/>
    </row>
    <row r="1145" spans="1:18">
      <c r="A1145" s="46"/>
      <c r="B1145" s="31" t="s">
        <v>24</v>
      </c>
      <c r="C1145" s="16" t="s">
        <v>3402</v>
      </c>
      <c r="D1145" s="54" t="s">
        <v>44</v>
      </c>
      <c r="E1145" s="44"/>
      <c r="F1145" s="31"/>
      <c r="G1145" s="93">
        <v>45748</v>
      </c>
      <c r="H1145" s="93">
        <v>45850</v>
      </c>
      <c r="I1145" s="88">
        <v>45850</v>
      </c>
      <c r="J1145" s="40"/>
      <c r="K1145" s="40"/>
      <c r="L1145" s="40"/>
      <c r="M1145" s="40"/>
      <c r="N1145" s="40"/>
      <c r="O1145" s="40"/>
      <c r="P1145" s="40"/>
      <c r="Q1145" s="40"/>
      <c r="R1145" s="40"/>
    </row>
    <row r="1146" spans="1:18" ht="20.25" customHeight="1">
      <c r="A1146" s="44"/>
      <c r="B1146" s="54" t="s">
        <v>9</v>
      </c>
      <c r="C1146" s="44" t="s">
        <v>3403</v>
      </c>
      <c r="D1146" s="44" t="s">
        <v>3404</v>
      </c>
      <c r="E1146" s="44"/>
      <c r="F1146" s="44" t="s">
        <v>3405</v>
      </c>
      <c r="G1146" s="91">
        <v>45015</v>
      </c>
      <c r="H1146" s="91" t="s">
        <v>3406</v>
      </c>
      <c r="I1146" s="88">
        <v>45855</v>
      </c>
    </row>
    <row r="1147" spans="1:18" ht="15">
      <c r="A1147" s="165"/>
      <c r="B1147" s="166" t="s">
        <v>1951</v>
      </c>
      <c r="C1147" s="167" t="s">
        <v>3407</v>
      </c>
      <c r="D1147" s="160" t="s">
        <v>3408</v>
      </c>
      <c r="E1147" s="160"/>
      <c r="F1147" s="167"/>
      <c r="G1147" s="161">
        <v>45512</v>
      </c>
      <c r="H1147" s="168"/>
      <c r="I1147" s="162">
        <v>45805</v>
      </c>
      <c r="J1147" s="40"/>
      <c r="K1147" s="40"/>
      <c r="L1147" s="40"/>
      <c r="M1147" s="40"/>
      <c r="N1147" s="40"/>
      <c r="O1147" s="40"/>
      <c r="P1147" s="40"/>
      <c r="Q1147" s="40"/>
      <c r="R1147" s="40"/>
    </row>
    <row r="1148" spans="1:18" ht="23.25">
      <c r="A1148" s="46"/>
      <c r="B1148" s="31" t="s">
        <v>195</v>
      </c>
      <c r="C1148" s="16" t="s">
        <v>3409</v>
      </c>
      <c r="D1148" s="54" t="s">
        <v>15</v>
      </c>
      <c r="E1148" s="44"/>
      <c r="F1148" s="31"/>
      <c r="G1148" s="93">
        <v>45460</v>
      </c>
      <c r="H1148" s="93">
        <v>45862</v>
      </c>
      <c r="I1148" s="88">
        <v>45862</v>
      </c>
      <c r="J1148" s="40"/>
      <c r="K1148" s="40"/>
      <c r="L1148" s="40"/>
      <c r="M1148" s="40"/>
      <c r="N1148" s="40"/>
      <c r="O1148" s="40"/>
      <c r="P1148" s="40"/>
      <c r="Q1148" s="40"/>
      <c r="R1148" s="40"/>
    </row>
    <row r="1149" spans="1:18" ht="14.25">
      <c r="A1149" s="44"/>
      <c r="B1149" s="54" t="s">
        <v>30</v>
      </c>
      <c r="C1149" s="44" t="s">
        <v>3410</v>
      </c>
      <c r="D1149" s="44" t="s">
        <v>15</v>
      </c>
      <c r="E1149" s="44"/>
      <c r="F1149" s="44"/>
      <c r="G1149" s="91"/>
      <c r="H1149" s="91">
        <v>45853</v>
      </c>
      <c r="I1149" s="88">
        <v>45853</v>
      </c>
      <c r="J1149" s="164"/>
      <c r="K1149" s="164"/>
      <c r="L1149" s="164"/>
      <c r="M1149" s="164"/>
      <c r="N1149" s="164"/>
      <c r="O1149" s="164"/>
      <c r="P1149" s="164"/>
      <c r="Q1149" s="164"/>
      <c r="R1149" s="164"/>
    </row>
    <row r="1150" spans="1:18" ht="28.5">
      <c r="A1150" s="159"/>
      <c r="B1150" s="159" t="s">
        <v>171</v>
      </c>
      <c r="C1150" s="160" t="s">
        <v>3411</v>
      </c>
      <c r="D1150" s="160" t="s">
        <v>15</v>
      </c>
      <c r="E1150" s="160"/>
      <c r="F1150" s="160"/>
      <c r="G1150" s="161">
        <v>45674</v>
      </c>
      <c r="H1150" s="161">
        <v>45833</v>
      </c>
      <c r="I1150" s="162">
        <v>45833</v>
      </c>
      <c r="J1150" s="40"/>
      <c r="K1150" s="40"/>
      <c r="L1150" s="40"/>
      <c r="M1150" s="40"/>
      <c r="N1150" s="40"/>
      <c r="O1150" s="40"/>
      <c r="P1150" s="40"/>
      <c r="Q1150" s="40"/>
      <c r="R1150" s="40"/>
    </row>
    <row r="1151" spans="1:18">
      <c r="A1151" s="46"/>
      <c r="B1151" s="31" t="s">
        <v>222</v>
      </c>
      <c r="C1151" s="16" t="s">
        <v>2950</v>
      </c>
      <c r="D1151" s="54" t="s">
        <v>44</v>
      </c>
      <c r="E1151" s="44"/>
      <c r="F1151" s="31"/>
      <c r="G1151" s="93">
        <v>45474</v>
      </c>
      <c r="H1151" s="93">
        <v>45547</v>
      </c>
      <c r="I1151" s="88">
        <v>45869</v>
      </c>
      <c r="J1151" s="40"/>
      <c r="K1151" s="40"/>
      <c r="L1151" s="40"/>
      <c r="M1151" s="40"/>
      <c r="N1151" s="40"/>
      <c r="O1151" s="40"/>
      <c r="P1151" s="40"/>
      <c r="Q1151" s="40"/>
      <c r="R1151" s="40"/>
    </row>
    <row r="1152" spans="1:18" ht="28.5">
      <c r="A1152" s="159"/>
      <c r="B1152" s="159" t="s">
        <v>13</v>
      </c>
      <c r="C1152" s="160" t="s">
        <v>3412</v>
      </c>
      <c r="D1152" s="160" t="s">
        <v>89</v>
      </c>
      <c r="E1152" s="160"/>
      <c r="F1152" s="160"/>
      <c r="G1152" s="161">
        <v>45779</v>
      </c>
      <c r="H1152" s="161">
        <v>45846</v>
      </c>
      <c r="I1152" s="162">
        <v>45846</v>
      </c>
      <c r="J1152" s="40"/>
      <c r="K1152" s="40"/>
      <c r="L1152" s="40"/>
      <c r="M1152" s="40"/>
      <c r="N1152" s="40"/>
      <c r="O1152" s="40"/>
      <c r="P1152" s="40"/>
      <c r="Q1152" s="40"/>
      <c r="R1152" s="40"/>
    </row>
    <row r="1153" spans="1:18" ht="28.5">
      <c r="A1153" s="159"/>
      <c r="B1153" s="159" t="s">
        <v>2959</v>
      </c>
      <c r="C1153" s="160" t="s">
        <v>3413</v>
      </c>
      <c r="D1153" s="160" t="s">
        <v>15</v>
      </c>
      <c r="E1153" s="160"/>
      <c r="F1153" s="160"/>
      <c r="G1153" s="161">
        <v>45850</v>
      </c>
      <c r="H1153" s="161">
        <v>45868</v>
      </c>
      <c r="I1153" s="162">
        <v>45881</v>
      </c>
      <c r="J1153" s="40"/>
      <c r="K1153" s="40"/>
      <c r="L1153" s="40"/>
      <c r="M1153" s="40"/>
      <c r="N1153" s="40"/>
      <c r="O1153" s="40"/>
      <c r="P1153" s="40"/>
      <c r="Q1153" s="40"/>
      <c r="R1153" s="40"/>
    </row>
    <row r="1154" spans="1:18" ht="28.5">
      <c r="A1154" s="159"/>
      <c r="B1154" s="159" t="s">
        <v>128</v>
      </c>
      <c r="C1154" s="160" t="s">
        <v>3414</v>
      </c>
      <c r="D1154" s="160" t="s">
        <v>44</v>
      </c>
      <c r="E1154" s="160"/>
      <c r="F1154" s="160"/>
      <c r="G1154" s="161">
        <v>45679</v>
      </c>
      <c r="H1154" s="161">
        <v>45870</v>
      </c>
      <c r="I1154" s="162">
        <v>45870</v>
      </c>
      <c r="J1154" s="40"/>
      <c r="K1154" s="40"/>
      <c r="L1154" s="40"/>
      <c r="M1154" s="40"/>
      <c r="N1154" s="40"/>
      <c r="O1154" s="40"/>
      <c r="P1154" s="40"/>
      <c r="Q1154" s="40"/>
      <c r="R1154" s="40"/>
    </row>
    <row r="1155" spans="1:18">
      <c r="A1155" s="44"/>
      <c r="B1155" s="134" t="s">
        <v>1173</v>
      </c>
      <c r="C1155" s="44" t="s">
        <v>3415</v>
      </c>
      <c r="D1155" s="44" t="s">
        <v>15</v>
      </c>
      <c r="E1155" s="44"/>
      <c r="F1155" s="44"/>
      <c r="G1155" s="91">
        <v>45044</v>
      </c>
      <c r="H1155" s="91">
        <v>45873</v>
      </c>
      <c r="I1155" s="88">
        <v>45866</v>
      </c>
      <c r="J1155" s="40"/>
      <c r="K1155" s="40"/>
      <c r="L1155" s="40"/>
      <c r="M1155" s="40"/>
      <c r="N1155" s="40"/>
      <c r="O1155" s="40"/>
      <c r="P1155" s="40"/>
      <c r="Q1155" s="40"/>
      <c r="R1155" s="40"/>
    </row>
    <row r="1156" spans="1:18">
      <c r="A1156" s="44"/>
      <c r="B1156" s="54" t="s">
        <v>3272</v>
      </c>
      <c r="C1156" s="44" t="s">
        <v>3416</v>
      </c>
      <c r="D1156" s="44" t="s">
        <v>18</v>
      </c>
      <c r="E1156" s="44"/>
      <c r="F1156" s="44"/>
      <c r="G1156" s="91">
        <v>45719</v>
      </c>
      <c r="H1156" s="91">
        <v>45869</v>
      </c>
      <c r="I1156" s="88">
        <v>45872</v>
      </c>
      <c r="J1156" s="40"/>
      <c r="K1156" s="40"/>
      <c r="L1156" s="40"/>
      <c r="M1156" s="40"/>
      <c r="N1156" s="40"/>
      <c r="O1156" s="40"/>
      <c r="P1156" s="40"/>
      <c r="Q1156" s="40"/>
      <c r="R1156" s="40"/>
    </row>
    <row r="1157" spans="1:18">
      <c r="A1157" s="46"/>
      <c r="B1157" s="31" t="s">
        <v>3147</v>
      </c>
      <c r="C1157" s="16" t="s">
        <v>3417</v>
      </c>
      <c r="D1157" s="54" t="s">
        <v>44</v>
      </c>
      <c r="E1157" s="44"/>
      <c r="F1157" s="31"/>
      <c r="G1157" s="93">
        <v>45467</v>
      </c>
      <c r="H1157" s="93" t="s">
        <v>3418</v>
      </c>
      <c r="I1157" s="88">
        <v>45862</v>
      </c>
      <c r="J1157" s="40"/>
      <c r="K1157" s="40"/>
      <c r="L1157" s="40"/>
      <c r="M1157" s="40"/>
      <c r="N1157" s="40"/>
      <c r="O1157" s="40"/>
      <c r="P1157" s="40"/>
      <c r="Q1157" s="40"/>
      <c r="R1157" s="40"/>
    </row>
    <row r="1158" spans="1:18" ht="14.25">
      <c r="A1158" s="54"/>
      <c r="B1158" s="54" t="s">
        <v>227</v>
      </c>
      <c r="C1158" s="44" t="s">
        <v>3419</v>
      </c>
      <c r="D1158" s="44" t="s">
        <v>15</v>
      </c>
      <c r="E1158" s="44"/>
      <c r="F1158" s="44"/>
      <c r="G1158" s="91">
        <v>45586</v>
      </c>
      <c r="H1158" s="91">
        <v>45883</v>
      </c>
      <c r="I1158" s="88">
        <v>45883</v>
      </c>
      <c r="J1158" s="164"/>
      <c r="K1158" s="164"/>
      <c r="L1158" s="164"/>
      <c r="M1158" s="164"/>
      <c r="N1158" s="164"/>
      <c r="O1158" s="164"/>
      <c r="P1158" s="164"/>
      <c r="Q1158" s="164"/>
      <c r="R1158" s="164"/>
    </row>
    <row r="1159" spans="1:18" ht="28.5">
      <c r="A1159" s="159"/>
      <c r="B1159" s="159" t="s">
        <v>205</v>
      </c>
      <c r="C1159" s="160" t="s">
        <v>3002</v>
      </c>
      <c r="D1159" s="160" t="s">
        <v>15</v>
      </c>
      <c r="E1159" s="160"/>
      <c r="F1159" s="160"/>
      <c r="G1159" s="161">
        <v>45834</v>
      </c>
      <c r="H1159" s="161" t="s">
        <v>3420</v>
      </c>
      <c r="I1159" s="162">
        <v>45864</v>
      </c>
      <c r="J1159" s="40"/>
      <c r="K1159" s="40"/>
      <c r="L1159" s="40"/>
      <c r="M1159" s="40"/>
      <c r="N1159" s="40"/>
      <c r="O1159" s="40"/>
      <c r="P1159" s="40"/>
      <c r="Q1159" s="40"/>
      <c r="R1159" s="40"/>
    </row>
    <row r="1160" spans="1:18" ht="42">
      <c r="A1160" s="165"/>
      <c r="B1160" s="166" t="s">
        <v>3421</v>
      </c>
      <c r="C1160" s="167" t="s">
        <v>3422</v>
      </c>
      <c r="D1160" s="159" t="s">
        <v>15</v>
      </c>
      <c r="E1160" s="160"/>
      <c r="F1160" s="166"/>
      <c r="G1160" s="169">
        <v>45453</v>
      </c>
      <c r="H1160" s="169">
        <v>45895</v>
      </c>
      <c r="I1160" s="162">
        <v>45895</v>
      </c>
      <c r="J1160" s="40"/>
      <c r="K1160" s="40"/>
      <c r="L1160" s="40"/>
      <c r="M1160" s="40"/>
      <c r="N1160" s="40"/>
      <c r="O1160" s="40"/>
      <c r="P1160" s="40"/>
      <c r="Q1160" s="40"/>
    </row>
    <row r="1161" spans="1:18" ht="15">
      <c r="A1161" s="159"/>
      <c r="B1161" s="159" t="s">
        <v>3423</v>
      </c>
      <c r="C1161" s="160" t="s">
        <v>61</v>
      </c>
      <c r="D1161" s="160" t="s">
        <v>44</v>
      </c>
      <c r="E1161" s="160"/>
      <c r="F1161" s="160"/>
      <c r="G1161" s="161">
        <v>45877</v>
      </c>
      <c r="H1161" s="161">
        <v>45891</v>
      </c>
      <c r="I1161" s="162">
        <v>45908</v>
      </c>
      <c r="J1161" s="40"/>
      <c r="K1161" s="40"/>
      <c r="L1161" s="40"/>
      <c r="M1161" s="40"/>
      <c r="N1161" s="40"/>
      <c r="O1161" s="40"/>
      <c r="P1161" s="40"/>
      <c r="Q1161" s="40"/>
      <c r="R1161" s="40"/>
    </row>
    <row r="1162" spans="1:18" ht="57">
      <c r="A1162" s="159"/>
      <c r="B1162" s="159" t="s">
        <v>2829</v>
      </c>
      <c r="C1162" s="160" t="s">
        <v>3424</v>
      </c>
      <c r="D1162" s="160" t="s">
        <v>18</v>
      </c>
      <c r="E1162" s="160"/>
      <c r="F1162" s="160" t="s">
        <v>49</v>
      </c>
      <c r="G1162" s="161">
        <v>45847</v>
      </c>
      <c r="H1162" s="161">
        <v>45883</v>
      </c>
      <c r="I1162" s="162">
        <v>45883</v>
      </c>
    </row>
    <row r="1163" spans="1:18" ht="14.25">
      <c r="A1163" s="159"/>
      <c r="B1163" s="159" t="s">
        <v>90</v>
      </c>
      <c r="C1163" s="160" t="s">
        <v>3425</v>
      </c>
      <c r="D1163" s="160" t="s">
        <v>44</v>
      </c>
      <c r="E1163" s="160"/>
      <c r="F1163" s="160"/>
      <c r="G1163" s="161">
        <v>45805</v>
      </c>
      <c r="H1163" s="161">
        <v>45897</v>
      </c>
      <c r="I1163" s="88">
        <v>45897</v>
      </c>
    </row>
    <row r="1164" spans="1:18">
      <c r="A1164" s="46"/>
      <c r="B1164" s="31" t="s">
        <v>3154</v>
      </c>
      <c r="C1164" s="16" t="s">
        <v>3426</v>
      </c>
      <c r="D1164" s="54" t="s">
        <v>89</v>
      </c>
      <c r="E1164" s="44"/>
      <c r="F1164" s="31"/>
      <c r="G1164" s="93">
        <v>45736</v>
      </c>
      <c r="H1164" s="93" t="s">
        <v>3427</v>
      </c>
      <c r="I1164" s="88">
        <v>45833</v>
      </c>
      <c r="J1164" s="40"/>
      <c r="K1164" s="40"/>
      <c r="L1164" s="40"/>
      <c r="M1164" s="40"/>
      <c r="N1164" s="40"/>
      <c r="O1164" s="40"/>
      <c r="P1164" s="40"/>
      <c r="Q1164" s="40"/>
      <c r="R1164" s="40"/>
    </row>
    <row r="1165" spans="1:18">
      <c r="A1165" s="54"/>
      <c r="B1165" s="54" t="s">
        <v>1289</v>
      </c>
      <c r="C1165" s="44" t="s">
        <v>3428</v>
      </c>
      <c r="D1165" s="44" t="s">
        <v>15</v>
      </c>
      <c r="E1165" s="44"/>
      <c r="F1165" s="44"/>
      <c r="G1165" s="91">
        <v>45096</v>
      </c>
      <c r="H1165" s="91"/>
      <c r="I1165" s="88">
        <v>45857</v>
      </c>
      <c r="J1165" s="40"/>
      <c r="K1165" s="40"/>
      <c r="L1165" s="40"/>
      <c r="M1165" s="40"/>
      <c r="N1165" s="40"/>
      <c r="O1165" s="40"/>
      <c r="P1165" s="40"/>
      <c r="Q1165" s="40"/>
      <c r="R1165" s="40"/>
    </row>
    <row r="1166" spans="1:18">
      <c r="A1166" s="46"/>
      <c r="B1166" s="31" t="s">
        <v>205</v>
      </c>
      <c r="C1166" s="16" t="s">
        <v>3429</v>
      </c>
      <c r="D1166" s="54" t="s">
        <v>15</v>
      </c>
      <c r="E1166" s="44"/>
      <c r="F1166" s="31"/>
      <c r="G1166" s="93">
        <v>45736</v>
      </c>
      <c r="H1166" s="93">
        <v>45859</v>
      </c>
      <c r="I1166" s="88">
        <v>45858</v>
      </c>
      <c r="J1166" s="40"/>
      <c r="K1166" s="40"/>
      <c r="L1166" s="40"/>
      <c r="M1166" s="40"/>
      <c r="N1166" s="40"/>
      <c r="O1166" s="40"/>
      <c r="P1166" s="40"/>
      <c r="Q1166" s="40"/>
      <c r="R1166" s="40"/>
    </row>
    <row r="1167" spans="1:18" ht="24.75">
      <c r="A1167" s="54"/>
      <c r="B1167" s="54" t="s">
        <v>3430</v>
      </c>
      <c r="C1167" s="44" t="s">
        <v>3431</v>
      </c>
      <c r="D1167" s="44" t="s">
        <v>89</v>
      </c>
      <c r="E1167" s="44"/>
      <c r="F1167" s="44"/>
      <c r="G1167" s="91">
        <v>44774</v>
      </c>
      <c r="H1167" s="91" t="s">
        <v>3432</v>
      </c>
      <c r="I1167" s="88">
        <v>45868</v>
      </c>
      <c r="J1167" s="86"/>
      <c r="K1167" s="40"/>
      <c r="L1167" s="40"/>
      <c r="M1167" s="40"/>
      <c r="N1167" s="40"/>
      <c r="O1167" s="40"/>
      <c r="P1167" s="40"/>
      <c r="Q1167" s="40"/>
      <c r="R1167" s="40"/>
    </row>
    <row r="1168" spans="1:18">
      <c r="A1168" s="44"/>
      <c r="B1168" s="54" t="s">
        <v>322</v>
      </c>
      <c r="C1168" s="44" t="s">
        <v>3433</v>
      </c>
      <c r="D1168" s="44" t="s">
        <v>18</v>
      </c>
      <c r="E1168" s="44"/>
      <c r="F1168" s="44"/>
      <c r="G1168" s="91">
        <v>45152</v>
      </c>
      <c r="H1168" s="91">
        <v>45898</v>
      </c>
      <c r="I1168" s="88">
        <v>45898</v>
      </c>
      <c r="J1168" s="40"/>
      <c r="K1168" s="40"/>
      <c r="L1168" s="40"/>
      <c r="M1168" s="40"/>
      <c r="N1168" s="40"/>
      <c r="O1168" s="40"/>
      <c r="P1168" s="40"/>
      <c r="Q1168" s="40"/>
    </row>
    <row r="1169" spans="1:18" ht="23.25">
      <c r="A1169" s="46"/>
      <c r="B1169" s="31" t="s">
        <v>3434</v>
      </c>
      <c r="C1169" s="16" t="s">
        <v>3435</v>
      </c>
      <c r="D1169" s="54" t="s">
        <v>2933</v>
      </c>
      <c r="E1169" s="44"/>
      <c r="F1169" s="31"/>
      <c r="G1169" s="93">
        <v>45743</v>
      </c>
      <c r="H1169" s="93">
        <v>45897</v>
      </c>
      <c r="I1169" s="88">
        <v>45896</v>
      </c>
      <c r="J1169" s="40"/>
      <c r="K1169" s="40"/>
      <c r="L1169" s="40"/>
      <c r="M1169" s="40"/>
      <c r="N1169" s="40"/>
      <c r="O1169" s="40"/>
      <c r="P1169" s="40"/>
      <c r="Q1169" s="40"/>
      <c r="R1169" s="40"/>
    </row>
    <row r="1170" spans="1:18" ht="15">
      <c r="A1170" s="159"/>
      <c r="B1170" s="159" t="s">
        <v>16</v>
      </c>
      <c r="C1170" s="160" t="s">
        <v>3436</v>
      </c>
      <c r="D1170" s="160" t="s">
        <v>44</v>
      </c>
      <c r="E1170" s="160"/>
      <c r="F1170" s="160"/>
      <c r="G1170" s="161">
        <v>45653</v>
      </c>
      <c r="H1170" s="161">
        <v>45908</v>
      </c>
      <c r="I1170" s="162">
        <v>45908</v>
      </c>
      <c r="J1170" s="40"/>
      <c r="K1170" s="40"/>
      <c r="L1170" s="40"/>
      <c r="M1170" s="40"/>
      <c r="N1170" s="40"/>
      <c r="O1170" s="40"/>
      <c r="P1170" s="40"/>
      <c r="Q1170" s="40"/>
      <c r="R1170" s="40"/>
    </row>
    <row r="1171" spans="1:18" ht="24.75">
      <c r="A1171" s="54"/>
      <c r="B1171" s="54" t="s">
        <v>145</v>
      </c>
      <c r="C1171" s="44" t="s">
        <v>3437</v>
      </c>
      <c r="D1171" s="44" t="s">
        <v>2812</v>
      </c>
      <c r="E1171" s="44"/>
      <c r="F1171" s="44"/>
      <c r="G1171" s="91">
        <v>45756</v>
      </c>
      <c r="H1171" s="91"/>
      <c r="I1171" s="88">
        <v>45855</v>
      </c>
      <c r="J1171" s="86" t="s">
        <v>3438</v>
      </c>
      <c r="K1171" s="40"/>
      <c r="L1171" s="40"/>
      <c r="M1171" s="40"/>
      <c r="N1171" s="40"/>
      <c r="O1171" s="40"/>
      <c r="P1171" s="40"/>
      <c r="Q1171" s="40"/>
    </row>
    <row r="1172" spans="1:18" ht="24.75">
      <c r="A1172" s="54"/>
      <c r="B1172" s="54" t="s">
        <v>3439</v>
      </c>
      <c r="C1172" s="44" t="s">
        <v>3440</v>
      </c>
      <c r="D1172" s="44" t="s">
        <v>44</v>
      </c>
      <c r="E1172" s="44"/>
      <c r="F1172" s="44"/>
      <c r="G1172" s="91">
        <v>45610</v>
      </c>
      <c r="H1172" s="91">
        <v>45905</v>
      </c>
      <c r="I1172" s="88">
        <v>45905</v>
      </c>
      <c r="J1172" s="40"/>
      <c r="K1172" s="40"/>
      <c r="L1172" s="40"/>
      <c r="M1172" s="40"/>
      <c r="N1172" s="40"/>
      <c r="O1172" s="40"/>
      <c r="P1172" s="40"/>
      <c r="Q1172" s="40"/>
    </row>
    <row r="1173" spans="1:18" ht="15">
      <c r="A1173" s="159"/>
      <c r="B1173" s="159" t="s">
        <v>3441</v>
      </c>
      <c r="C1173" s="160" t="s">
        <v>3442</v>
      </c>
      <c r="D1173" s="160" t="s">
        <v>15</v>
      </c>
      <c r="E1173" s="160"/>
      <c r="F1173" s="160"/>
      <c r="G1173" s="161">
        <v>45887</v>
      </c>
      <c r="H1173" s="161">
        <v>45905</v>
      </c>
      <c r="I1173" s="162">
        <v>45918</v>
      </c>
    </row>
    <row r="1174" spans="1:18" ht="28.5">
      <c r="A1174" s="159"/>
      <c r="B1174" s="159" t="s">
        <v>3443</v>
      </c>
      <c r="C1174" s="160" t="s">
        <v>3444</v>
      </c>
      <c r="D1174" s="160" t="s">
        <v>44</v>
      </c>
      <c r="E1174" s="160"/>
      <c r="F1174" s="160"/>
      <c r="G1174" s="161">
        <v>45854</v>
      </c>
      <c r="H1174" s="161">
        <v>45917</v>
      </c>
      <c r="I1174" s="162">
        <v>45916</v>
      </c>
      <c r="J1174" s="40"/>
      <c r="K1174" s="40"/>
      <c r="L1174" s="40"/>
      <c r="M1174" s="40"/>
      <c r="N1174" s="40"/>
      <c r="O1174" s="40"/>
      <c r="P1174" s="40"/>
      <c r="Q1174" s="40"/>
    </row>
    <row r="1175" spans="1:18" ht="28.5">
      <c r="A1175" s="159"/>
      <c r="B1175" s="159" t="s">
        <v>3445</v>
      </c>
      <c r="C1175" s="160" t="s">
        <v>3446</v>
      </c>
      <c r="D1175" s="160" t="s">
        <v>167</v>
      </c>
      <c r="E1175" s="160"/>
      <c r="F1175" s="160"/>
      <c r="G1175" s="161">
        <v>45828</v>
      </c>
      <c r="H1175" s="161">
        <v>45916</v>
      </c>
      <c r="I1175" s="162">
        <v>45916</v>
      </c>
      <c r="J1175" s="40"/>
      <c r="K1175" s="40"/>
      <c r="L1175" s="40"/>
      <c r="M1175" s="40"/>
      <c r="N1175" s="40"/>
      <c r="O1175" s="40"/>
      <c r="P1175" s="40"/>
      <c r="Q1175" s="40"/>
      <c r="R1175" s="40"/>
    </row>
    <row r="1176" spans="1:18" ht="23.25">
      <c r="A1176" s="46"/>
      <c r="B1176" s="31" t="s">
        <v>500</v>
      </c>
      <c r="C1176" s="16" t="s">
        <v>3447</v>
      </c>
      <c r="D1176" s="54" t="s">
        <v>15</v>
      </c>
      <c r="E1176" s="44"/>
      <c r="F1176" s="31"/>
      <c r="G1176" s="93">
        <v>45744</v>
      </c>
      <c r="H1176" s="93">
        <v>45924</v>
      </c>
      <c r="I1176" s="88">
        <v>45924</v>
      </c>
      <c r="J1176" s="40"/>
    </row>
    <row r="1177" spans="1:18" ht="28.5">
      <c r="A1177" s="159"/>
      <c r="B1177" s="159" t="s">
        <v>3448</v>
      </c>
      <c r="C1177" s="160" t="s">
        <v>3449</v>
      </c>
      <c r="D1177" s="160" t="s">
        <v>3450</v>
      </c>
      <c r="E1177" s="160"/>
      <c r="F1177" s="160"/>
      <c r="G1177" s="161">
        <v>45666</v>
      </c>
      <c r="H1177" s="161" t="s">
        <v>3451</v>
      </c>
      <c r="I1177" s="162">
        <v>45917</v>
      </c>
      <c r="J1177" s="40"/>
      <c r="K1177" s="40"/>
      <c r="L1177" s="40"/>
      <c r="M1177" s="40"/>
      <c r="N1177" s="40"/>
      <c r="O1177" s="40"/>
      <c r="P1177" s="40"/>
      <c r="Q1177" s="40"/>
      <c r="R1177" s="40"/>
    </row>
    <row r="1178" spans="1:18" ht="15">
      <c r="A1178" s="159"/>
      <c r="B1178" s="159" t="s">
        <v>227</v>
      </c>
      <c r="C1178" s="160" t="s">
        <v>3452</v>
      </c>
      <c r="D1178" s="160" t="s">
        <v>44</v>
      </c>
      <c r="E1178" s="160"/>
      <c r="F1178" s="160"/>
      <c r="G1178" s="161">
        <v>45678</v>
      </c>
      <c r="H1178" s="161">
        <v>45926</v>
      </c>
      <c r="I1178" s="162">
        <v>45921</v>
      </c>
      <c r="J1178" s="40"/>
      <c r="K1178" s="40"/>
      <c r="L1178" s="40"/>
      <c r="M1178" s="40"/>
      <c r="N1178" s="40"/>
      <c r="O1178" s="40"/>
      <c r="P1178" s="40"/>
      <c r="Q1178" s="40"/>
      <c r="R1178" s="40"/>
    </row>
    <row r="1179" spans="1:18" ht="15">
      <c r="A1179" s="159"/>
      <c r="B1179" s="159" t="s">
        <v>90</v>
      </c>
      <c r="C1179" s="160" t="s">
        <v>3453</v>
      </c>
      <c r="D1179" s="160" t="s">
        <v>15</v>
      </c>
      <c r="E1179" s="160"/>
      <c r="F1179" s="160"/>
      <c r="G1179" s="161">
        <v>45875</v>
      </c>
      <c r="H1179" s="161">
        <v>45929</v>
      </c>
      <c r="I1179" s="162">
        <v>45929</v>
      </c>
      <c r="J1179" s="40"/>
      <c r="K1179" s="40"/>
    </row>
    <row r="1180" spans="1:18" ht="24.75">
      <c r="A1180" s="54"/>
      <c r="B1180" s="54" t="s">
        <v>2983</v>
      </c>
      <c r="C1180" s="44" t="s">
        <v>3454</v>
      </c>
      <c r="D1180" s="44" t="s">
        <v>44</v>
      </c>
      <c r="E1180" s="44"/>
      <c r="F1180" s="44"/>
      <c r="G1180" s="91">
        <v>45614</v>
      </c>
      <c r="H1180" s="91">
        <v>45905</v>
      </c>
      <c r="I1180" s="88">
        <v>45905</v>
      </c>
      <c r="J1180" s="40"/>
      <c r="K1180" s="40"/>
      <c r="L1180" s="40"/>
      <c r="M1180" s="40"/>
      <c r="N1180" s="40"/>
      <c r="O1180" s="40"/>
      <c r="P1180" s="40"/>
      <c r="Q1180" s="40"/>
      <c r="R1180" s="40"/>
    </row>
    <row r="1181" spans="1:18" ht="57">
      <c r="A1181" s="159"/>
      <c r="B1181" s="159" t="s">
        <v>257</v>
      </c>
      <c r="C1181" s="160" t="s">
        <v>3455</v>
      </c>
      <c r="D1181" s="160" t="s">
        <v>3456</v>
      </c>
      <c r="E1181" s="160"/>
      <c r="F1181" s="160"/>
      <c r="G1181" s="161">
        <v>45831</v>
      </c>
      <c r="H1181" s="161" t="s">
        <v>3457</v>
      </c>
      <c r="I1181" s="162">
        <v>45922</v>
      </c>
      <c r="J1181" s="40"/>
      <c r="K1181" s="40"/>
      <c r="L1181" s="40"/>
      <c r="M1181" s="40"/>
      <c r="N1181" s="40"/>
      <c r="O1181" s="40"/>
      <c r="P1181" s="40"/>
      <c r="Q1181" s="40"/>
      <c r="R1181" s="40"/>
    </row>
    <row r="1182" spans="1:18" ht="28.5">
      <c r="A1182" s="159"/>
      <c r="B1182" s="159" t="s">
        <v>3458</v>
      </c>
      <c r="C1182" s="160" t="s">
        <v>3455</v>
      </c>
      <c r="D1182" s="160" t="s">
        <v>15</v>
      </c>
      <c r="E1182" s="160"/>
      <c r="F1182" s="160"/>
      <c r="G1182" s="161">
        <v>45814</v>
      </c>
      <c r="H1182" s="161">
        <v>45908</v>
      </c>
      <c r="I1182" s="162">
        <v>45906</v>
      </c>
      <c r="J1182" s="40"/>
      <c r="K1182" s="40"/>
      <c r="L1182" s="40"/>
      <c r="M1182" s="40"/>
      <c r="N1182" s="40"/>
      <c r="O1182" s="40"/>
      <c r="P1182" s="40"/>
      <c r="Q1182" s="40"/>
      <c r="R1182" s="40"/>
    </row>
    <row r="1183" spans="1:18">
      <c r="A1183" s="46"/>
      <c r="B1183" s="31" t="s">
        <v>3459</v>
      </c>
      <c r="C1183" s="16" t="s">
        <v>3460</v>
      </c>
      <c r="D1183" s="54" t="s">
        <v>167</v>
      </c>
      <c r="E1183" s="44"/>
      <c r="F1183" s="31"/>
      <c r="G1183" s="93">
        <v>45455</v>
      </c>
      <c r="H1183" s="93">
        <v>45916</v>
      </c>
      <c r="I1183" s="88">
        <v>45916</v>
      </c>
      <c r="J1183" s="40"/>
      <c r="K1183" s="40"/>
      <c r="L1183" s="40"/>
      <c r="M1183" s="40"/>
      <c r="N1183" s="40"/>
      <c r="O1183" s="40"/>
      <c r="P1183" s="40"/>
      <c r="Q1183" s="40"/>
      <c r="R1183" s="40"/>
    </row>
    <row r="1184" spans="1:18" ht="42.75">
      <c r="A1184" s="159"/>
      <c r="B1184" s="159" t="s">
        <v>3461</v>
      </c>
      <c r="C1184" s="160" t="s">
        <v>3462</v>
      </c>
      <c r="D1184" s="160" t="s">
        <v>3357</v>
      </c>
      <c r="E1184" s="160"/>
      <c r="F1184" s="160"/>
      <c r="G1184" s="161">
        <v>45673</v>
      </c>
      <c r="H1184" s="161" t="s">
        <v>3463</v>
      </c>
      <c r="I1184" s="162">
        <v>45930</v>
      </c>
      <c r="J1184" s="40"/>
      <c r="K1184" s="40"/>
      <c r="L1184" s="40"/>
      <c r="M1184" s="40"/>
      <c r="N1184" s="40"/>
      <c r="O1184" s="40"/>
      <c r="P1184" s="40"/>
      <c r="Q1184" s="40"/>
      <c r="R1184" s="40"/>
    </row>
    <row r="1185" spans="1:18" ht="42.75">
      <c r="A1185" s="159"/>
      <c r="B1185" s="159" t="s">
        <v>83</v>
      </c>
      <c r="C1185" s="160" t="s">
        <v>3464</v>
      </c>
      <c r="D1185" s="160" t="s">
        <v>3465</v>
      </c>
      <c r="E1185" s="160"/>
      <c r="F1185" s="160"/>
      <c r="G1185" s="161">
        <v>45637</v>
      </c>
      <c r="H1185" s="161">
        <v>45932</v>
      </c>
      <c r="I1185" s="162">
        <v>45932</v>
      </c>
      <c r="J1185" s="40"/>
      <c r="K1185" s="40"/>
      <c r="L1185" s="40"/>
      <c r="M1185" s="40"/>
      <c r="N1185" s="40"/>
      <c r="O1185" s="40"/>
      <c r="P1185" s="40"/>
      <c r="Q1185" s="40"/>
      <c r="R1185" s="40"/>
    </row>
    <row r="1186" spans="1:18" ht="37.5">
      <c r="A1186" s="54"/>
      <c r="B1186" s="54" t="s">
        <v>205</v>
      </c>
      <c r="C1186" s="44" t="s">
        <v>3466</v>
      </c>
      <c r="D1186" s="44" t="s">
        <v>44</v>
      </c>
      <c r="E1186" s="44"/>
      <c r="F1186" s="44"/>
      <c r="G1186" s="91">
        <v>45183</v>
      </c>
      <c r="H1186" s="91" t="s">
        <v>3467</v>
      </c>
      <c r="I1186" s="88">
        <v>45908</v>
      </c>
      <c r="J1186" s="40"/>
      <c r="K1186" s="40"/>
      <c r="L1186" s="40"/>
      <c r="M1186" s="40"/>
      <c r="N1186" s="40"/>
      <c r="O1186" s="40"/>
      <c r="P1186" s="40"/>
      <c r="Q1186" s="40"/>
      <c r="R1186" s="40"/>
    </row>
    <row r="1187" spans="1:18" ht="15">
      <c r="A1187" s="159"/>
      <c r="B1187" s="159" t="s">
        <v>3468</v>
      </c>
      <c r="C1187" s="160" t="s">
        <v>3469</v>
      </c>
      <c r="D1187" s="160" t="s">
        <v>15</v>
      </c>
      <c r="E1187" s="160"/>
      <c r="F1187" s="160"/>
      <c r="G1187" s="161">
        <v>45866</v>
      </c>
      <c r="H1187" s="161">
        <v>45938</v>
      </c>
      <c r="I1187" s="162">
        <v>45938</v>
      </c>
      <c r="J1187" s="40"/>
      <c r="K1187" s="40"/>
      <c r="L1187" s="40"/>
      <c r="M1187" s="40"/>
      <c r="N1187" s="40"/>
      <c r="O1187" s="40"/>
      <c r="P1187" s="40"/>
      <c r="Q1187" s="40"/>
      <c r="R1187" s="40"/>
    </row>
    <row r="1188" spans="1:18">
      <c r="A1188" s="54"/>
      <c r="B1188" s="54" t="s">
        <v>47</v>
      </c>
      <c r="C1188" s="44" t="s">
        <v>3470</v>
      </c>
      <c r="D1188" s="44" t="s">
        <v>18</v>
      </c>
      <c r="E1188" s="44"/>
      <c r="F1188" s="44"/>
      <c r="G1188" s="91">
        <v>45758</v>
      </c>
      <c r="H1188" s="91">
        <v>45944</v>
      </c>
      <c r="I1188" s="88">
        <v>45941</v>
      </c>
      <c r="J1188" s="86"/>
      <c r="K1188" s="40"/>
      <c r="L1188" s="40"/>
      <c r="M1188" s="40"/>
      <c r="N1188" s="40"/>
      <c r="O1188" s="40"/>
      <c r="P1188" s="40"/>
      <c r="Q1188" s="40"/>
      <c r="R1188" s="40"/>
    </row>
    <row r="1189" spans="1:18">
      <c r="A1189" s="54"/>
      <c r="B1189" s="54" t="s">
        <v>3471</v>
      </c>
      <c r="C1189" s="44" t="s">
        <v>3472</v>
      </c>
      <c r="D1189" s="44" t="s">
        <v>3473</v>
      </c>
      <c r="E1189" s="44"/>
      <c r="F1189" s="44"/>
      <c r="G1189" s="91">
        <v>45572</v>
      </c>
      <c r="H1189" s="91">
        <v>45940</v>
      </c>
      <c r="I1189" s="88">
        <v>45937</v>
      </c>
      <c r="J1189" s="40"/>
      <c r="K1189" s="40"/>
      <c r="L1189" s="40"/>
      <c r="M1189" s="40"/>
      <c r="N1189" s="40"/>
      <c r="O1189" s="40"/>
      <c r="P1189" s="40"/>
      <c r="Q1189" s="40"/>
      <c r="R1189" s="40"/>
    </row>
    <row r="1190" spans="1:18">
      <c r="A1190" s="44"/>
      <c r="B1190" s="54" t="s">
        <v>145</v>
      </c>
      <c r="C1190" s="44" t="s">
        <v>3238</v>
      </c>
      <c r="D1190" s="44" t="s">
        <v>89</v>
      </c>
      <c r="E1190" s="44"/>
      <c r="F1190" s="44"/>
      <c r="G1190" s="91">
        <v>45695</v>
      </c>
      <c r="H1190" s="91"/>
      <c r="I1190" s="88">
        <v>45937</v>
      </c>
      <c r="J1190" s="40" t="s">
        <v>3474</v>
      </c>
      <c r="K1190" s="40"/>
      <c r="L1190" s="40"/>
      <c r="M1190" s="40"/>
      <c r="N1190" s="40"/>
      <c r="O1190" s="40"/>
      <c r="P1190" s="40"/>
      <c r="Q1190" s="40"/>
      <c r="R1190" s="40"/>
    </row>
    <row r="1191" spans="1:18" ht="28.5">
      <c r="A1191" s="159"/>
      <c r="B1191" s="159" t="s">
        <v>1191</v>
      </c>
      <c r="C1191" s="160" t="s">
        <v>3475</v>
      </c>
      <c r="D1191" s="160" t="s">
        <v>3476</v>
      </c>
      <c r="E1191" s="160"/>
      <c r="F1191" s="160"/>
      <c r="G1191" s="161">
        <v>45663</v>
      </c>
      <c r="H1191" s="161">
        <v>45945</v>
      </c>
      <c r="I1191" s="162">
        <v>45945</v>
      </c>
      <c r="J1191" s="40"/>
      <c r="K1191" s="40"/>
      <c r="L1191" s="40"/>
      <c r="M1191" s="40"/>
      <c r="N1191" s="40"/>
      <c r="O1191" s="40"/>
      <c r="P1191" s="40"/>
      <c r="Q1191" s="40"/>
      <c r="R1191" s="40"/>
    </row>
    <row r="1192" spans="1:18" ht="23.25">
      <c r="A1192" s="46"/>
      <c r="B1192" s="31" t="s">
        <v>3477</v>
      </c>
      <c r="C1192" s="16" t="s">
        <v>3478</v>
      </c>
      <c r="D1192" s="54" t="s">
        <v>15</v>
      </c>
      <c r="E1192" s="44"/>
      <c r="F1192" s="31"/>
      <c r="G1192" s="93">
        <v>45268</v>
      </c>
      <c r="H1192" s="93">
        <v>45953</v>
      </c>
      <c r="I1192" s="88">
        <v>45953</v>
      </c>
      <c r="J1192" s="40"/>
      <c r="K1192" s="40"/>
      <c r="L1192" s="40"/>
      <c r="M1192" s="40"/>
      <c r="N1192" s="40"/>
      <c r="O1192" s="40"/>
      <c r="P1192" s="40"/>
      <c r="Q1192" s="40"/>
      <c r="R1192" s="40"/>
    </row>
    <row r="1193" spans="1:18" ht="24.75">
      <c r="A1193" s="54"/>
      <c r="B1193" s="54" t="s">
        <v>3479</v>
      </c>
      <c r="C1193" s="44" t="s">
        <v>3480</v>
      </c>
      <c r="D1193" s="44" t="s">
        <v>15</v>
      </c>
      <c r="E1193" s="44"/>
      <c r="F1193" s="44"/>
      <c r="G1193" s="91">
        <v>45775</v>
      </c>
      <c r="H1193" s="91">
        <v>45954</v>
      </c>
      <c r="I1193" s="88">
        <v>45954</v>
      </c>
      <c r="J1193" s="86"/>
      <c r="K1193" s="40"/>
      <c r="L1193" s="40"/>
      <c r="M1193" s="40"/>
      <c r="N1193" s="40"/>
      <c r="O1193" s="40"/>
      <c r="P1193" s="40"/>
      <c r="Q1193" s="40"/>
      <c r="R1193" s="40"/>
    </row>
    <row r="1194" spans="1:18" ht="14.25">
      <c r="A1194" s="58"/>
      <c r="B1194" s="58" t="s">
        <v>50</v>
      </c>
      <c r="C1194" s="58" t="s">
        <v>3481</v>
      </c>
      <c r="D1194" s="58" t="s">
        <v>15</v>
      </c>
      <c r="E1194" s="58"/>
      <c r="F1194" s="58"/>
      <c r="G1194" s="103">
        <v>45691</v>
      </c>
      <c r="H1194" s="103">
        <v>45952</v>
      </c>
      <c r="I1194" s="88">
        <v>45952</v>
      </c>
      <c r="J1194" s="164"/>
      <c r="K1194" s="164"/>
      <c r="L1194" s="164"/>
      <c r="M1194" s="164"/>
      <c r="N1194" s="164"/>
      <c r="O1194" s="164"/>
      <c r="P1194" s="164"/>
      <c r="Q1194" s="164"/>
      <c r="R1194" s="164"/>
    </row>
    <row r="1195" spans="1:18" ht="28.5">
      <c r="A1195" s="159"/>
      <c r="B1195" s="159" t="s">
        <v>3377</v>
      </c>
      <c r="C1195" s="160" t="s">
        <v>3482</v>
      </c>
      <c r="D1195" s="160" t="s">
        <v>149</v>
      </c>
      <c r="E1195" s="160"/>
      <c r="F1195" s="160"/>
      <c r="G1195" s="161">
        <v>45664</v>
      </c>
      <c r="H1195" s="161">
        <v>45964</v>
      </c>
      <c r="I1195" s="162">
        <v>45964</v>
      </c>
      <c r="J1195" s="40"/>
      <c r="K1195" s="40"/>
      <c r="L1195" s="40"/>
      <c r="M1195" s="40"/>
      <c r="N1195" s="40"/>
      <c r="O1195" s="40"/>
      <c r="P1195" s="40"/>
      <c r="Q1195" s="40"/>
      <c r="R1195" s="40"/>
    </row>
    <row r="1196" spans="1:18" ht="15">
      <c r="A1196" s="159"/>
      <c r="B1196" s="159" t="s">
        <v>198</v>
      </c>
      <c r="C1196" s="160" t="s">
        <v>3483</v>
      </c>
      <c r="D1196" s="160" t="s">
        <v>54</v>
      </c>
      <c r="E1196" s="160"/>
      <c r="F1196" s="160"/>
      <c r="G1196" s="161">
        <v>45644</v>
      </c>
      <c r="H1196" s="161">
        <v>45964</v>
      </c>
      <c r="I1196" s="162">
        <v>45964</v>
      </c>
      <c r="J1196" s="40"/>
      <c r="K1196" s="40"/>
      <c r="L1196" s="40"/>
      <c r="M1196" s="40"/>
      <c r="N1196" s="40"/>
      <c r="O1196" s="40"/>
      <c r="P1196" s="40"/>
      <c r="Q1196" s="40"/>
      <c r="R1196" s="40"/>
    </row>
    <row r="1197" spans="1:18">
      <c r="A1197" s="46"/>
      <c r="B1197" s="31" t="s">
        <v>2465</v>
      </c>
      <c r="C1197" s="16" t="s">
        <v>3484</v>
      </c>
      <c r="D1197" s="15" t="s">
        <v>15</v>
      </c>
      <c r="E1197" s="15" t="s">
        <v>15</v>
      </c>
      <c r="F1197" s="16"/>
      <c r="G1197" s="94">
        <v>44050</v>
      </c>
      <c r="H1197" s="94">
        <v>45958</v>
      </c>
      <c r="I1197" s="88">
        <v>45958</v>
      </c>
      <c r="J1197" s="40"/>
      <c r="K1197" s="40"/>
      <c r="L1197" s="40"/>
      <c r="M1197" s="40"/>
      <c r="N1197" s="40"/>
      <c r="O1197" s="40"/>
      <c r="P1197" s="40"/>
      <c r="Q1197" s="40"/>
      <c r="R1197" s="40"/>
    </row>
    <row r="1198" spans="1:18">
      <c r="A1198" s="54"/>
      <c r="B1198" s="54" t="s">
        <v>222</v>
      </c>
      <c r="C1198" s="44" t="s">
        <v>3485</v>
      </c>
      <c r="D1198" s="44" t="s">
        <v>44</v>
      </c>
      <c r="E1198" s="44"/>
      <c r="F1198" s="44"/>
      <c r="G1198" s="91">
        <v>45764</v>
      </c>
      <c r="H1198" s="91">
        <v>45965</v>
      </c>
      <c r="I1198" s="88">
        <v>45965</v>
      </c>
      <c r="J1198" s="86"/>
      <c r="K1198" s="40"/>
      <c r="L1198" s="40"/>
      <c r="M1198" s="40"/>
      <c r="N1198" s="40"/>
      <c r="O1198" s="40"/>
      <c r="P1198" s="40"/>
      <c r="Q1198" s="40"/>
      <c r="R1198" s="40"/>
    </row>
    <row r="1199" spans="1:18">
      <c r="A1199" s="46"/>
      <c r="B1199" s="31" t="s">
        <v>3486</v>
      </c>
      <c r="C1199" s="16" t="s">
        <v>3487</v>
      </c>
      <c r="D1199" s="54" t="s">
        <v>54</v>
      </c>
      <c r="E1199" s="44"/>
      <c r="F1199" s="31"/>
      <c r="G1199" s="93">
        <v>45308</v>
      </c>
      <c r="H1199" s="93" t="s">
        <v>3488</v>
      </c>
      <c r="I1199" s="88">
        <v>45968</v>
      </c>
      <c r="J1199" s="40"/>
      <c r="K1199" s="40"/>
      <c r="L1199" s="40"/>
      <c r="M1199" s="40"/>
      <c r="N1199" s="40"/>
      <c r="O1199" s="40"/>
      <c r="P1199" s="40"/>
      <c r="Q1199" s="40"/>
      <c r="R1199" s="40"/>
    </row>
    <row r="1200" spans="1:18" ht="15">
      <c r="A1200" s="159"/>
      <c r="B1200" s="159" t="s">
        <v>201</v>
      </c>
      <c r="C1200" s="160" t="s">
        <v>3489</v>
      </c>
      <c r="D1200" s="160" t="s">
        <v>149</v>
      </c>
      <c r="E1200" s="160"/>
      <c r="F1200" s="160"/>
      <c r="G1200" s="161">
        <v>46000</v>
      </c>
      <c r="H1200" s="161">
        <v>45968</v>
      </c>
      <c r="I1200" s="162">
        <v>45970</v>
      </c>
      <c r="J1200" s="40"/>
      <c r="K1200" s="40"/>
      <c r="L1200" s="40"/>
      <c r="M1200" s="40"/>
      <c r="N1200" s="40"/>
      <c r="O1200" s="40"/>
      <c r="P1200" s="40"/>
      <c r="Q1200" s="40"/>
      <c r="R1200" s="40"/>
    </row>
    <row r="1201" spans="1:18" ht="14.25">
      <c r="A1201" s="54"/>
      <c r="B1201" s="54" t="s">
        <v>3490</v>
      </c>
      <c r="C1201" s="44" t="s">
        <v>3491</v>
      </c>
      <c r="D1201" s="44" t="s">
        <v>15</v>
      </c>
      <c r="E1201" s="44"/>
      <c r="F1201" s="44"/>
      <c r="G1201" s="91">
        <v>45595</v>
      </c>
      <c r="H1201" s="91">
        <v>45972</v>
      </c>
      <c r="I1201" s="88">
        <v>45972</v>
      </c>
      <c r="J1201" s="164"/>
      <c r="K1201" s="164"/>
      <c r="L1201" s="164"/>
      <c r="M1201" s="164"/>
      <c r="N1201" s="164"/>
      <c r="O1201" s="164"/>
      <c r="P1201" s="164"/>
      <c r="Q1201" s="164"/>
      <c r="R1201" s="164"/>
    </row>
    <row r="1202" spans="1:18" ht="15">
      <c r="A1202" s="159"/>
      <c r="B1202" s="159" t="s">
        <v>3364</v>
      </c>
      <c r="C1202" s="160" t="s">
        <v>3365</v>
      </c>
      <c r="D1202" s="160" t="s">
        <v>44</v>
      </c>
      <c r="E1202" s="160"/>
      <c r="F1202" s="160"/>
      <c r="G1202" s="161">
        <v>45958</v>
      </c>
      <c r="H1202" s="161">
        <v>45980</v>
      </c>
      <c r="I1202" s="162">
        <v>45989</v>
      </c>
      <c r="J1202" s="40"/>
    </row>
    <row r="1203" spans="1:18">
      <c r="A1203" s="46"/>
      <c r="B1203" s="31" t="s">
        <v>201</v>
      </c>
      <c r="C1203" s="16" t="s">
        <v>3492</v>
      </c>
      <c r="D1203" s="54" t="s">
        <v>44</v>
      </c>
      <c r="E1203" s="44"/>
      <c r="F1203" s="31"/>
      <c r="G1203" s="93">
        <v>45294</v>
      </c>
      <c r="H1203" s="93" t="s">
        <v>3493</v>
      </c>
      <c r="I1203" s="88">
        <v>45980</v>
      </c>
      <c r="J1203" s="40"/>
      <c r="K1203" s="40"/>
      <c r="L1203" s="40"/>
      <c r="M1203" s="40"/>
      <c r="N1203" s="40"/>
      <c r="O1203" s="40"/>
      <c r="P1203" s="40"/>
      <c r="Q1203" s="40"/>
      <c r="R1203" s="40"/>
    </row>
    <row r="1204" spans="1:18">
      <c r="A1204" s="54"/>
      <c r="B1204" s="54" t="s">
        <v>500</v>
      </c>
      <c r="C1204" s="44" t="s">
        <v>3494</v>
      </c>
      <c r="D1204" s="44" t="s">
        <v>18</v>
      </c>
      <c r="E1204" s="44"/>
      <c r="F1204" s="44"/>
      <c r="G1204" s="91">
        <v>45545</v>
      </c>
      <c r="H1204" s="91">
        <v>45994</v>
      </c>
      <c r="I1204" s="88">
        <v>45993</v>
      </c>
      <c r="J1204" s="40"/>
      <c r="K1204" s="40"/>
      <c r="L1204" s="40"/>
      <c r="M1204" s="40"/>
      <c r="N1204" s="40"/>
      <c r="O1204" s="40"/>
      <c r="P1204" s="40"/>
      <c r="Q1204" s="40"/>
      <c r="R1204" s="40"/>
    </row>
    <row r="1205" spans="1:18">
      <c r="A1205" s="54"/>
      <c r="B1205" s="54" t="s">
        <v>248</v>
      </c>
      <c r="C1205" s="44" t="s">
        <v>3495</v>
      </c>
      <c r="D1205" s="44" t="s">
        <v>18</v>
      </c>
      <c r="E1205" s="44"/>
      <c r="F1205" s="44"/>
      <c r="G1205" s="91">
        <v>45407</v>
      </c>
      <c r="H1205" s="91">
        <v>45960</v>
      </c>
      <c r="I1205" s="88">
        <v>45960</v>
      </c>
      <c r="J1205" s="40"/>
      <c r="K1205" s="40"/>
      <c r="L1205" s="40"/>
      <c r="M1205" s="40"/>
      <c r="N1205" s="40"/>
      <c r="O1205" s="40"/>
      <c r="P1205" s="40"/>
      <c r="Q1205" s="40"/>
      <c r="R1205" s="40"/>
    </row>
    <row r="1206" spans="1:18" ht="14.25">
      <c r="A1206" s="54"/>
      <c r="B1206" s="54" t="s">
        <v>83</v>
      </c>
      <c r="C1206" s="44" t="s">
        <v>3496</v>
      </c>
      <c r="D1206" s="44" t="s">
        <v>15</v>
      </c>
      <c r="E1206" s="44"/>
      <c r="F1206" s="44"/>
      <c r="G1206" s="91">
        <v>45612</v>
      </c>
      <c r="H1206" s="91">
        <v>45985</v>
      </c>
      <c r="I1206" s="88">
        <v>45985</v>
      </c>
      <c r="J1206" s="164"/>
      <c r="K1206" s="164"/>
      <c r="L1206" s="164"/>
      <c r="M1206" s="164"/>
      <c r="N1206" s="164"/>
      <c r="O1206" s="164"/>
      <c r="P1206" s="164"/>
      <c r="Q1206" s="164"/>
      <c r="R1206" s="164"/>
    </row>
    <row r="1207" spans="1:18" ht="28.5">
      <c r="A1207" s="159"/>
      <c r="B1207" s="159" t="s">
        <v>3497</v>
      </c>
      <c r="C1207" s="160" t="s">
        <v>3498</v>
      </c>
      <c r="D1207" s="160" t="s">
        <v>3499</v>
      </c>
      <c r="E1207" s="160"/>
      <c r="F1207" s="160"/>
      <c r="G1207" s="161">
        <v>45775</v>
      </c>
      <c r="H1207" s="161"/>
      <c r="I1207" s="162">
        <v>45996</v>
      </c>
      <c r="J1207" s="40"/>
      <c r="K1207" s="40"/>
      <c r="L1207" s="40"/>
      <c r="M1207" s="40"/>
      <c r="N1207" s="40"/>
      <c r="O1207" s="40"/>
      <c r="P1207" s="40"/>
      <c r="Q1207" s="40"/>
      <c r="R1207" s="40"/>
    </row>
  </sheetData>
  <sortState xmlns:xlrd2="http://schemas.microsoft.com/office/spreadsheetml/2017/richdata2" ref="A1:N534">
    <sortCondition ref="B2:B70"/>
  </sortState>
  <customSheetViews>
    <customSheetView guid="{6FE888E1-B358-42BC-B224-1A6E12FDD154}" topLeftCell="A34">
      <selection activeCell="A36" sqref="A36:XFD37"/>
      <pageMargins left="0" right="0" top="0" bottom="0" header="0" footer="0"/>
      <pageSetup orientation="portrait" r:id="rId1"/>
      <headerFooter alignWithMargins="0"/>
    </customSheetView>
    <customSheetView guid="{B833ECD0-B2EA-4563-BF52-8F4997DD5865}" showPageBreaks="1" topLeftCell="A28">
      <selection activeCell="A30" sqref="A30:XFD30"/>
      <pageMargins left="0" right="0" top="0" bottom="0" header="0" footer="0"/>
      <pageSetup orientation="portrait" r:id="rId2"/>
      <headerFooter alignWithMargins="0"/>
    </customSheetView>
    <customSheetView guid="{5BED333D-6C00-4AE4-BC7B-E591817DA915}" showRuler="0" topLeftCell="A7">
      <selection activeCell="Z10" sqref="A10:Z11"/>
      <pageMargins left="0" right="0" top="0" bottom="0" header="0" footer="0"/>
      <headerFooter alignWithMargins="0"/>
    </customSheetView>
    <customSheetView guid="{C1601B07-5C84-4A16-9026-E7B825653351}">
      <selection activeCell="R4" sqref="R4"/>
      <pageMargins left="0" right="0" top="0" bottom="0" header="0" footer="0"/>
      <pageSetup orientation="portrait" r:id="rId3"/>
      <headerFooter alignWithMargins="0"/>
    </customSheetView>
    <customSheetView guid="{0461DA79-A79C-4DEB-8769-F97B764E69E8}" showRuler="0">
      <selection activeCell="R4" sqref="R4"/>
      <pageMargins left="0" right="0" top="0" bottom="0" header="0" footer="0"/>
      <headerFooter alignWithMargins="0"/>
    </customSheetView>
    <customSheetView guid="{3A237827-5B6E-4817-B1C4-2B7124C81893}">
      <selection activeCell="A3" sqref="A3:XFD3"/>
      <pageMargins left="0" right="0" top="0" bottom="0" header="0" footer="0"/>
      <pageSetup orientation="portrait" r:id="rId4"/>
      <headerFooter alignWithMargins="0"/>
    </customSheetView>
    <customSheetView guid="{27819D09-F639-4E44-9C23-9CF52369D613}" showPageBreaks="1" topLeftCell="A26">
      <selection activeCell="E32" sqref="E32"/>
      <pageMargins left="0" right="0" top="0" bottom="0" header="0" footer="0"/>
      <pageSetup orientation="portrait" r:id="rId5"/>
      <headerFooter alignWithMargins="0"/>
    </customSheetView>
    <customSheetView guid="{E6E302D9-C5A5-43AB-853B-E6387C419824}" topLeftCell="A114">
      <selection activeCell="A131" sqref="A131:XFD131"/>
      <pageMargins left="0" right="0" top="0" bottom="0" header="0" footer="0"/>
      <pageSetup orientation="portrait" r:id="rId6"/>
      <headerFooter alignWithMargins="0"/>
    </customSheetView>
    <customSheetView guid="{B8A8DD2B-571A-4307-9865-DA42A7D24AA5}" showPageBreaks="1" topLeftCell="A118">
      <selection activeCell="A133" sqref="A133:XFD133"/>
      <pageMargins left="0" right="0" top="0" bottom="0" header="0" footer="0"/>
      <pageSetup orientation="portrait" r:id="rId7"/>
      <headerFooter alignWithMargins="0"/>
    </customSheetView>
  </customSheetViews>
  <mergeCells count="1">
    <mergeCell ref="E74:F74"/>
  </mergeCells>
  <phoneticPr fontId="5" type="noConversion"/>
  <pageMargins left="0.75" right="0.75" top="1" bottom="1" header="0.5" footer="0.5"/>
  <pageSetup orientation="portrait" r:id="rId8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99"/>
  <sheetViews>
    <sheetView tabSelected="1" topLeftCell="A1970" zoomScaleNormal="100" workbookViewId="0">
      <selection activeCell="A1982" sqref="A1982:C1999"/>
    </sheetView>
  </sheetViews>
  <sheetFormatPr defaultRowHeight="12.75"/>
  <cols>
    <col min="1" max="1" width="18.5703125" customWidth="1"/>
    <col min="2" max="2" width="24.5703125" style="40" customWidth="1"/>
    <col min="3" max="3" width="35.140625" customWidth="1"/>
  </cols>
  <sheetData>
    <row r="1" spans="1:3" ht="15">
      <c r="A1" s="11" t="s">
        <v>3500</v>
      </c>
      <c r="B1" s="223" t="s">
        <v>3501</v>
      </c>
      <c r="C1" s="11" t="s">
        <v>3502</v>
      </c>
    </row>
    <row r="2" spans="1:3">
      <c r="A2" s="1" t="s">
        <v>3503</v>
      </c>
      <c r="B2" s="15" t="s">
        <v>263</v>
      </c>
      <c r="C2" s="1" t="s">
        <v>3504</v>
      </c>
    </row>
    <row r="3" spans="1:3">
      <c r="A3" s="1" t="s">
        <v>3505</v>
      </c>
      <c r="B3" s="15" t="s">
        <v>2468</v>
      </c>
      <c r="C3" s="1" t="s">
        <v>2469</v>
      </c>
    </row>
    <row r="4" spans="1:3">
      <c r="A4" s="1" t="s">
        <v>3506</v>
      </c>
      <c r="B4" s="15" t="s">
        <v>827</v>
      </c>
      <c r="C4" s="1" t="s">
        <v>3507</v>
      </c>
    </row>
    <row r="5" spans="1:3">
      <c r="A5" s="1" t="s">
        <v>3508</v>
      </c>
      <c r="B5" s="15" t="s">
        <v>3509</v>
      </c>
      <c r="C5" s="1" t="s">
        <v>3510</v>
      </c>
    </row>
    <row r="6" spans="1:3">
      <c r="A6" s="1" t="s">
        <v>3511</v>
      </c>
      <c r="B6" s="15" t="s">
        <v>3512</v>
      </c>
      <c r="C6" s="1" t="s">
        <v>2931</v>
      </c>
    </row>
    <row r="7" spans="1:3">
      <c r="A7" s="1" t="s">
        <v>3513</v>
      </c>
      <c r="B7" s="15" t="s">
        <v>500</v>
      </c>
      <c r="C7" s="1" t="s">
        <v>2565</v>
      </c>
    </row>
    <row r="8" spans="1:3">
      <c r="A8" s="1" t="s">
        <v>3514</v>
      </c>
      <c r="B8" s="15" t="s">
        <v>322</v>
      </c>
      <c r="C8" s="1" t="s">
        <v>3515</v>
      </c>
    </row>
    <row r="9" spans="1:3">
      <c r="A9" s="1" t="s">
        <v>3516</v>
      </c>
      <c r="B9" s="15" t="s">
        <v>45</v>
      </c>
      <c r="C9" s="1" t="s">
        <v>3517</v>
      </c>
    </row>
    <row r="10" spans="1:3">
      <c r="A10" s="1" t="s">
        <v>3518</v>
      </c>
      <c r="B10" s="15" t="s">
        <v>3519</v>
      </c>
      <c r="C10" s="1" t="s">
        <v>3520</v>
      </c>
    </row>
    <row r="11" spans="1:3">
      <c r="A11" s="1" t="s">
        <v>3521</v>
      </c>
      <c r="B11" s="15" t="s">
        <v>3522</v>
      </c>
      <c r="C11" s="1" t="s">
        <v>3523</v>
      </c>
    </row>
    <row r="12" spans="1:3">
      <c r="A12" s="1" t="s">
        <v>3524</v>
      </c>
      <c r="B12" s="15" t="s">
        <v>168</v>
      </c>
      <c r="C12" s="1" t="s">
        <v>3525</v>
      </c>
    </row>
    <row r="13" spans="1:3">
      <c r="A13" s="1" t="s">
        <v>3526</v>
      </c>
      <c r="B13" s="15" t="s">
        <v>3527</v>
      </c>
      <c r="C13" s="15" t="s">
        <v>3528</v>
      </c>
    </row>
    <row r="14" spans="1:3">
      <c r="A14" s="1" t="s">
        <v>3529</v>
      </c>
      <c r="B14" s="15" t="s">
        <v>198</v>
      </c>
      <c r="C14" s="15" t="s">
        <v>3530</v>
      </c>
    </row>
    <row r="15" spans="1:3">
      <c r="A15" s="1" t="s">
        <v>3531</v>
      </c>
      <c r="B15" s="15" t="s">
        <v>3532</v>
      </c>
      <c r="C15" s="15" t="s">
        <v>3533</v>
      </c>
    </row>
    <row r="16" spans="1:3">
      <c r="A16" s="1" t="s">
        <v>3534</v>
      </c>
      <c r="B16" s="15" t="s">
        <v>2523</v>
      </c>
      <c r="C16" s="1" t="s">
        <v>3535</v>
      </c>
    </row>
    <row r="17" spans="1:3">
      <c r="A17" s="1" t="s">
        <v>3536</v>
      </c>
      <c r="B17" s="15" t="s">
        <v>3537</v>
      </c>
      <c r="C17" s="1" t="s">
        <v>3538</v>
      </c>
    </row>
    <row r="18" spans="1:3">
      <c r="A18" s="1" t="s">
        <v>3539</v>
      </c>
      <c r="B18" s="15" t="s">
        <v>3540</v>
      </c>
      <c r="C18" s="1" t="s">
        <v>3541</v>
      </c>
    </row>
    <row r="19" spans="1:3">
      <c r="A19" s="1" t="s">
        <v>3542</v>
      </c>
      <c r="B19" s="15" t="s">
        <v>3543</v>
      </c>
      <c r="C19" s="1" t="s">
        <v>3544</v>
      </c>
    </row>
    <row r="20" spans="1:3">
      <c r="A20" s="1" t="s">
        <v>3545</v>
      </c>
      <c r="B20" s="15" t="s">
        <v>3537</v>
      </c>
      <c r="C20" s="15" t="s">
        <v>3546</v>
      </c>
    </row>
    <row r="21" spans="1:3">
      <c r="A21" s="1" t="s">
        <v>3547</v>
      </c>
      <c r="B21" s="15" t="s">
        <v>827</v>
      </c>
      <c r="C21" s="1" t="s">
        <v>3548</v>
      </c>
    </row>
    <row r="22" spans="1:3">
      <c r="A22" s="1" t="s">
        <v>3549</v>
      </c>
      <c r="B22" s="15" t="s">
        <v>1241</v>
      </c>
      <c r="C22" s="1" t="s">
        <v>3550</v>
      </c>
    </row>
    <row r="23" spans="1:3">
      <c r="A23" s="1" t="s">
        <v>3551</v>
      </c>
      <c r="B23" s="15" t="s">
        <v>3552</v>
      </c>
      <c r="C23" s="1" t="s">
        <v>3553</v>
      </c>
    </row>
    <row r="24" spans="1:3">
      <c r="A24" s="1" t="s">
        <v>3554</v>
      </c>
      <c r="B24" s="15" t="s">
        <v>3555</v>
      </c>
      <c r="C24" s="1" t="s">
        <v>3556</v>
      </c>
    </row>
    <row r="25" spans="1:3">
      <c r="A25" s="1" t="s">
        <v>3557</v>
      </c>
      <c r="B25" s="15" t="s">
        <v>2477</v>
      </c>
      <c r="C25" s="1" t="s">
        <v>3558</v>
      </c>
    </row>
    <row r="26" spans="1:3">
      <c r="A26" s="1" t="s">
        <v>3559</v>
      </c>
      <c r="B26" s="15" t="s">
        <v>2456</v>
      </c>
      <c r="C26" s="1" t="s">
        <v>3560</v>
      </c>
    </row>
    <row r="27" spans="1:3">
      <c r="A27" s="1" t="s">
        <v>3561</v>
      </c>
      <c r="B27" s="15" t="s">
        <v>3562</v>
      </c>
      <c r="C27" s="1" t="s">
        <v>3563</v>
      </c>
    </row>
    <row r="28" spans="1:3">
      <c r="A28" s="1" t="s">
        <v>3564</v>
      </c>
      <c r="B28" s="15" t="s">
        <v>161</v>
      </c>
      <c r="C28" s="1" t="s">
        <v>3565</v>
      </c>
    </row>
    <row r="29" spans="1:3">
      <c r="A29" s="1" t="s">
        <v>3566</v>
      </c>
      <c r="B29" s="15" t="s">
        <v>3567</v>
      </c>
      <c r="C29" s="1" t="s">
        <v>3568</v>
      </c>
    </row>
    <row r="30" spans="1:3">
      <c r="A30" s="1" t="s">
        <v>3569</v>
      </c>
      <c r="B30" s="15" t="s">
        <v>3570</v>
      </c>
      <c r="C30" s="15" t="s">
        <v>3571</v>
      </c>
    </row>
    <row r="31" spans="1:3">
      <c r="A31" s="1" t="s">
        <v>3572</v>
      </c>
      <c r="B31" s="15" t="s">
        <v>3573</v>
      </c>
      <c r="C31" s="15" t="s">
        <v>3574</v>
      </c>
    </row>
    <row r="32" spans="1:3">
      <c r="A32" s="1" t="s">
        <v>3575</v>
      </c>
      <c r="B32" s="15" t="s">
        <v>33</v>
      </c>
      <c r="C32" s="1" t="s">
        <v>3576</v>
      </c>
    </row>
    <row r="33" spans="1:3">
      <c r="A33" s="1" t="s">
        <v>3577</v>
      </c>
      <c r="B33" s="15" t="s">
        <v>3562</v>
      </c>
      <c r="C33" s="1" t="s">
        <v>3578</v>
      </c>
    </row>
    <row r="34" spans="1:3">
      <c r="A34" s="1" t="s">
        <v>3579</v>
      </c>
      <c r="B34" s="15" t="s">
        <v>1463</v>
      </c>
      <c r="C34" s="1" t="s">
        <v>2541</v>
      </c>
    </row>
    <row r="35" spans="1:3">
      <c r="A35" s="1" t="s">
        <v>3580</v>
      </c>
      <c r="B35" s="15" t="s">
        <v>322</v>
      </c>
      <c r="C35" s="1" t="s">
        <v>3581</v>
      </c>
    </row>
    <row r="36" spans="1:3">
      <c r="A36" s="1" t="s">
        <v>3582</v>
      </c>
      <c r="B36" s="15" t="s">
        <v>3583</v>
      </c>
      <c r="C36" s="1" t="s">
        <v>3584</v>
      </c>
    </row>
    <row r="37" spans="1:3">
      <c r="A37" s="1" t="s">
        <v>3585</v>
      </c>
      <c r="B37" s="15" t="s">
        <v>3586</v>
      </c>
      <c r="C37" s="1" t="s">
        <v>3587</v>
      </c>
    </row>
    <row r="38" spans="1:3">
      <c r="A38" s="1" t="s">
        <v>3588</v>
      </c>
      <c r="B38" s="15" t="s">
        <v>3589</v>
      </c>
      <c r="C38" s="1" t="s">
        <v>3590</v>
      </c>
    </row>
    <row r="39" spans="1:3">
      <c r="A39" s="1" t="s">
        <v>3591</v>
      </c>
      <c r="B39" s="15" t="s">
        <v>30</v>
      </c>
      <c r="C39" s="1" t="s">
        <v>3592</v>
      </c>
    </row>
    <row r="40" spans="1:3">
      <c r="A40" s="1" t="s">
        <v>3593</v>
      </c>
      <c r="B40" s="15" t="s">
        <v>3594</v>
      </c>
      <c r="C40" s="1" t="s">
        <v>3595</v>
      </c>
    </row>
    <row r="41" spans="1:3">
      <c r="A41" s="1" t="s">
        <v>3596</v>
      </c>
      <c r="B41" s="15" t="s">
        <v>3597</v>
      </c>
      <c r="C41" s="15" t="s">
        <v>3598</v>
      </c>
    </row>
    <row r="42" spans="1:3">
      <c r="A42" s="1" t="s">
        <v>3599</v>
      </c>
      <c r="B42" s="15" t="s">
        <v>2446</v>
      </c>
      <c r="C42" s="15" t="s">
        <v>3600</v>
      </c>
    </row>
    <row r="43" spans="1:3">
      <c r="A43" s="1" t="s">
        <v>3601</v>
      </c>
      <c r="B43" s="15" t="s">
        <v>2178</v>
      </c>
      <c r="C43" s="15" t="s">
        <v>3602</v>
      </c>
    </row>
    <row r="44" spans="1:3">
      <c r="A44" s="1" t="s">
        <v>3603</v>
      </c>
      <c r="B44" s="15" t="s">
        <v>155</v>
      </c>
      <c r="C44" s="1" t="s">
        <v>3005</v>
      </c>
    </row>
    <row r="45" spans="1:3">
      <c r="A45" s="1" t="s">
        <v>3604</v>
      </c>
      <c r="B45" s="15" t="s">
        <v>75</v>
      </c>
      <c r="C45" s="1" t="s">
        <v>2693</v>
      </c>
    </row>
    <row r="46" spans="1:3">
      <c r="A46" s="1" t="s">
        <v>3605</v>
      </c>
      <c r="B46" s="15" t="s">
        <v>3532</v>
      </c>
      <c r="C46" s="1" t="s">
        <v>3606</v>
      </c>
    </row>
    <row r="47" spans="1:3">
      <c r="A47" s="1" t="s">
        <v>3607</v>
      </c>
      <c r="B47" s="15" t="s">
        <v>3608</v>
      </c>
      <c r="C47" s="1" t="s">
        <v>3609</v>
      </c>
    </row>
    <row r="48" spans="1:3">
      <c r="A48" s="1" t="s">
        <v>3610</v>
      </c>
      <c r="B48" s="15" t="s">
        <v>1254</v>
      </c>
      <c r="C48" s="15" t="s">
        <v>3611</v>
      </c>
    </row>
    <row r="49" spans="1:3">
      <c r="A49" s="1" t="s">
        <v>3612</v>
      </c>
      <c r="B49" s="15" t="s">
        <v>163</v>
      </c>
      <c r="C49" s="1" t="s">
        <v>3613</v>
      </c>
    </row>
    <row r="50" spans="1:3">
      <c r="A50" s="1" t="s">
        <v>3614</v>
      </c>
      <c r="B50" s="15" t="s">
        <v>155</v>
      </c>
      <c r="C50" s="1" t="s">
        <v>3005</v>
      </c>
    </row>
    <row r="51" spans="1:3">
      <c r="A51" s="1" t="s">
        <v>3615</v>
      </c>
      <c r="B51" s="15" t="s">
        <v>1429</v>
      </c>
      <c r="C51" s="1" t="s">
        <v>3616</v>
      </c>
    </row>
    <row r="52" spans="1:3">
      <c r="A52" s="1" t="s">
        <v>3617</v>
      </c>
      <c r="B52" s="15" t="s">
        <v>2022</v>
      </c>
      <c r="C52" s="1" t="s">
        <v>2746</v>
      </c>
    </row>
    <row r="53" spans="1:3">
      <c r="A53" s="1" t="s">
        <v>3618</v>
      </c>
      <c r="B53" s="15" t="s">
        <v>3619</v>
      </c>
      <c r="C53" s="15" t="s">
        <v>3620</v>
      </c>
    </row>
    <row r="54" spans="1:3">
      <c r="A54" s="1" t="s">
        <v>3621</v>
      </c>
      <c r="B54" s="15" t="s">
        <v>2377</v>
      </c>
      <c r="C54" s="1" t="s">
        <v>3622</v>
      </c>
    </row>
    <row r="55" spans="1:3">
      <c r="A55" s="1" t="s">
        <v>3623</v>
      </c>
      <c r="B55" s="15" t="s">
        <v>2660</v>
      </c>
      <c r="C55" s="15" t="s">
        <v>2661</v>
      </c>
    </row>
    <row r="56" spans="1:3">
      <c r="A56" s="1" t="s">
        <v>3624</v>
      </c>
      <c r="B56" s="15" t="s">
        <v>2710</v>
      </c>
      <c r="C56" s="15" t="s">
        <v>3625</v>
      </c>
    </row>
    <row r="57" spans="1:3">
      <c r="A57" s="1" t="s">
        <v>3626</v>
      </c>
      <c r="B57" s="15" t="s">
        <v>3627</v>
      </c>
      <c r="C57" s="1" t="s">
        <v>3628</v>
      </c>
    </row>
    <row r="58" spans="1:3">
      <c r="A58" s="1" t="s">
        <v>3629</v>
      </c>
      <c r="B58" s="15" t="s">
        <v>30</v>
      </c>
      <c r="C58" s="15" t="s">
        <v>3630</v>
      </c>
    </row>
    <row r="59" spans="1:3">
      <c r="A59" s="1" t="s">
        <v>3631</v>
      </c>
      <c r="B59" s="15" t="s">
        <v>171</v>
      </c>
      <c r="C59" s="15" t="s">
        <v>3632</v>
      </c>
    </row>
    <row r="60" spans="1:3">
      <c r="A60" s="1" t="s">
        <v>3633</v>
      </c>
      <c r="B60" s="15" t="s">
        <v>2303</v>
      </c>
      <c r="C60" s="15" t="s">
        <v>3634</v>
      </c>
    </row>
    <row r="61" spans="1:3">
      <c r="A61" s="1" t="s">
        <v>3635</v>
      </c>
      <c r="B61" s="15" t="s">
        <v>3636</v>
      </c>
      <c r="C61" s="15" t="s">
        <v>3637</v>
      </c>
    </row>
    <row r="62" spans="1:3">
      <c r="A62" s="1" t="s">
        <v>3638</v>
      </c>
      <c r="B62" s="15" t="s">
        <v>3639</v>
      </c>
      <c r="C62" s="15" t="s">
        <v>3640</v>
      </c>
    </row>
    <row r="63" spans="1:3">
      <c r="A63" s="1" t="s">
        <v>3641</v>
      </c>
      <c r="B63" s="15" t="s">
        <v>1811</v>
      </c>
      <c r="C63" s="15" t="s">
        <v>3642</v>
      </c>
    </row>
    <row r="64" spans="1:3">
      <c r="A64" s="1" t="s">
        <v>3643</v>
      </c>
      <c r="B64" s="15" t="s">
        <v>3537</v>
      </c>
      <c r="C64" s="1" t="s">
        <v>3644</v>
      </c>
    </row>
    <row r="65" spans="1:3">
      <c r="A65" s="1" t="s">
        <v>3645</v>
      </c>
      <c r="B65" s="15" t="s">
        <v>3646</v>
      </c>
      <c r="C65" s="1" t="s">
        <v>3647</v>
      </c>
    </row>
    <row r="66" spans="1:3">
      <c r="A66" s="1" t="s">
        <v>3648</v>
      </c>
      <c r="B66" s="15" t="s">
        <v>3555</v>
      </c>
      <c r="C66" s="1" t="s">
        <v>3649</v>
      </c>
    </row>
    <row r="67" spans="1:3">
      <c r="A67" s="1" t="s">
        <v>3650</v>
      </c>
      <c r="B67" s="15" t="s">
        <v>2418</v>
      </c>
      <c r="C67" s="1" t="s">
        <v>3651</v>
      </c>
    </row>
    <row r="68" spans="1:3">
      <c r="A68" s="1" t="s">
        <v>3652</v>
      </c>
      <c r="B68" s="15" t="s">
        <v>2377</v>
      </c>
      <c r="C68" s="15" t="s">
        <v>2585</v>
      </c>
    </row>
    <row r="69" spans="1:3">
      <c r="A69" s="1" t="s">
        <v>3653</v>
      </c>
      <c r="B69" s="15" t="s">
        <v>3654</v>
      </c>
      <c r="C69" s="15" t="s">
        <v>3655</v>
      </c>
    </row>
    <row r="70" spans="1:3">
      <c r="A70" s="1" t="s">
        <v>3656</v>
      </c>
      <c r="B70" s="15" t="s">
        <v>727</v>
      </c>
      <c r="C70" s="1" t="s">
        <v>3657</v>
      </c>
    </row>
    <row r="71" spans="1:3">
      <c r="A71" s="1" t="s">
        <v>3658</v>
      </c>
      <c r="B71" s="15" t="s">
        <v>3659</v>
      </c>
      <c r="C71" s="1" t="s">
        <v>3660</v>
      </c>
    </row>
    <row r="72" spans="1:3">
      <c r="A72" s="1" t="s">
        <v>3661</v>
      </c>
      <c r="B72" s="15" t="s">
        <v>3627</v>
      </c>
      <c r="C72" s="1" t="s">
        <v>3628</v>
      </c>
    </row>
    <row r="73" spans="1:3">
      <c r="A73" s="1" t="s">
        <v>3662</v>
      </c>
      <c r="B73" s="15" t="s">
        <v>500</v>
      </c>
      <c r="C73" s="15" t="s">
        <v>3663</v>
      </c>
    </row>
    <row r="74" spans="1:3">
      <c r="A74" s="1" t="s">
        <v>3664</v>
      </c>
      <c r="B74" s="15" t="s">
        <v>3665</v>
      </c>
      <c r="C74" s="15" t="s">
        <v>3666</v>
      </c>
    </row>
    <row r="75" spans="1:3">
      <c r="A75" s="15" t="s">
        <v>3667</v>
      </c>
      <c r="B75" s="15" t="s">
        <v>3668</v>
      </c>
      <c r="C75" s="15" t="s">
        <v>3669</v>
      </c>
    </row>
    <row r="76" spans="1:3">
      <c r="A76" s="1" t="s">
        <v>3670</v>
      </c>
      <c r="B76" s="15" t="s">
        <v>30</v>
      </c>
      <c r="C76" s="15" t="s">
        <v>3671</v>
      </c>
    </row>
    <row r="77" spans="1:3">
      <c r="A77" s="1" t="s">
        <v>3672</v>
      </c>
      <c r="B77" s="15" t="s">
        <v>2523</v>
      </c>
      <c r="C77" s="1" t="s">
        <v>3673</v>
      </c>
    </row>
    <row r="78" spans="1:3">
      <c r="A78" s="1" t="s">
        <v>3674</v>
      </c>
      <c r="B78" s="15" t="s">
        <v>2468</v>
      </c>
      <c r="C78" s="1" t="s">
        <v>2838</v>
      </c>
    </row>
    <row r="79" spans="1:3">
      <c r="A79" s="1" t="s">
        <v>3675</v>
      </c>
      <c r="B79" s="15" t="s">
        <v>3676</v>
      </c>
      <c r="C79" s="15" t="s">
        <v>3677</v>
      </c>
    </row>
    <row r="80" spans="1:3">
      <c r="A80" s="1" t="s">
        <v>3678</v>
      </c>
      <c r="B80" s="15" t="s">
        <v>2022</v>
      </c>
      <c r="C80" s="1" t="s">
        <v>2746</v>
      </c>
    </row>
    <row r="81" spans="1:3">
      <c r="A81" s="1" t="s">
        <v>3679</v>
      </c>
      <c r="B81" s="15" t="s">
        <v>3680</v>
      </c>
      <c r="C81" s="1" t="s">
        <v>3681</v>
      </c>
    </row>
    <row r="82" spans="1:3">
      <c r="A82" s="1" t="s">
        <v>3682</v>
      </c>
      <c r="B82" s="15" t="s">
        <v>3434</v>
      </c>
      <c r="C82" s="1" t="s">
        <v>3683</v>
      </c>
    </row>
    <row r="83" spans="1:3">
      <c r="A83" s="1" t="s">
        <v>3684</v>
      </c>
      <c r="B83" s="15" t="s">
        <v>3685</v>
      </c>
      <c r="C83" s="1" t="s">
        <v>3686</v>
      </c>
    </row>
    <row r="84" spans="1:3">
      <c r="A84" s="1" t="s">
        <v>3687</v>
      </c>
      <c r="B84" s="15" t="s">
        <v>3688</v>
      </c>
      <c r="C84" s="1" t="s">
        <v>3689</v>
      </c>
    </row>
    <row r="85" spans="1:3">
      <c r="A85" s="1" t="s">
        <v>3690</v>
      </c>
      <c r="B85" s="15" t="s">
        <v>30</v>
      </c>
      <c r="C85" s="1" t="s">
        <v>3691</v>
      </c>
    </row>
    <row r="86" spans="1:3">
      <c r="A86" s="1" t="s">
        <v>3692</v>
      </c>
      <c r="B86" s="15" t="s">
        <v>3537</v>
      </c>
      <c r="C86" s="1" t="s">
        <v>3693</v>
      </c>
    </row>
    <row r="87" spans="1:3">
      <c r="A87" s="1" t="s">
        <v>3694</v>
      </c>
      <c r="B87" s="15" t="s">
        <v>3695</v>
      </c>
      <c r="C87" s="1" t="s">
        <v>3696</v>
      </c>
    </row>
    <row r="88" spans="1:3">
      <c r="A88" s="1" t="s">
        <v>3697</v>
      </c>
      <c r="B88" s="15" t="s">
        <v>2710</v>
      </c>
      <c r="C88" s="1" t="s">
        <v>3698</v>
      </c>
    </row>
    <row r="89" spans="1:3">
      <c r="A89" s="1" t="s">
        <v>3699</v>
      </c>
      <c r="B89" s="15" t="s">
        <v>2377</v>
      </c>
      <c r="C89" s="1" t="s">
        <v>3700</v>
      </c>
    </row>
    <row r="90" spans="1:3">
      <c r="A90" s="1" t="s">
        <v>3701</v>
      </c>
      <c r="B90" s="15" t="s">
        <v>3702</v>
      </c>
      <c r="C90" s="1" t="s">
        <v>3703</v>
      </c>
    </row>
    <row r="91" spans="1:3">
      <c r="A91" s="1" t="s">
        <v>3704</v>
      </c>
      <c r="B91" s="15" t="s">
        <v>161</v>
      </c>
      <c r="C91" s="1" t="s">
        <v>3705</v>
      </c>
    </row>
    <row r="92" spans="1:3">
      <c r="A92" s="1" t="s">
        <v>3706</v>
      </c>
      <c r="B92" s="15" t="s">
        <v>2618</v>
      </c>
      <c r="C92" s="15" t="s">
        <v>3707</v>
      </c>
    </row>
    <row r="93" spans="1:3">
      <c r="A93" s="1" t="s">
        <v>3708</v>
      </c>
      <c r="B93" s="15" t="s">
        <v>3709</v>
      </c>
      <c r="C93" s="15" t="s">
        <v>3710</v>
      </c>
    </row>
    <row r="94" spans="1:3">
      <c r="A94" s="1" t="s">
        <v>3711</v>
      </c>
      <c r="B94" s="15" t="s">
        <v>322</v>
      </c>
      <c r="C94" s="15" t="s">
        <v>3712</v>
      </c>
    </row>
    <row r="95" spans="1:3">
      <c r="A95" s="1" t="s">
        <v>3713</v>
      </c>
      <c r="B95" s="15" t="s">
        <v>3714</v>
      </c>
      <c r="C95" s="1" t="s">
        <v>3715</v>
      </c>
    </row>
    <row r="96" spans="1:3">
      <c r="A96" s="1" t="s">
        <v>3716</v>
      </c>
      <c r="B96" s="15" t="s">
        <v>2919</v>
      </c>
      <c r="C96" s="1" t="s">
        <v>3717</v>
      </c>
    </row>
    <row r="97" spans="1:3">
      <c r="A97" s="1" t="s">
        <v>3718</v>
      </c>
      <c r="B97" s="15" t="s">
        <v>727</v>
      </c>
      <c r="C97" s="1" t="s">
        <v>3719</v>
      </c>
    </row>
    <row r="98" spans="1:3">
      <c r="A98" s="1" t="s">
        <v>3720</v>
      </c>
      <c r="B98" s="15" t="s">
        <v>467</v>
      </c>
      <c r="C98" s="1" t="s">
        <v>3721</v>
      </c>
    </row>
    <row r="99" spans="1:3">
      <c r="A99" s="1" t="s">
        <v>3722</v>
      </c>
      <c r="B99" s="15" t="s">
        <v>741</v>
      </c>
      <c r="C99" s="1" t="s">
        <v>3723</v>
      </c>
    </row>
    <row r="100" spans="1:3">
      <c r="A100" s="1" t="s">
        <v>3724</v>
      </c>
      <c r="B100" s="15" t="s">
        <v>2345</v>
      </c>
      <c r="C100" s="1" t="s">
        <v>3725</v>
      </c>
    </row>
    <row r="101" spans="1:3">
      <c r="A101" s="1" t="s">
        <v>3726</v>
      </c>
      <c r="B101" s="15" t="s">
        <v>3594</v>
      </c>
      <c r="C101" s="15" t="s">
        <v>3727</v>
      </c>
    </row>
    <row r="102" spans="1:3">
      <c r="A102" s="1" t="s">
        <v>3728</v>
      </c>
      <c r="B102" s="15" t="s">
        <v>90</v>
      </c>
      <c r="C102" s="15" t="s">
        <v>3729</v>
      </c>
    </row>
    <row r="103" spans="1:3">
      <c r="A103" s="1" t="s">
        <v>3730</v>
      </c>
      <c r="B103" s="15" t="s">
        <v>3731</v>
      </c>
      <c r="C103" s="15"/>
    </row>
    <row r="104" spans="1:3">
      <c r="A104" s="1" t="s">
        <v>3732</v>
      </c>
      <c r="B104" s="15" t="s">
        <v>227</v>
      </c>
      <c r="C104" s="15" t="s">
        <v>260</v>
      </c>
    </row>
    <row r="105" spans="1:3">
      <c r="A105" s="1" t="s">
        <v>3733</v>
      </c>
      <c r="B105" s="15" t="s">
        <v>3597</v>
      </c>
      <c r="C105" s="1" t="s">
        <v>3734</v>
      </c>
    </row>
    <row r="106" spans="1:3">
      <c r="A106" s="1" t="s">
        <v>3735</v>
      </c>
      <c r="B106" s="15" t="s">
        <v>90</v>
      </c>
      <c r="C106" s="1" t="s">
        <v>3729</v>
      </c>
    </row>
    <row r="107" spans="1:3">
      <c r="A107" s="1" t="s">
        <v>3736</v>
      </c>
      <c r="B107" s="15" t="s">
        <v>3543</v>
      </c>
      <c r="C107" s="1" t="s">
        <v>3737</v>
      </c>
    </row>
    <row r="108" spans="1:3">
      <c r="A108" s="1" t="s">
        <v>3738</v>
      </c>
      <c r="B108" s="15" t="s">
        <v>205</v>
      </c>
      <c r="C108" s="1" t="s">
        <v>3739</v>
      </c>
    </row>
    <row r="109" spans="1:3">
      <c r="A109" s="1" t="s">
        <v>3740</v>
      </c>
      <c r="B109" s="15" t="s">
        <v>741</v>
      </c>
      <c r="C109" s="1" t="s">
        <v>3741</v>
      </c>
    </row>
    <row r="110" spans="1:3">
      <c r="A110" s="1" t="s">
        <v>3742</v>
      </c>
      <c r="B110" s="15" t="s">
        <v>2377</v>
      </c>
      <c r="C110" s="1" t="s">
        <v>2498</v>
      </c>
    </row>
    <row r="111" spans="1:3">
      <c r="A111" s="1" t="s">
        <v>3743</v>
      </c>
      <c r="B111" s="15" t="s">
        <v>3744</v>
      </c>
      <c r="C111" s="15" t="s">
        <v>3745</v>
      </c>
    </row>
    <row r="112" spans="1:3">
      <c r="A112" s="1" t="s">
        <v>3746</v>
      </c>
      <c r="B112" s="15" t="s">
        <v>3747</v>
      </c>
      <c r="C112" s="1" t="s">
        <v>3748</v>
      </c>
    </row>
    <row r="113" spans="1:3">
      <c r="A113" s="1" t="s">
        <v>3749</v>
      </c>
      <c r="B113" s="15" t="s">
        <v>3543</v>
      </c>
      <c r="C113" s="1" t="s">
        <v>3750</v>
      </c>
    </row>
    <row r="114" spans="1:3">
      <c r="A114" s="1" t="s">
        <v>3751</v>
      </c>
      <c r="B114" s="15" t="s">
        <v>3543</v>
      </c>
      <c r="C114" s="1" t="s">
        <v>3752</v>
      </c>
    </row>
    <row r="115" spans="1:3">
      <c r="A115" s="1" t="s">
        <v>3753</v>
      </c>
      <c r="B115" s="15" t="s">
        <v>3754</v>
      </c>
      <c r="C115" s="15" t="s">
        <v>3755</v>
      </c>
    </row>
    <row r="116" spans="1:3">
      <c r="A116" s="1" t="s">
        <v>3756</v>
      </c>
      <c r="B116" s="15" t="s">
        <v>3757</v>
      </c>
      <c r="C116" s="15" t="s">
        <v>3758</v>
      </c>
    </row>
    <row r="117" spans="1:3">
      <c r="A117" s="1" t="s">
        <v>3759</v>
      </c>
      <c r="B117" s="15" t="s">
        <v>3760</v>
      </c>
      <c r="C117" s="1" t="s">
        <v>3761</v>
      </c>
    </row>
    <row r="118" spans="1:3">
      <c r="A118" s="1" t="s">
        <v>3762</v>
      </c>
      <c r="B118" s="15" t="s">
        <v>3763</v>
      </c>
      <c r="C118" s="1" t="s">
        <v>3764</v>
      </c>
    </row>
    <row r="119" spans="1:3">
      <c r="A119" s="1" t="s">
        <v>3765</v>
      </c>
      <c r="B119" s="15" t="s">
        <v>171</v>
      </c>
      <c r="C119" s="1" t="s">
        <v>3766</v>
      </c>
    </row>
    <row r="120" spans="1:3">
      <c r="A120" s="1" t="s">
        <v>3767</v>
      </c>
      <c r="B120" s="15" t="s">
        <v>3768</v>
      </c>
      <c r="C120" s="15" t="s">
        <v>2411</v>
      </c>
    </row>
    <row r="121" spans="1:3">
      <c r="A121" s="1" t="s">
        <v>3769</v>
      </c>
      <c r="B121" s="15" t="s">
        <v>3770</v>
      </c>
      <c r="C121" s="15" t="s">
        <v>3771</v>
      </c>
    </row>
    <row r="122" spans="1:3">
      <c r="A122" s="1" t="s">
        <v>3772</v>
      </c>
      <c r="B122" s="15" t="s">
        <v>1254</v>
      </c>
      <c r="C122" s="1" t="s">
        <v>3773</v>
      </c>
    </row>
    <row r="123" spans="1:3">
      <c r="A123" s="1" t="s">
        <v>3774</v>
      </c>
      <c r="B123" s="15" t="s">
        <v>3519</v>
      </c>
      <c r="C123" s="15" t="s">
        <v>3775</v>
      </c>
    </row>
    <row r="124" spans="1:3">
      <c r="A124" s="1" t="s">
        <v>3776</v>
      </c>
      <c r="B124" s="15" t="s">
        <v>3777</v>
      </c>
      <c r="C124" s="15" t="s">
        <v>3778</v>
      </c>
    </row>
    <row r="125" spans="1:3">
      <c r="A125" s="1" t="s">
        <v>3779</v>
      </c>
      <c r="B125" s="15" t="s">
        <v>2413</v>
      </c>
      <c r="C125" s="15" t="s">
        <v>3780</v>
      </c>
    </row>
    <row r="126" spans="1:3">
      <c r="A126" s="1" t="s">
        <v>3781</v>
      </c>
      <c r="B126" s="15" t="s">
        <v>3562</v>
      </c>
      <c r="C126" s="15" t="s">
        <v>3782</v>
      </c>
    </row>
    <row r="127" spans="1:3">
      <c r="A127" s="1" t="s">
        <v>3783</v>
      </c>
      <c r="B127" s="15" t="s">
        <v>3784</v>
      </c>
      <c r="C127" s="15" t="s">
        <v>3785</v>
      </c>
    </row>
    <row r="128" spans="1:3">
      <c r="A128" s="1" t="s">
        <v>3786</v>
      </c>
      <c r="B128" s="15" t="s">
        <v>3787</v>
      </c>
      <c r="C128" s="1" t="s">
        <v>3788</v>
      </c>
    </row>
    <row r="129" spans="1:3">
      <c r="A129" s="1" t="s">
        <v>3789</v>
      </c>
      <c r="B129" s="15" t="s">
        <v>3790</v>
      </c>
      <c r="C129" s="1" t="s">
        <v>3791</v>
      </c>
    </row>
    <row r="130" spans="1:3">
      <c r="A130" s="1" t="s">
        <v>3792</v>
      </c>
      <c r="B130" s="15" t="s">
        <v>13</v>
      </c>
      <c r="C130" s="1" t="s">
        <v>2571</v>
      </c>
    </row>
    <row r="131" spans="1:3">
      <c r="A131" s="1" t="s">
        <v>3793</v>
      </c>
      <c r="B131" s="15" t="s">
        <v>1634</v>
      </c>
      <c r="C131" s="1" t="s">
        <v>3794</v>
      </c>
    </row>
    <row r="132" spans="1:3">
      <c r="A132" s="1" t="s">
        <v>3795</v>
      </c>
      <c r="B132" s="15" t="s">
        <v>2413</v>
      </c>
      <c r="C132" s="15" t="s">
        <v>3796</v>
      </c>
    </row>
    <row r="133" spans="1:3">
      <c r="A133" s="1" t="s">
        <v>3797</v>
      </c>
      <c r="B133" s="15" t="s">
        <v>3790</v>
      </c>
      <c r="C133" s="1" t="s">
        <v>3798</v>
      </c>
    </row>
    <row r="134" spans="1:3">
      <c r="A134" s="1" t="s">
        <v>3799</v>
      </c>
      <c r="B134" s="15" t="s">
        <v>16</v>
      </c>
      <c r="C134" s="1" t="s">
        <v>2529</v>
      </c>
    </row>
    <row r="135" spans="1:3">
      <c r="A135" s="1" t="s">
        <v>3800</v>
      </c>
      <c r="B135" s="15" t="s">
        <v>2591</v>
      </c>
      <c r="C135" s="1" t="s">
        <v>3801</v>
      </c>
    </row>
    <row r="136" spans="1:3">
      <c r="A136" s="1" t="s">
        <v>3802</v>
      </c>
      <c r="B136" s="15" t="s">
        <v>3803</v>
      </c>
      <c r="C136" s="1" t="s">
        <v>3804</v>
      </c>
    </row>
    <row r="137" spans="1:3">
      <c r="A137" s="1" t="s">
        <v>3805</v>
      </c>
      <c r="B137" s="15" t="s">
        <v>3519</v>
      </c>
      <c r="C137" s="1" t="s">
        <v>3806</v>
      </c>
    </row>
    <row r="138" spans="1:3">
      <c r="A138" s="1" t="s">
        <v>3807</v>
      </c>
      <c r="B138" s="15" t="s">
        <v>3808</v>
      </c>
      <c r="C138" s="15" t="s">
        <v>3809</v>
      </c>
    </row>
    <row r="139" spans="1:3">
      <c r="A139" s="1" t="s">
        <v>3810</v>
      </c>
      <c r="B139" s="15" t="s">
        <v>3811</v>
      </c>
      <c r="C139" s="1" t="s">
        <v>3812</v>
      </c>
    </row>
    <row r="140" spans="1:3">
      <c r="A140" s="1" t="s">
        <v>3813</v>
      </c>
      <c r="B140" s="15" t="s">
        <v>3814</v>
      </c>
      <c r="C140" s="1" t="s">
        <v>3815</v>
      </c>
    </row>
    <row r="141" spans="1:3">
      <c r="A141" s="1" t="s">
        <v>3816</v>
      </c>
      <c r="B141" s="15" t="s">
        <v>2587</v>
      </c>
      <c r="C141" s="1" t="s">
        <v>3817</v>
      </c>
    </row>
    <row r="142" spans="1:3">
      <c r="A142" s="1" t="s">
        <v>3818</v>
      </c>
      <c r="B142" s="15" t="s">
        <v>3819</v>
      </c>
      <c r="C142" s="15" t="s">
        <v>3820</v>
      </c>
    </row>
    <row r="143" spans="1:3">
      <c r="A143" s="1" t="s">
        <v>3821</v>
      </c>
      <c r="B143" s="15" t="s">
        <v>2587</v>
      </c>
      <c r="C143" s="1" t="s">
        <v>3822</v>
      </c>
    </row>
    <row r="144" spans="1:3">
      <c r="A144" s="1" t="s">
        <v>3823</v>
      </c>
      <c r="B144" s="15" t="s">
        <v>3537</v>
      </c>
      <c r="C144" s="1" t="s">
        <v>3824</v>
      </c>
    </row>
    <row r="145" spans="1:3">
      <c r="A145" s="1" t="s">
        <v>3825</v>
      </c>
      <c r="B145" s="15" t="s">
        <v>3826</v>
      </c>
      <c r="C145" s="1" t="s">
        <v>3827</v>
      </c>
    </row>
    <row r="146" spans="1:3">
      <c r="A146" s="1" t="s">
        <v>3828</v>
      </c>
      <c r="B146" s="15" t="s">
        <v>39</v>
      </c>
      <c r="C146" s="15" t="s">
        <v>3829</v>
      </c>
    </row>
    <row r="147" spans="1:3">
      <c r="A147" s="1" t="s">
        <v>3830</v>
      </c>
      <c r="B147" s="15" t="s">
        <v>2413</v>
      </c>
      <c r="C147" s="1" t="s">
        <v>3831</v>
      </c>
    </row>
    <row r="148" spans="1:3">
      <c r="A148" s="1" t="s">
        <v>3832</v>
      </c>
      <c r="B148" s="15" t="s">
        <v>3659</v>
      </c>
      <c r="C148" s="1" t="s">
        <v>3833</v>
      </c>
    </row>
    <row r="149" spans="1:3">
      <c r="A149" s="1" t="s">
        <v>3834</v>
      </c>
      <c r="B149" s="15" t="s">
        <v>3826</v>
      </c>
      <c r="C149" s="1" t="s">
        <v>3827</v>
      </c>
    </row>
    <row r="150" spans="1:3">
      <c r="A150" s="1" t="s">
        <v>3835</v>
      </c>
      <c r="B150" s="15" t="s">
        <v>16</v>
      </c>
      <c r="C150" s="15" t="s">
        <v>2644</v>
      </c>
    </row>
    <row r="151" spans="1:3">
      <c r="A151" s="1" t="s">
        <v>3836</v>
      </c>
      <c r="B151" s="15" t="s">
        <v>3537</v>
      </c>
      <c r="C151" s="1" t="s">
        <v>3837</v>
      </c>
    </row>
    <row r="152" spans="1:3">
      <c r="A152" s="1" t="s">
        <v>3838</v>
      </c>
      <c r="B152" s="15" t="s">
        <v>75</v>
      </c>
      <c r="C152" s="1" t="s">
        <v>1196</v>
      </c>
    </row>
    <row r="153" spans="1:3">
      <c r="A153" s="1" t="s">
        <v>3839</v>
      </c>
      <c r="B153" s="15" t="s">
        <v>118</v>
      </c>
      <c r="C153" s="15" t="s">
        <v>3840</v>
      </c>
    </row>
    <row r="154" spans="1:3">
      <c r="A154" s="15" t="s">
        <v>3841</v>
      </c>
      <c r="B154" s="15" t="s">
        <v>2587</v>
      </c>
      <c r="C154" s="15" t="s">
        <v>3842</v>
      </c>
    </row>
    <row r="155" spans="1:3">
      <c r="A155" s="1" t="s">
        <v>3843</v>
      </c>
      <c r="B155" s="15" t="s">
        <v>3627</v>
      </c>
      <c r="C155" s="1" t="s">
        <v>3844</v>
      </c>
    </row>
    <row r="156" spans="1:3">
      <c r="A156" s="1" t="s">
        <v>3845</v>
      </c>
      <c r="B156" s="15" t="s">
        <v>3787</v>
      </c>
      <c r="C156" s="1" t="s">
        <v>3846</v>
      </c>
    </row>
    <row r="157" spans="1:3">
      <c r="A157" s="1" t="s">
        <v>3847</v>
      </c>
      <c r="B157" s="15" t="s">
        <v>3562</v>
      </c>
      <c r="C157" s="1" t="s">
        <v>3848</v>
      </c>
    </row>
    <row r="158" spans="1:3">
      <c r="A158" s="1" t="s">
        <v>3849</v>
      </c>
      <c r="B158" s="15" t="s">
        <v>827</v>
      </c>
      <c r="C158" s="1" t="s">
        <v>3850</v>
      </c>
    </row>
    <row r="159" spans="1:3">
      <c r="A159" s="1" t="s">
        <v>3851</v>
      </c>
      <c r="B159" s="15" t="s">
        <v>2303</v>
      </c>
      <c r="C159" s="15" t="s">
        <v>3852</v>
      </c>
    </row>
    <row r="160" spans="1:3">
      <c r="A160" s="1" t="s">
        <v>3853</v>
      </c>
      <c r="B160" s="15" t="s">
        <v>3854</v>
      </c>
      <c r="C160" s="15" t="s">
        <v>3855</v>
      </c>
    </row>
    <row r="161" spans="1:3">
      <c r="A161" s="1" t="s">
        <v>3856</v>
      </c>
      <c r="B161" s="15" t="s">
        <v>2468</v>
      </c>
      <c r="C161" s="1" t="s">
        <v>2724</v>
      </c>
    </row>
    <row r="162" spans="1:3">
      <c r="A162" s="1" t="s">
        <v>3857</v>
      </c>
      <c r="B162" s="15" t="s">
        <v>3858</v>
      </c>
      <c r="C162" s="1" t="s">
        <v>3859</v>
      </c>
    </row>
    <row r="163" spans="1:3">
      <c r="A163" s="1" t="s">
        <v>3860</v>
      </c>
      <c r="B163" s="15" t="s">
        <v>168</v>
      </c>
      <c r="C163" s="1" t="s">
        <v>3861</v>
      </c>
    </row>
    <row r="164" spans="1:3">
      <c r="A164" s="1" t="s">
        <v>3862</v>
      </c>
      <c r="B164" s="15" t="s">
        <v>3863</v>
      </c>
      <c r="C164" s="1" t="s">
        <v>3864</v>
      </c>
    </row>
    <row r="165" spans="1:3">
      <c r="A165" s="1" t="s">
        <v>3865</v>
      </c>
      <c r="B165" s="15" t="s">
        <v>227</v>
      </c>
      <c r="C165" s="1" t="s">
        <v>260</v>
      </c>
    </row>
    <row r="166" spans="1:3">
      <c r="A166" s="1" t="s">
        <v>3866</v>
      </c>
      <c r="B166" s="15" t="s">
        <v>2555</v>
      </c>
      <c r="C166" s="1" t="s">
        <v>3867</v>
      </c>
    </row>
    <row r="167" spans="1:3">
      <c r="A167" s="1" t="s">
        <v>3868</v>
      </c>
      <c r="B167" s="15" t="s">
        <v>1811</v>
      </c>
      <c r="C167" s="15" t="s">
        <v>2627</v>
      </c>
    </row>
    <row r="168" spans="1:3">
      <c r="A168" s="1" t="s">
        <v>3869</v>
      </c>
      <c r="B168" s="15" t="s">
        <v>2567</v>
      </c>
      <c r="C168" s="1" t="s">
        <v>2629</v>
      </c>
    </row>
    <row r="169" spans="1:3">
      <c r="A169" s="1" t="s">
        <v>3870</v>
      </c>
      <c r="B169" s="15" t="s">
        <v>727</v>
      </c>
      <c r="C169" s="1" t="s">
        <v>3871</v>
      </c>
    </row>
    <row r="170" spans="1:3">
      <c r="A170" s="1" t="s">
        <v>3872</v>
      </c>
      <c r="B170" s="15" t="s">
        <v>2715</v>
      </c>
      <c r="C170" s="1" t="s">
        <v>3873</v>
      </c>
    </row>
    <row r="171" spans="1:3">
      <c r="A171" s="1" t="s">
        <v>3874</v>
      </c>
      <c r="B171" s="15" t="s">
        <v>198</v>
      </c>
      <c r="C171" s="15" t="s">
        <v>3875</v>
      </c>
    </row>
    <row r="172" spans="1:3">
      <c r="A172" s="1" t="s">
        <v>3876</v>
      </c>
      <c r="B172" s="15" t="s">
        <v>168</v>
      </c>
      <c r="C172" s="15" t="s">
        <v>3877</v>
      </c>
    </row>
    <row r="173" spans="1:3">
      <c r="A173" s="1" t="s">
        <v>3878</v>
      </c>
      <c r="B173" s="15" t="s">
        <v>1415</v>
      </c>
      <c r="C173" s="15" t="s">
        <v>3879</v>
      </c>
    </row>
    <row r="174" spans="1:3">
      <c r="A174" s="1" t="s">
        <v>3880</v>
      </c>
      <c r="B174" s="15" t="s">
        <v>3191</v>
      </c>
      <c r="C174" s="1" t="s">
        <v>3881</v>
      </c>
    </row>
    <row r="175" spans="1:3">
      <c r="A175" s="1" t="s">
        <v>3882</v>
      </c>
      <c r="B175" s="15" t="s">
        <v>3627</v>
      </c>
      <c r="C175" s="1" t="s">
        <v>3883</v>
      </c>
    </row>
    <row r="176" spans="1:3">
      <c r="A176" s="1" t="s">
        <v>3884</v>
      </c>
      <c r="B176" s="15" t="s">
        <v>3790</v>
      </c>
      <c r="C176" s="1" t="s">
        <v>3885</v>
      </c>
    </row>
    <row r="177" spans="1:3">
      <c r="A177" s="1" t="s">
        <v>3886</v>
      </c>
      <c r="B177" s="15" t="s">
        <v>727</v>
      </c>
      <c r="C177" s="1" t="s">
        <v>3887</v>
      </c>
    </row>
    <row r="178" spans="1:3">
      <c r="A178" s="1" t="s">
        <v>3888</v>
      </c>
      <c r="B178" s="15" t="s">
        <v>3889</v>
      </c>
      <c r="C178" s="15" t="s">
        <v>2737</v>
      </c>
    </row>
    <row r="179" spans="1:3">
      <c r="A179" s="1" t="s">
        <v>3890</v>
      </c>
      <c r="B179" s="15" t="s">
        <v>2523</v>
      </c>
      <c r="C179" s="15" t="s">
        <v>2524</v>
      </c>
    </row>
    <row r="180" spans="1:3">
      <c r="A180" s="1" t="s">
        <v>3891</v>
      </c>
      <c r="B180" s="15" t="s">
        <v>75</v>
      </c>
      <c r="C180" s="1" t="s">
        <v>3892</v>
      </c>
    </row>
    <row r="181" spans="1:3">
      <c r="A181" s="1" t="s">
        <v>3893</v>
      </c>
      <c r="B181" s="15" t="s">
        <v>727</v>
      </c>
      <c r="C181" s="1" t="s">
        <v>3894</v>
      </c>
    </row>
    <row r="182" spans="1:3">
      <c r="A182" s="1" t="s">
        <v>3895</v>
      </c>
      <c r="B182" s="15" t="s">
        <v>3896</v>
      </c>
      <c r="C182" s="15" t="s">
        <v>2657</v>
      </c>
    </row>
    <row r="183" spans="1:3">
      <c r="A183" s="1" t="s">
        <v>3897</v>
      </c>
      <c r="B183" s="15" t="s">
        <v>2687</v>
      </c>
      <c r="C183" s="15" t="s">
        <v>2688</v>
      </c>
    </row>
    <row r="184" spans="1:3">
      <c r="A184" s="1" t="s">
        <v>3898</v>
      </c>
      <c r="B184" s="15" t="s">
        <v>3899</v>
      </c>
      <c r="C184" s="1" t="s">
        <v>2664</v>
      </c>
    </row>
    <row r="185" spans="1:3">
      <c r="A185" s="1" t="s">
        <v>3900</v>
      </c>
      <c r="B185" s="15" t="s">
        <v>2555</v>
      </c>
      <c r="C185" s="1" t="s">
        <v>3901</v>
      </c>
    </row>
    <row r="186" spans="1:3">
      <c r="A186" s="1" t="s">
        <v>3902</v>
      </c>
      <c r="B186" s="15" t="s">
        <v>322</v>
      </c>
      <c r="C186" s="15" t="s">
        <v>3903</v>
      </c>
    </row>
    <row r="187" spans="1:3">
      <c r="A187" s="1" t="s">
        <v>3904</v>
      </c>
      <c r="B187" s="15" t="s">
        <v>3543</v>
      </c>
      <c r="C187" s="1" t="s">
        <v>3905</v>
      </c>
    </row>
    <row r="188" spans="1:3">
      <c r="A188" s="1" t="s">
        <v>3906</v>
      </c>
      <c r="B188" s="15" t="s">
        <v>3519</v>
      </c>
      <c r="C188" s="1" t="s">
        <v>3907</v>
      </c>
    </row>
    <row r="189" spans="1:3">
      <c r="A189" s="1" t="s">
        <v>3908</v>
      </c>
      <c r="B189" s="15" t="s">
        <v>495</v>
      </c>
      <c r="C189" s="1" t="s">
        <v>3909</v>
      </c>
    </row>
    <row r="190" spans="1:3">
      <c r="A190" s="1" t="s">
        <v>3910</v>
      </c>
      <c r="B190" s="15" t="s">
        <v>118</v>
      </c>
      <c r="C190" s="1" t="s">
        <v>3911</v>
      </c>
    </row>
    <row r="191" spans="1:3">
      <c r="A191" s="1" t="s">
        <v>3912</v>
      </c>
      <c r="B191" s="15" t="s">
        <v>2377</v>
      </c>
      <c r="C191" s="15" t="s">
        <v>3913</v>
      </c>
    </row>
    <row r="192" spans="1:3">
      <c r="A192" s="1" t="s">
        <v>3914</v>
      </c>
      <c r="B192" s="15" t="s">
        <v>3915</v>
      </c>
      <c r="C192" s="1" t="s">
        <v>3916</v>
      </c>
    </row>
    <row r="193" spans="1:3">
      <c r="A193" s="1" t="s">
        <v>3917</v>
      </c>
      <c r="B193" s="15" t="s">
        <v>2618</v>
      </c>
      <c r="C193" s="1" t="s">
        <v>2619</v>
      </c>
    </row>
    <row r="194" spans="1:3">
      <c r="A194" s="1" t="s">
        <v>3918</v>
      </c>
      <c r="B194" s="15" t="s">
        <v>3191</v>
      </c>
      <c r="C194" s="15" t="s">
        <v>3919</v>
      </c>
    </row>
    <row r="195" spans="1:3">
      <c r="A195" s="1" t="s">
        <v>3920</v>
      </c>
      <c r="B195" s="15" t="s">
        <v>3364</v>
      </c>
      <c r="C195" s="15" t="s">
        <v>3921</v>
      </c>
    </row>
    <row r="196" spans="1:3">
      <c r="A196" s="1" t="s">
        <v>3922</v>
      </c>
      <c r="B196" s="15" t="s">
        <v>161</v>
      </c>
      <c r="C196" s="15" t="s">
        <v>3034</v>
      </c>
    </row>
    <row r="197" spans="1:3">
      <c r="A197" s="1" t="s">
        <v>3923</v>
      </c>
      <c r="B197" s="15" t="s">
        <v>1634</v>
      </c>
      <c r="C197" s="15" t="s">
        <v>3924</v>
      </c>
    </row>
    <row r="198" spans="1:3">
      <c r="A198" s="1" t="s">
        <v>3925</v>
      </c>
      <c r="B198" s="15" t="s">
        <v>3926</v>
      </c>
      <c r="C198" s="15" t="s">
        <v>3927</v>
      </c>
    </row>
    <row r="199" spans="1:3">
      <c r="A199" s="1" t="s">
        <v>3928</v>
      </c>
      <c r="B199" s="15" t="s">
        <v>3201</v>
      </c>
      <c r="C199" s="15" t="s">
        <v>3929</v>
      </c>
    </row>
    <row r="200" spans="1:3">
      <c r="A200" s="1" t="s">
        <v>3930</v>
      </c>
      <c r="B200" s="15" t="s">
        <v>322</v>
      </c>
      <c r="C200" s="1" t="s">
        <v>3931</v>
      </c>
    </row>
    <row r="201" spans="1:3">
      <c r="A201" s="1" t="s">
        <v>3932</v>
      </c>
      <c r="B201" s="15" t="s">
        <v>3858</v>
      </c>
      <c r="C201" s="15" t="s">
        <v>2700</v>
      </c>
    </row>
    <row r="202" spans="1:3">
      <c r="A202" s="1" t="s">
        <v>3933</v>
      </c>
      <c r="B202" s="15" t="s">
        <v>3770</v>
      </c>
      <c r="C202" s="15" t="s">
        <v>3934</v>
      </c>
    </row>
    <row r="203" spans="1:3">
      <c r="A203" s="1" t="s">
        <v>3935</v>
      </c>
      <c r="B203" s="15" t="s">
        <v>3434</v>
      </c>
      <c r="C203" s="15" t="s">
        <v>2768</v>
      </c>
    </row>
    <row r="204" spans="1:3">
      <c r="A204" s="1" t="s">
        <v>3936</v>
      </c>
      <c r="B204" s="15" t="s">
        <v>33</v>
      </c>
      <c r="C204" s="15" t="s">
        <v>3937</v>
      </c>
    </row>
    <row r="205" spans="1:3">
      <c r="A205" s="1" t="s">
        <v>3938</v>
      </c>
      <c r="B205" s="15" t="s">
        <v>1032</v>
      </c>
      <c r="C205" s="1" t="s">
        <v>2606</v>
      </c>
    </row>
    <row r="206" spans="1:3">
      <c r="A206" s="1" t="s">
        <v>3939</v>
      </c>
      <c r="B206" s="15" t="s">
        <v>3940</v>
      </c>
      <c r="C206" s="15" t="s">
        <v>3941</v>
      </c>
    </row>
    <row r="207" spans="1:3">
      <c r="A207" s="1" t="s">
        <v>3942</v>
      </c>
      <c r="B207" s="15" t="s">
        <v>2587</v>
      </c>
      <c r="C207" s="1" t="s">
        <v>3817</v>
      </c>
    </row>
    <row r="208" spans="1:3">
      <c r="A208" s="1" t="s">
        <v>3943</v>
      </c>
      <c r="B208" s="15" t="s">
        <v>2377</v>
      </c>
      <c r="C208" s="1" t="s">
        <v>2504</v>
      </c>
    </row>
    <row r="209" spans="1:3">
      <c r="A209" s="1" t="s">
        <v>3944</v>
      </c>
      <c r="B209" s="15" t="s">
        <v>3763</v>
      </c>
      <c r="C209" s="1" t="s">
        <v>3945</v>
      </c>
    </row>
    <row r="210" spans="1:3">
      <c r="A210" s="1" t="s">
        <v>3946</v>
      </c>
      <c r="B210" s="15" t="s">
        <v>161</v>
      </c>
      <c r="C210" s="1" t="s">
        <v>3947</v>
      </c>
    </row>
    <row r="211" spans="1:3">
      <c r="A211" s="1" t="s">
        <v>3948</v>
      </c>
      <c r="B211" s="15" t="s">
        <v>1429</v>
      </c>
      <c r="C211" s="1" t="s">
        <v>3949</v>
      </c>
    </row>
    <row r="212" spans="1:3">
      <c r="A212" s="1" t="s">
        <v>3950</v>
      </c>
      <c r="B212" s="15" t="s">
        <v>3951</v>
      </c>
      <c r="C212" s="1" t="s">
        <v>3952</v>
      </c>
    </row>
    <row r="213" spans="1:3">
      <c r="A213" s="1" t="s">
        <v>3953</v>
      </c>
      <c r="B213" s="15" t="s">
        <v>3543</v>
      </c>
      <c r="C213" s="1" t="s">
        <v>3954</v>
      </c>
    </row>
    <row r="214" spans="1:3">
      <c r="A214" s="1" t="s">
        <v>3955</v>
      </c>
      <c r="B214" s="15" t="s">
        <v>198</v>
      </c>
      <c r="C214" s="1" t="s">
        <v>3956</v>
      </c>
    </row>
    <row r="215" spans="1:3">
      <c r="A215" s="1" t="s">
        <v>3957</v>
      </c>
      <c r="B215" s="15" t="s">
        <v>827</v>
      </c>
      <c r="C215" s="1" t="s">
        <v>3958</v>
      </c>
    </row>
    <row r="216" spans="1:3">
      <c r="A216" s="1" t="s">
        <v>3959</v>
      </c>
      <c r="B216" s="15" t="s">
        <v>635</v>
      </c>
      <c r="C216" s="15" t="s">
        <v>3960</v>
      </c>
    </row>
    <row r="217" spans="1:3">
      <c r="A217" s="1" t="s">
        <v>3961</v>
      </c>
      <c r="B217" s="15" t="s">
        <v>3962</v>
      </c>
      <c r="C217" s="15" t="s">
        <v>3963</v>
      </c>
    </row>
    <row r="218" spans="1:3">
      <c r="A218" s="1" t="s">
        <v>3964</v>
      </c>
      <c r="B218" s="15" t="s">
        <v>3522</v>
      </c>
      <c r="C218" s="15" t="s">
        <v>3965</v>
      </c>
    </row>
    <row r="219" spans="1:3">
      <c r="A219" s="1" t="s">
        <v>3966</v>
      </c>
      <c r="B219" s="15" t="s">
        <v>322</v>
      </c>
      <c r="C219" s="15" t="s">
        <v>3967</v>
      </c>
    </row>
    <row r="220" spans="1:3">
      <c r="A220" s="1" t="s">
        <v>3968</v>
      </c>
      <c r="B220" s="15" t="s">
        <v>30</v>
      </c>
      <c r="C220" s="15" t="s">
        <v>3969</v>
      </c>
    </row>
    <row r="221" spans="1:3">
      <c r="A221" s="1" t="s">
        <v>3970</v>
      </c>
      <c r="B221" s="15" t="s">
        <v>3747</v>
      </c>
      <c r="C221" s="15" t="s">
        <v>3971</v>
      </c>
    </row>
    <row r="222" spans="1:3">
      <c r="A222" s="1" t="s">
        <v>3972</v>
      </c>
      <c r="B222" s="15" t="s">
        <v>3973</v>
      </c>
      <c r="C222" s="15" t="s">
        <v>3974</v>
      </c>
    </row>
    <row r="223" spans="1:3">
      <c r="A223" s="1" t="s">
        <v>3975</v>
      </c>
      <c r="B223" s="15" t="s">
        <v>2732</v>
      </c>
      <c r="C223" s="1" t="s">
        <v>3976</v>
      </c>
    </row>
    <row r="224" spans="1:3">
      <c r="A224" s="1" t="s">
        <v>3977</v>
      </c>
      <c r="B224" s="15" t="s">
        <v>1463</v>
      </c>
      <c r="C224" s="1" t="s">
        <v>2740</v>
      </c>
    </row>
    <row r="225" spans="1:3">
      <c r="A225" s="1" t="s">
        <v>3978</v>
      </c>
      <c r="B225" s="15" t="s">
        <v>16</v>
      </c>
      <c r="C225" s="1" t="s">
        <v>2705</v>
      </c>
    </row>
    <row r="226" spans="1:3">
      <c r="A226" s="1" t="s">
        <v>3979</v>
      </c>
      <c r="B226" s="15" t="s">
        <v>3980</v>
      </c>
      <c r="C226" s="15" t="s">
        <v>3981</v>
      </c>
    </row>
    <row r="227" spans="1:3">
      <c r="A227" s="1" t="s">
        <v>3982</v>
      </c>
      <c r="B227" s="15" t="s">
        <v>2018</v>
      </c>
      <c r="C227" s="15" t="s">
        <v>3983</v>
      </c>
    </row>
    <row r="228" spans="1:3">
      <c r="A228" s="15" t="s">
        <v>3984</v>
      </c>
      <c r="B228" s="15" t="s">
        <v>16</v>
      </c>
      <c r="C228" s="1" t="s">
        <v>2644</v>
      </c>
    </row>
    <row r="229" spans="1:3">
      <c r="A229" s="1" t="s">
        <v>3985</v>
      </c>
      <c r="B229" s="15" t="s">
        <v>3986</v>
      </c>
      <c r="C229" s="1" t="s">
        <v>2396</v>
      </c>
    </row>
    <row r="230" spans="1:3">
      <c r="A230" s="1" t="s">
        <v>3987</v>
      </c>
      <c r="B230" s="15" t="s">
        <v>3608</v>
      </c>
      <c r="C230" s="1" t="s">
        <v>3988</v>
      </c>
    </row>
    <row r="231" spans="1:3">
      <c r="A231" s="1" t="s">
        <v>3989</v>
      </c>
      <c r="B231" s="15" t="s">
        <v>3754</v>
      </c>
      <c r="C231" s="15" t="s">
        <v>3990</v>
      </c>
    </row>
    <row r="232" spans="1:3">
      <c r="A232" s="1" t="s">
        <v>3991</v>
      </c>
      <c r="B232" s="15" t="s">
        <v>3992</v>
      </c>
      <c r="C232" s="15" t="s">
        <v>3993</v>
      </c>
    </row>
    <row r="233" spans="1:3">
      <c r="A233" s="1" t="s">
        <v>3994</v>
      </c>
      <c r="B233" s="15" t="s">
        <v>198</v>
      </c>
      <c r="C233" s="1" t="s">
        <v>2718</v>
      </c>
    </row>
    <row r="234" spans="1:3">
      <c r="A234" s="1" t="s">
        <v>3995</v>
      </c>
      <c r="B234" s="15" t="s">
        <v>33</v>
      </c>
      <c r="C234" s="1" t="s">
        <v>3996</v>
      </c>
    </row>
    <row r="235" spans="1:3">
      <c r="A235" s="1" t="s">
        <v>3997</v>
      </c>
      <c r="B235" s="15" t="s">
        <v>3998</v>
      </c>
      <c r="C235" s="1" t="s">
        <v>3999</v>
      </c>
    </row>
    <row r="236" spans="1:3">
      <c r="A236" s="1" t="s">
        <v>4000</v>
      </c>
      <c r="B236" s="15" t="s">
        <v>4001</v>
      </c>
      <c r="C236" s="15" t="s">
        <v>4002</v>
      </c>
    </row>
    <row r="237" spans="1:3">
      <c r="A237" s="15" t="s">
        <v>4003</v>
      </c>
      <c r="B237" s="15" t="s">
        <v>2377</v>
      </c>
      <c r="C237" s="15" t="s">
        <v>2756</v>
      </c>
    </row>
    <row r="238" spans="1:3">
      <c r="A238" s="1" t="s">
        <v>4004</v>
      </c>
      <c r="B238" s="15" t="s">
        <v>3654</v>
      </c>
      <c r="C238" s="1" t="s">
        <v>4005</v>
      </c>
    </row>
    <row r="239" spans="1:3">
      <c r="A239" s="1" t="s">
        <v>4006</v>
      </c>
      <c r="B239" s="15" t="s">
        <v>2520</v>
      </c>
      <c r="C239" s="15" t="s">
        <v>4007</v>
      </c>
    </row>
    <row r="240" spans="1:3">
      <c r="A240" s="1" t="s">
        <v>4008</v>
      </c>
      <c r="B240" s="15" t="s">
        <v>3627</v>
      </c>
      <c r="C240" s="15" t="s">
        <v>2868</v>
      </c>
    </row>
    <row r="241" spans="1:3">
      <c r="A241" s="1" t="s">
        <v>4009</v>
      </c>
      <c r="B241" s="15" t="s">
        <v>37</v>
      </c>
      <c r="C241" s="15" t="s">
        <v>38</v>
      </c>
    </row>
    <row r="242" spans="1:3">
      <c r="A242" s="1" t="s">
        <v>4010</v>
      </c>
      <c r="B242" s="15" t="s">
        <v>2377</v>
      </c>
      <c r="C242" s="15" t="s">
        <v>2756</v>
      </c>
    </row>
    <row r="243" spans="1:3">
      <c r="A243" s="1" t="s">
        <v>4011</v>
      </c>
      <c r="B243" s="15" t="s">
        <v>2303</v>
      </c>
      <c r="C243" s="15" t="s">
        <v>4012</v>
      </c>
    </row>
    <row r="244" spans="1:3">
      <c r="A244" s="1" t="s">
        <v>4013</v>
      </c>
      <c r="B244" s="15" t="s">
        <v>168</v>
      </c>
      <c r="C244" s="1" t="s">
        <v>4014</v>
      </c>
    </row>
    <row r="245" spans="1:3">
      <c r="A245" s="1" t="s">
        <v>4015</v>
      </c>
      <c r="B245" s="15" t="s">
        <v>727</v>
      </c>
      <c r="C245" s="1" t="s">
        <v>4016</v>
      </c>
    </row>
    <row r="246" spans="1:3">
      <c r="A246" s="1" t="s">
        <v>4017</v>
      </c>
      <c r="B246" s="15" t="s">
        <v>3522</v>
      </c>
      <c r="C246" s="1" t="s">
        <v>4018</v>
      </c>
    </row>
    <row r="247" spans="1:3">
      <c r="A247" s="1" t="s">
        <v>4019</v>
      </c>
      <c r="B247" s="15" t="s">
        <v>16</v>
      </c>
      <c r="C247" s="1" t="s">
        <v>2705</v>
      </c>
    </row>
    <row r="248" spans="1:3">
      <c r="A248" s="1" t="s">
        <v>4020</v>
      </c>
      <c r="B248" s="15" t="s">
        <v>3594</v>
      </c>
      <c r="C248" s="1" t="s">
        <v>4021</v>
      </c>
    </row>
    <row r="249" spans="1:3">
      <c r="A249" s="1" t="s">
        <v>4022</v>
      </c>
      <c r="B249" s="15" t="s">
        <v>3434</v>
      </c>
      <c r="C249" s="1" t="s">
        <v>2806</v>
      </c>
    </row>
    <row r="250" spans="1:3">
      <c r="A250" s="1" t="s">
        <v>4023</v>
      </c>
      <c r="B250" s="15" t="s">
        <v>3532</v>
      </c>
      <c r="C250" s="1" t="s">
        <v>4024</v>
      </c>
    </row>
    <row r="251" spans="1:3">
      <c r="A251" s="15" t="s">
        <v>4025</v>
      </c>
      <c r="B251" s="15" t="s">
        <v>161</v>
      </c>
      <c r="C251" s="15" t="s">
        <v>3034</v>
      </c>
    </row>
    <row r="252" spans="1:3">
      <c r="A252" s="1" t="s">
        <v>4026</v>
      </c>
      <c r="B252" s="15" t="s">
        <v>4027</v>
      </c>
      <c r="C252" s="1" t="s">
        <v>4028</v>
      </c>
    </row>
    <row r="253" spans="1:3">
      <c r="A253" s="1" t="s">
        <v>4029</v>
      </c>
      <c r="B253" s="15" t="s">
        <v>227</v>
      </c>
      <c r="C253" s="1" t="s">
        <v>4030</v>
      </c>
    </row>
    <row r="254" spans="1:3">
      <c r="A254" s="1" t="s">
        <v>4031</v>
      </c>
      <c r="B254" s="15" t="s">
        <v>4032</v>
      </c>
      <c r="C254" s="15" t="s">
        <v>3110</v>
      </c>
    </row>
    <row r="255" spans="1:3">
      <c r="A255" s="1" t="s">
        <v>4033</v>
      </c>
      <c r="B255" s="15" t="s">
        <v>33</v>
      </c>
      <c r="C255" s="1" t="s">
        <v>3996</v>
      </c>
    </row>
    <row r="256" spans="1:3">
      <c r="A256" s="1" t="s">
        <v>4034</v>
      </c>
      <c r="B256" s="15" t="s">
        <v>4035</v>
      </c>
      <c r="C256" s="1" t="s">
        <v>4036</v>
      </c>
    </row>
    <row r="257" spans="1:3">
      <c r="A257" s="1" t="s">
        <v>4037</v>
      </c>
      <c r="B257" s="15" t="s">
        <v>3532</v>
      </c>
      <c r="C257" s="1" t="s">
        <v>4038</v>
      </c>
    </row>
    <row r="258" spans="1:3">
      <c r="A258" s="1" t="s">
        <v>4039</v>
      </c>
      <c r="B258" s="15" t="s">
        <v>4027</v>
      </c>
      <c r="C258" s="1" t="s">
        <v>4040</v>
      </c>
    </row>
    <row r="259" spans="1:3">
      <c r="A259" s="1" t="s">
        <v>4041</v>
      </c>
      <c r="B259" s="15" t="s">
        <v>3191</v>
      </c>
      <c r="C259" s="1" t="s">
        <v>4042</v>
      </c>
    </row>
    <row r="260" spans="1:3">
      <c r="A260" s="1" t="s">
        <v>4043</v>
      </c>
      <c r="B260" s="15" t="s">
        <v>2006</v>
      </c>
      <c r="C260" s="15" t="s">
        <v>4044</v>
      </c>
    </row>
    <row r="261" spans="1:3">
      <c r="A261" s="1" t="s">
        <v>4045</v>
      </c>
      <c r="B261" s="15" t="s">
        <v>1463</v>
      </c>
      <c r="C261" s="1" t="s">
        <v>4046</v>
      </c>
    </row>
    <row r="262" spans="1:3">
      <c r="A262" s="1" t="s">
        <v>4047</v>
      </c>
      <c r="B262" s="15" t="s">
        <v>4048</v>
      </c>
      <c r="C262" s="1" t="s">
        <v>4049</v>
      </c>
    </row>
    <row r="263" spans="1:3">
      <c r="A263" s="1" t="s">
        <v>4050</v>
      </c>
      <c r="B263" s="15" t="s">
        <v>1202</v>
      </c>
      <c r="C263" s="1" t="s">
        <v>3012</v>
      </c>
    </row>
    <row r="264" spans="1:3">
      <c r="A264" s="1" t="s">
        <v>4051</v>
      </c>
      <c r="B264" s="15" t="s">
        <v>3709</v>
      </c>
      <c r="C264" s="1" t="s">
        <v>4052</v>
      </c>
    </row>
    <row r="265" spans="1:3">
      <c r="A265" s="1" t="s">
        <v>4053</v>
      </c>
      <c r="B265" s="15" t="s">
        <v>3543</v>
      </c>
      <c r="C265" s="1" t="s">
        <v>4054</v>
      </c>
    </row>
    <row r="266" spans="1:3">
      <c r="A266" s="1" t="s">
        <v>4055</v>
      </c>
      <c r="B266" s="15" t="s">
        <v>4056</v>
      </c>
      <c r="C266" s="1" t="s">
        <v>3048</v>
      </c>
    </row>
    <row r="267" spans="1:3">
      <c r="A267" s="1" t="s">
        <v>4057</v>
      </c>
      <c r="B267" s="15" t="s">
        <v>4058</v>
      </c>
      <c r="C267" s="15" t="s">
        <v>2722</v>
      </c>
    </row>
    <row r="268" spans="1:3">
      <c r="A268" s="1" t="s">
        <v>4059</v>
      </c>
      <c r="B268" s="15" t="s">
        <v>2468</v>
      </c>
      <c r="C268" s="15" t="s">
        <v>2673</v>
      </c>
    </row>
    <row r="269" spans="1:3">
      <c r="A269" s="1" t="s">
        <v>4060</v>
      </c>
      <c r="B269" s="15" t="s">
        <v>30</v>
      </c>
      <c r="C269" s="15" t="s">
        <v>2797</v>
      </c>
    </row>
    <row r="270" spans="1:3">
      <c r="A270" s="1" t="s">
        <v>4061</v>
      </c>
      <c r="B270" s="15" t="s">
        <v>4062</v>
      </c>
      <c r="C270" s="1" t="s">
        <v>4063</v>
      </c>
    </row>
    <row r="271" spans="1:3">
      <c r="A271" s="1" t="s">
        <v>4064</v>
      </c>
      <c r="B271" s="15" t="s">
        <v>3543</v>
      </c>
      <c r="C271" s="1" t="s">
        <v>4065</v>
      </c>
    </row>
    <row r="272" spans="1:3">
      <c r="A272" s="1" t="s">
        <v>4066</v>
      </c>
      <c r="B272" s="15" t="s">
        <v>3552</v>
      </c>
      <c r="C272" s="1" t="s">
        <v>4067</v>
      </c>
    </row>
    <row r="273" spans="1:3">
      <c r="A273" s="1" t="s">
        <v>4068</v>
      </c>
      <c r="B273" s="15" t="s">
        <v>45</v>
      </c>
      <c r="C273" s="15" t="s">
        <v>2667</v>
      </c>
    </row>
    <row r="274" spans="1:3">
      <c r="A274" s="15" t="s">
        <v>4069</v>
      </c>
      <c r="B274" s="15" t="s">
        <v>4070</v>
      </c>
      <c r="C274" s="15" t="s">
        <v>3110</v>
      </c>
    </row>
    <row r="275" spans="1:3">
      <c r="A275" s="1" t="s">
        <v>4071</v>
      </c>
      <c r="B275" s="15" t="s">
        <v>727</v>
      </c>
      <c r="C275" s="15" t="s">
        <v>4072</v>
      </c>
    </row>
    <row r="276" spans="1:3">
      <c r="A276" s="1" t="s">
        <v>4073</v>
      </c>
      <c r="B276" s="15" t="s">
        <v>4074</v>
      </c>
      <c r="C276" s="15" t="s">
        <v>4075</v>
      </c>
    </row>
    <row r="277" spans="1:3">
      <c r="A277" s="1" t="s">
        <v>4076</v>
      </c>
      <c r="B277" s="15" t="s">
        <v>4077</v>
      </c>
      <c r="C277" s="15" t="s">
        <v>3007</v>
      </c>
    </row>
    <row r="278" spans="1:3">
      <c r="A278" s="15" t="s">
        <v>4078</v>
      </c>
      <c r="B278" s="15" t="s">
        <v>201</v>
      </c>
      <c r="C278" s="15" t="s">
        <v>4079</v>
      </c>
    </row>
    <row r="279" spans="1:3">
      <c r="A279" s="1" t="s">
        <v>4080</v>
      </c>
      <c r="B279" s="15" t="s">
        <v>1415</v>
      </c>
      <c r="C279" s="15" t="s">
        <v>4081</v>
      </c>
    </row>
    <row r="280" spans="1:3">
      <c r="A280" s="1" t="s">
        <v>4082</v>
      </c>
      <c r="B280" s="15" t="s">
        <v>966</v>
      </c>
      <c r="C280" s="15" t="s">
        <v>4083</v>
      </c>
    </row>
    <row r="281" spans="1:3">
      <c r="A281" s="1" t="s">
        <v>4084</v>
      </c>
      <c r="B281" s="15" t="s">
        <v>2523</v>
      </c>
      <c r="C281" s="1" t="s">
        <v>4085</v>
      </c>
    </row>
    <row r="282" spans="1:3">
      <c r="A282" s="1" t="s">
        <v>4086</v>
      </c>
      <c r="B282" s="15" t="s">
        <v>2523</v>
      </c>
      <c r="C282" s="1" t="s">
        <v>4087</v>
      </c>
    </row>
    <row r="283" spans="1:3">
      <c r="A283" s="1" t="s">
        <v>4088</v>
      </c>
      <c r="B283" s="15" t="s">
        <v>2967</v>
      </c>
      <c r="C283" s="1" t="s">
        <v>2968</v>
      </c>
    </row>
    <row r="284" spans="1:3">
      <c r="A284" s="1" t="s">
        <v>4089</v>
      </c>
      <c r="B284" s="15" t="s">
        <v>4090</v>
      </c>
      <c r="C284" s="1" t="s">
        <v>4091</v>
      </c>
    </row>
    <row r="285" spans="1:3">
      <c r="A285" s="1" t="s">
        <v>4092</v>
      </c>
      <c r="B285" s="15" t="s">
        <v>4074</v>
      </c>
      <c r="C285" s="15" t="s">
        <v>4093</v>
      </c>
    </row>
    <row r="286" spans="1:3">
      <c r="A286" s="1" t="s">
        <v>4094</v>
      </c>
      <c r="B286" s="15" t="s">
        <v>37</v>
      </c>
      <c r="C286" s="15" t="s">
        <v>4095</v>
      </c>
    </row>
    <row r="287" spans="1:3">
      <c r="A287" s="1" t="s">
        <v>4096</v>
      </c>
      <c r="B287" s="15" t="s">
        <v>16</v>
      </c>
      <c r="C287" s="1" t="s">
        <v>4097</v>
      </c>
    </row>
    <row r="288" spans="1:3">
      <c r="A288" s="1" t="s">
        <v>4098</v>
      </c>
      <c r="B288" s="15" t="s">
        <v>3263</v>
      </c>
      <c r="C288" s="1" t="s">
        <v>4099</v>
      </c>
    </row>
    <row r="289" spans="1:3">
      <c r="A289" s="1" t="s">
        <v>4100</v>
      </c>
      <c r="B289" s="15" t="s">
        <v>118</v>
      </c>
      <c r="C289" s="1" t="s">
        <v>4101</v>
      </c>
    </row>
    <row r="290" spans="1:3">
      <c r="A290" s="1" t="s">
        <v>4102</v>
      </c>
      <c r="B290" s="15" t="s">
        <v>30</v>
      </c>
      <c r="C290" s="1" t="s">
        <v>4103</v>
      </c>
    </row>
    <row r="291" spans="1:3">
      <c r="A291" s="1" t="s">
        <v>4104</v>
      </c>
      <c r="B291" s="15" t="s">
        <v>198</v>
      </c>
      <c r="C291" s="1" t="s">
        <v>2875</v>
      </c>
    </row>
    <row r="292" spans="1:3">
      <c r="A292" s="1" t="s">
        <v>4105</v>
      </c>
      <c r="B292" s="15" t="s">
        <v>322</v>
      </c>
      <c r="C292" s="15" t="s">
        <v>4106</v>
      </c>
    </row>
    <row r="293" spans="1:3">
      <c r="A293" s="1" t="s">
        <v>4107</v>
      </c>
      <c r="B293" s="15" t="s">
        <v>3486</v>
      </c>
      <c r="C293" s="15" t="s">
        <v>3850</v>
      </c>
    </row>
    <row r="294" spans="1:3">
      <c r="A294" s="1" t="s">
        <v>4108</v>
      </c>
      <c r="B294" s="15" t="s">
        <v>198</v>
      </c>
      <c r="C294" s="1" t="s">
        <v>4109</v>
      </c>
    </row>
    <row r="295" spans="1:3">
      <c r="A295" s="1" t="s">
        <v>4110</v>
      </c>
      <c r="B295" s="15" t="s">
        <v>495</v>
      </c>
      <c r="C295" s="1" t="s">
        <v>2527</v>
      </c>
    </row>
    <row r="296" spans="1:3">
      <c r="A296" s="1" t="s">
        <v>4111</v>
      </c>
      <c r="B296" s="15" t="s">
        <v>3685</v>
      </c>
      <c r="C296" s="1" t="s">
        <v>4112</v>
      </c>
    </row>
    <row r="297" spans="1:3">
      <c r="A297" s="1" t="s">
        <v>4113</v>
      </c>
      <c r="B297" s="15" t="s">
        <v>2567</v>
      </c>
      <c r="C297" s="1" t="s">
        <v>4114</v>
      </c>
    </row>
    <row r="298" spans="1:3">
      <c r="A298" s="1" t="s">
        <v>4115</v>
      </c>
      <c r="B298" s="15" t="s">
        <v>3627</v>
      </c>
      <c r="C298" s="1" t="s">
        <v>3068</v>
      </c>
    </row>
    <row r="299" spans="1:3">
      <c r="A299" s="1" t="s">
        <v>4116</v>
      </c>
      <c r="B299" s="15" t="s">
        <v>30</v>
      </c>
      <c r="C299" s="1" t="s">
        <v>4117</v>
      </c>
    </row>
    <row r="300" spans="1:3">
      <c r="A300" s="1" t="s">
        <v>4118</v>
      </c>
      <c r="B300" s="15" t="s">
        <v>322</v>
      </c>
      <c r="C300" s="1" t="s">
        <v>4119</v>
      </c>
    </row>
    <row r="301" spans="1:3">
      <c r="A301" s="1" t="s">
        <v>4120</v>
      </c>
      <c r="B301" s="15" t="s">
        <v>4121</v>
      </c>
      <c r="C301" s="1" t="s">
        <v>3550</v>
      </c>
    </row>
    <row r="302" spans="1:3">
      <c r="A302" s="1" t="s">
        <v>4122</v>
      </c>
      <c r="B302" s="15" t="s">
        <v>90</v>
      </c>
      <c r="C302" s="1" t="s">
        <v>4123</v>
      </c>
    </row>
    <row r="303" spans="1:3">
      <c r="A303" s="1" t="s">
        <v>4124</v>
      </c>
      <c r="B303" s="15" t="s">
        <v>30</v>
      </c>
      <c r="C303" s="15" t="s">
        <v>4125</v>
      </c>
    </row>
    <row r="304" spans="1:3">
      <c r="A304" s="1" t="s">
        <v>4126</v>
      </c>
      <c r="B304" s="15" t="s">
        <v>741</v>
      </c>
      <c r="C304" s="1" t="s">
        <v>4127</v>
      </c>
    </row>
    <row r="305" spans="1:3">
      <c r="A305" s="1" t="s">
        <v>4128</v>
      </c>
      <c r="B305" s="15" t="s">
        <v>4129</v>
      </c>
      <c r="C305" s="1" t="s">
        <v>4130</v>
      </c>
    </row>
    <row r="306" spans="1:3">
      <c r="A306" s="1" t="s">
        <v>4131</v>
      </c>
      <c r="B306" s="15" t="s">
        <v>3646</v>
      </c>
      <c r="C306" s="1" t="s">
        <v>4132</v>
      </c>
    </row>
    <row r="307" spans="1:3">
      <c r="A307" s="1" t="s">
        <v>4133</v>
      </c>
      <c r="B307" s="15" t="s">
        <v>4134</v>
      </c>
      <c r="C307" s="1" t="s">
        <v>4135</v>
      </c>
    </row>
    <row r="308" spans="1:3">
      <c r="A308" s="1" t="s">
        <v>4136</v>
      </c>
      <c r="B308" s="15" t="s">
        <v>2241</v>
      </c>
      <c r="C308" s="1" t="s">
        <v>4137</v>
      </c>
    </row>
    <row r="309" spans="1:3">
      <c r="A309" s="1" t="s">
        <v>4138</v>
      </c>
      <c r="B309" s="15" t="s">
        <v>33</v>
      </c>
      <c r="C309" s="15" t="s">
        <v>3035</v>
      </c>
    </row>
    <row r="310" spans="1:3">
      <c r="A310" s="1" t="s">
        <v>4139</v>
      </c>
      <c r="B310" s="15" t="s">
        <v>24</v>
      </c>
      <c r="C310" s="15" t="s">
        <v>4140</v>
      </c>
    </row>
    <row r="311" spans="1:3">
      <c r="A311" s="1" t="s">
        <v>4141</v>
      </c>
      <c r="B311" s="15" t="s">
        <v>741</v>
      </c>
      <c r="C311" s="1" t="s">
        <v>4142</v>
      </c>
    </row>
    <row r="312" spans="1:3">
      <c r="A312" s="1" t="s">
        <v>4143</v>
      </c>
      <c r="B312" s="15" t="s">
        <v>4144</v>
      </c>
      <c r="C312" s="15" t="s">
        <v>3827</v>
      </c>
    </row>
    <row r="313" spans="1:3">
      <c r="A313" s="1" t="s">
        <v>4145</v>
      </c>
      <c r="B313" s="15" t="s">
        <v>3639</v>
      </c>
      <c r="C313" s="15" t="s">
        <v>4146</v>
      </c>
    </row>
    <row r="314" spans="1:3">
      <c r="A314" s="1" t="s">
        <v>4147</v>
      </c>
      <c r="B314" s="15" t="s">
        <v>4148</v>
      </c>
      <c r="C314" s="15" t="s">
        <v>4149</v>
      </c>
    </row>
    <row r="315" spans="1:3">
      <c r="A315" s="1" t="s">
        <v>4150</v>
      </c>
      <c r="B315" s="15" t="s">
        <v>4151</v>
      </c>
      <c r="C315" s="15" t="s">
        <v>4152</v>
      </c>
    </row>
    <row r="316" spans="1:3">
      <c r="A316" s="1" t="s">
        <v>4153</v>
      </c>
      <c r="B316" s="15" t="s">
        <v>1527</v>
      </c>
      <c r="C316" s="15" t="s">
        <v>4154</v>
      </c>
    </row>
    <row r="317" spans="1:3">
      <c r="A317" s="1" t="s">
        <v>4155</v>
      </c>
      <c r="B317" s="15" t="s">
        <v>4156</v>
      </c>
      <c r="C317" s="15" t="s">
        <v>4157</v>
      </c>
    </row>
    <row r="318" spans="1:3">
      <c r="A318" s="1" t="s">
        <v>4158</v>
      </c>
      <c r="B318" s="15" t="s">
        <v>3161</v>
      </c>
      <c r="C318" s="15" t="s">
        <v>4159</v>
      </c>
    </row>
    <row r="319" spans="1:3">
      <c r="A319" s="1" t="s">
        <v>4160</v>
      </c>
      <c r="B319" s="15" t="s">
        <v>2954</v>
      </c>
      <c r="C319" s="15" t="s">
        <v>2955</v>
      </c>
    </row>
    <row r="320" spans="1:3">
      <c r="A320" s="1" t="s">
        <v>4161</v>
      </c>
      <c r="B320" s="15" t="s">
        <v>4162</v>
      </c>
      <c r="C320" s="1" t="s">
        <v>4163</v>
      </c>
    </row>
    <row r="321" spans="1:3">
      <c r="A321" s="15" t="s">
        <v>4164</v>
      </c>
      <c r="B321" s="15" t="s">
        <v>3627</v>
      </c>
      <c r="C321" s="15" t="s">
        <v>3068</v>
      </c>
    </row>
    <row r="322" spans="1:3">
      <c r="A322" s="1" t="s">
        <v>4165</v>
      </c>
      <c r="B322" s="15" t="s">
        <v>2241</v>
      </c>
      <c r="C322" s="15" t="s">
        <v>2745</v>
      </c>
    </row>
    <row r="323" spans="1:3">
      <c r="A323" s="15" t="s">
        <v>4166</v>
      </c>
      <c r="B323" s="15" t="s">
        <v>33</v>
      </c>
      <c r="C323" s="15" t="s">
        <v>3035</v>
      </c>
    </row>
    <row r="324" spans="1:3">
      <c r="A324" s="1" t="s">
        <v>4167</v>
      </c>
      <c r="B324" s="15" t="s">
        <v>3858</v>
      </c>
      <c r="C324" s="1" t="s">
        <v>4168</v>
      </c>
    </row>
    <row r="325" spans="1:3">
      <c r="A325" s="1" t="s">
        <v>4169</v>
      </c>
      <c r="B325" s="15" t="s">
        <v>4129</v>
      </c>
      <c r="C325" s="1" t="s">
        <v>4130</v>
      </c>
    </row>
    <row r="326" spans="1:3">
      <c r="A326" s="15" t="s">
        <v>4170</v>
      </c>
      <c r="B326" s="15" t="s">
        <v>37</v>
      </c>
      <c r="C326" s="15" t="s">
        <v>4095</v>
      </c>
    </row>
    <row r="327" spans="1:3">
      <c r="A327" s="1" t="s">
        <v>4171</v>
      </c>
      <c r="B327" s="15" t="s">
        <v>2018</v>
      </c>
      <c r="C327" s="15" t="s">
        <v>4172</v>
      </c>
    </row>
    <row r="328" spans="1:3">
      <c r="A328" s="1" t="s">
        <v>4173</v>
      </c>
      <c r="B328" s="15" t="s">
        <v>3543</v>
      </c>
      <c r="C328" s="15" t="s">
        <v>4174</v>
      </c>
    </row>
    <row r="329" spans="1:3">
      <c r="A329" s="1" t="s">
        <v>4175</v>
      </c>
      <c r="B329" s="15" t="s">
        <v>3863</v>
      </c>
      <c r="C329" s="1" t="s">
        <v>4176</v>
      </c>
    </row>
    <row r="330" spans="1:3">
      <c r="A330" s="1" t="s">
        <v>4177</v>
      </c>
      <c r="B330" s="15" t="s">
        <v>2861</v>
      </c>
      <c r="C330" s="15" t="s">
        <v>4178</v>
      </c>
    </row>
    <row r="331" spans="1:3">
      <c r="A331" s="1" t="s">
        <v>4179</v>
      </c>
      <c r="B331" s="15" t="s">
        <v>4180</v>
      </c>
      <c r="C331" s="15" t="s">
        <v>4181</v>
      </c>
    </row>
    <row r="332" spans="1:3">
      <c r="A332" s="1" t="s">
        <v>4182</v>
      </c>
      <c r="B332" s="15" t="s">
        <v>727</v>
      </c>
      <c r="C332" s="15" t="s">
        <v>4183</v>
      </c>
    </row>
    <row r="333" spans="1:3">
      <c r="A333" s="1" t="s">
        <v>4184</v>
      </c>
      <c r="B333" s="15" t="s">
        <v>184</v>
      </c>
      <c r="C333" s="1" t="s">
        <v>4185</v>
      </c>
    </row>
    <row r="334" spans="1:3">
      <c r="A334" s="1" t="s">
        <v>4186</v>
      </c>
      <c r="B334" s="15" t="s">
        <v>90</v>
      </c>
      <c r="C334" s="1" t="s">
        <v>2685</v>
      </c>
    </row>
    <row r="335" spans="1:3">
      <c r="A335" s="1" t="s">
        <v>4187</v>
      </c>
      <c r="B335" s="15" t="s">
        <v>707</v>
      </c>
      <c r="C335" s="1" t="s">
        <v>4188</v>
      </c>
    </row>
    <row r="336" spans="1:3">
      <c r="A336" s="1" t="s">
        <v>4189</v>
      </c>
      <c r="B336" s="15" t="s">
        <v>322</v>
      </c>
      <c r="C336" s="1" t="s">
        <v>4190</v>
      </c>
    </row>
    <row r="337" spans="1:3">
      <c r="A337" s="1" t="s">
        <v>4191</v>
      </c>
      <c r="B337" s="15" t="s">
        <v>3608</v>
      </c>
      <c r="C337" s="15" t="s">
        <v>4192</v>
      </c>
    </row>
    <row r="338" spans="1:3">
      <c r="A338" s="1" t="s">
        <v>4193</v>
      </c>
      <c r="B338" s="15" t="s">
        <v>3787</v>
      </c>
      <c r="C338" s="1" t="s">
        <v>4194</v>
      </c>
    </row>
    <row r="339" spans="1:3">
      <c r="A339" s="15" t="s">
        <v>4195</v>
      </c>
      <c r="B339" s="15" t="s">
        <v>4196</v>
      </c>
      <c r="C339" s="15" t="s">
        <v>2611</v>
      </c>
    </row>
    <row r="340" spans="1:3">
      <c r="A340" s="1" t="s">
        <v>4197</v>
      </c>
      <c r="B340" s="15" t="s">
        <v>2726</v>
      </c>
      <c r="C340" s="15" t="s">
        <v>4198</v>
      </c>
    </row>
    <row r="341" spans="1:3">
      <c r="A341" s="1" t="s">
        <v>4199</v>
      </c>
      <c r="B341" s="15" t="s">
        <v>4200</v>
      </c>
      <c r="C341" s="15" t="s">
        <v>4201</v>
      </c>
    </row>
    <row r="342" spans="1:3">
      <c r="A342" s="1" t="s">
        <v>4202</v>
      </c>
      <c r="B342" s="15" t="s">
        <v>2602</v>
      </c>
      <c r="C342" s="15" t="s">
        <v>2603</v>
      </c>
    </row>
    <row r="343" spans="1:3">
      <c r="A343" s="1" t="s">
        <v>4203</v>
      </c>
      <c r="B343" s="15" t="s">
        <v>4204</v>
      </c>
      <c r="C343" s="1" t="s">
        <v>4205</v>
      </c>
    </row>
    <row r="344" spans="1:3">
      <c r="A344" s="1" t="s">
        <v>4206</v>
      </c>
      <c r="B344" s="15" t="s">
        <v>4207</v>
      </c>
      <c r="C344" s="1" t="s">
        <v>4208</v>
      </c>
    </row>
    <row r="345" spans="1:3">
      <c r="A345" s="1" t="s">
        <v>4209</v>
      </c>
      <c r="B345" s="15" t="s">
        <v>827</v>
      </c>
      <c r="C345" s="1" t="s">
        <v>4210</v>
      </c>
    </row>
    <row r="346" spans="1:3">
      <c r="A346" s="1" t="s">
        <v>4211</v>
      </c>
      <c r="B346" s="15" t="s">
        <v>3377</v>
      </c>
      <c r="C346" s="1" t="s">
        <v>4212</v>
      </c>
    </row>
    <row r="347" spans="1:3">
      <c r="A347" s="1" t="s">
        <v>4213</v>
      </c>
      <c r="B347" s="15" t="s">
        <v>3537</v>
      </c>
      <c r="C347" s="15" t="s">
        <v>4214</v>
      </c>
    </row>
    <row r="348" spans="1:3">
      <c r="A348" s="1" t="s">
        <v>4215</v>
      </c>
      <c r="B348" s="15" t="s">
        <v>2861</v>
      </c>
      <c r="C348" s="15" t="s">
        <v>4216</v>
      </c>
    </row>
    <row r="349" spans="1:3">
      <c r="A349" s="1" t="s">
        <v>4217</v>
      </c>
      <c r="B349" s="15" t="s">
        <v>3787</v>
      </c>
      <c r="C349" s="1" t="s">
        <v>4218</v>
      </c>
    </row>
    <row r="350" spans="1:3">
      <c r="A350" s="1" t="s">
        <v>4219</v>
      </c>
      <c r="B350" s="15" t="s">
        <v>261</v>
      </c>
      <c r="C350" s="1" t="s">
        <v>4220</v>
      </c>
    </row>
    <row r="351" spans="1:3">
      <c r="A351" s="1" t="s">
        <v>4221</v>
      </c>
      <c r="B351" s="15" t="s">
        <v>3077</v>
      </c>
      <c r="C351" s="1" t="s">
        <v>4222</v>
      </c>
    </row>
    <row r="352" spans="1:3">
      <c r="A352" s="1" t="s">
        <v>4223</v>
      </c>
      <c r="B352" s="15" t="s">
        <v>2861</v>
      </c>
      <c r="C352" s="1" t="s">
        <v>4216</v>
      </c>
    </row>
    <row r="353" spans="1:3">
      <c r="A353" s="1" t="s">
        <v>4224</v>
      </c>
      <c r="B353" s="15" t="s">
        <v>4225</v>
      </c>
      <c r="C353" s="1" t="s">
        <v>4226</v>
      </c>
    </row>
    <row r="354" spans="1:3">
      <c r="A354" s="1" t="s">
        <v>4227</v>
      </c>
      <c r="B354" s="15" t="s">
        <v>4228</v>
      </c>
      <c r="C354" s="1" t="s">
        <v>4229</v>
      </c>
    </row>
    <row r="355" spans="1:3">
      <c r="A355" s="1" t="s">
        <v>4230</v>
      </c>
      <c r="B355" s="15" t="s">
        <v>3082</v>
      </c>
      <c r="C355" s="1" t="s">
        <v>3083</v>
      </c>
    </row>
    <row r="356" spans="1:3">
      <c r="A356" s="1" t="s">
        <v>4231</v>
      </c>
      <c r="B356" s="15" t="s">
        <v>2702</v>
      </c>
      <c r="C356" s="44" t="s">
        <v>2703</v>
      </c>
    </row>
    <row r="357" spans="1:3">
      <c r="A357" s="1" t="s">
        <v>4232</v>
      </c>
      <c r="B357" s="54" t="s">
        <v>2781</v>
      </c>
      <c r="C357" s="44" t="s">
        <v>2782</v>
      </c>
    </row>
    <row r="358" spans="1:3">
      <c r="A358" s="15" t="s">
        <v>4233</v>
      </c>
      <c r="B358" s="44" t="s">
        <v>2636</v>
      </c>
      <c r="C358" s="44" t="s">
        <v>2637</v>
      </c>
    </row>
    <row r="359" spans="1:3" ht="12.75" customHeight="1">
      <c r="A359" s="15" t="s">
        <v>4234</v>
      </c>
      <c r="B359" s="44" t="s">
        <v>2597</v>
      </c>
      <c r="C359" s="15" t="s">
        <v>2598</v>
      </c>
    </row>
    <row r="360" spans="1:3">
      <c r="A360" s="15" t="s">
        <v>4235</v>
      </c>
      <c r="B360" s="54" t="s">
        <v>2642</v>
      </c>
      <c r="C360" s="44" t="s">
        <v>2643</v>
      </c>
    </row>
    <row r="361" spans="1:3">
      <c r="A361" s="15" t="s">
        <v>4236</v>
      </c>
      <c r="B361" s="54" t="s">
        <v>182</v>
      </c>
      <c r="C361" s="44" t="s">
        <v>2938</v>
      </c>
    </row>
    <row r="362" spans="1:3">
      <c r="A362" s="1" t="s">
        <v>4237</v>
      </c>
      <c r="B362" s="15" t="s">
        <v>3208</v>
      </c>
      <c r="C362" s="1" t="s">
        <v>4238</v>
      </c>
    </row>
    <row r="363" spans="1:3">
      <c r="A363" s="1" t="s">
        <v>4239</v>
      </c>
      <c r="B363" s="15" t="s">
        <v>2306</v>
      </c>
      <c r="C363" s="1" t="s">
        <v>2750</v>
      </c>
    </row>
    <row r="364" spans="1:3">
      <c r="A364" s="1" t="s">
        <v>4240</v>
      </c>
      <c r="B364" s="15" t="s">
        <v>4241</v>
      </c>
      <c r="C364" s="1" t="s">
        <v>4242</v>
      </c>
    </row>
    <row r="365" spans="1:3">
      <c r="A365" s="1" t="s">
        <v>4243</v>
      </c>
      <c r="B365" s="40" t="s">
        <v>4244</v>
      </c>
      <c r="C365" s="1" t="s">
        <v>4245</v>
      </c>
    </row>
    <row r="366" spans="1:3">
      <c r="A366" s="1" t="s">
        <v>4246</v>
      </c>
      <c r="B366" s="15" t="s">
        <v>4247</v>
      </c>
      <c r="C366" s="1" t="s">
        <v>4248</v>
      </c>
    </row>
    <row r="367" spans="1:3">
      <c r="A367" s="1" t="s">
        <v>4249</v>
      </c>
      <c r="B367" s="15" t="s">
        <v>4250</v>
      </c>
      <c r="C367" s="1" t="s">
        <v>4251</v>
      </c>
    </row>
    <row r="368" spans="1:3">
      <c r="A368" s="1" t="s">
        <v>4252</v>
      </c>
      <c r="B368" s="15" t="s">
        <v>2306</v>
      </c>
      <c r="C368" s="1" t="s">
        <v>2800</v>
      </c>
    </row>
    <row r="369" spans="1:3">
      <c r="A369" s="1" t="s">
        <v>4253</v>
      </c>
      <c r="B369" s="15" t="s">
        <v>2954</v>
      </c>
      <c r="C369" s="1" t="s">
        <v>4254</v>
      </c>
    </row>
    <row r="370" spans="1:3">
      <c r="A370" s="1" t="s">
        <v>4255</v>
      </c>
      <c r="B370" s="15" t="s">
        <v>966</v>
      </c>
      <c r="C370" s="1" t="s">
        <v>4256</v>
      </c>
    </row>
    <row r="371" spans="1:3">
      <c r="A371" s="1" t="s">
        <v>4257</v>
      </c>
      <c r="B371" s="15" t="s">
        <v>45</v>
      </c>
      <c r="C371" s="1" t="s">
        <v>4258</v>
      </c>
    </row>
    <row r="372" spans="1:3">
      <c r="A372" s="1" t="s">
        <v>4259</v>
      </c>
      <c r="B372" s="15" t="s">
        <v>37</v>
      </c>
      <c r="C372" s="15" t="s">
        <v>3194</v>
      </c>
    </row>
    <row r="373" spans="1:3">
      <c r="A373" s="1" t="s">
        <v>4260</v>
      </c>
      <c r="B373" s="15" t="s">
        <v>198</v>
      </c>
      <c r="C373" s="1" t="s">
        <v>4261</v>
      </c>
    </row>
    <row r="374" spans="1:3">
      <c r="A374" s="1" t="s">
        <v>4262</v>
      </c>
      <c r="B374" s="15" t="s">
        <v>727</v>
      </c>
      <c r="C374" s="1" t="s">
        <v>4263</v>
      </c>
    </row>
    <row r="375" spans="1:3">
      <c r="A375" s="1" t="s">
        <v>4264</v>
      </c>
      <c r="B375" s="15" t="s">
        <v>3364</v>
      </c>
      <c r="C375" s="1" t="s">
        <v>4265</v>
      </c>
    </row>
    <row r="376" spans="1:3">
      <c r="A376" s="1" t="s">
        <v>4266</v>
      </c>
      <c r="B376" s="15" t="s">
        <v>3685</v>
      </c>
      <c r="C376" s="15" t="s">
        <v>4267</v>
      </c>
    </row>
    <row r="377" spans="1:3">
      <c r="A377" s="1" t="s">
        <v>4268</v>
      </c>
      <c r="B377" s="15" t="s">
        <v>198</v>
      </c>
      <c r="C377" s="1" t="s">
        <v>4269</v>
      </c>
    </row>
    <row r="378" spans="1:3">
      <c r="A378" s="1" t="s">
        <v>4270</v>
      </c>
      <c r="B378" s="15" t="s">
        <v>3744</v>
      </c>
      <c r="C378" s="1" t="s">
        <v>4271</v>
      </c>
    </row>
    <row r="379" spans="1:3">
      <c r="A379" s="1" t="s">
        <v>4272</v>
      </c>
      <c r="B379" s="15" t="s">
        <v>4273</v>
      </c>
      <c r="C379" s="1" t="s">
        <v>4274</v>
      </c>
    </row>
    <row r="380" spans="1:3">
      <c r="A380" s="1" t="s">
        <v>4275</v>
      </c>
      <c r="B380" s="54" t="s">
        <v>195</v>
      </c>
      <c r="C380" s="44" t="s">
        <v>2891</v>
      </c>
    </row>
    <row r="381" spans="1:3">
      <c r="A381" s="1" t="s">
        <v>4276</v>
      </c>
      <c r="B381" s="15" t="s">
        <v>4277</v>
      </c>
      <c r="C381" s="1" t="s">
        <v>4278</v>
      </c>
    </row>
    <row r="382" spans="1:3">
      <c r="A382" s="1" t="s">
        <v>4279</v>
      </c>
      <c r="B382" s="15" t="s">
        <v>3522</v>
      </c>
      <c r="C382" s="15" t="s">
        <v>4280</v>
      </c>
    </row>
    <row r="383" spans="1:3">
      <c r="A383" s="1" t="s">
        <v>4281</v>
      </c>
      <c r="B383" s="15" t="s">
        <v>1463</v>
      </c>
      <c r="C383" s="15" t="s">
        <v>2653</v>
      </c>
    </row>
    <row r="384" spans="1:3">
      <c r="A384" s="1" t="s">
        <v>4282</v>
      </c>
      <c r="B384" s="15" t="s">
        <v>1463</v>
      </c>
      <c r="C384" s="15" t="s">
        <v>2669</v>
      </c>
    </row>
    <row r="385" spans="1:3">
      <c r="A385" s="1" t="s">
        <v>4283</v>
      </c>
      <c r="B385" s="15" t="s">
        <v>2631</v>
      </c>
      <c r="C385" s="15" t="s">
        <v>2632</v>
      </c>
    </row>
    <row r="386" spans="1:3">
      <c r="A386" s="1" t="s">
        <v>4284</v>
      </c>
      <c r="B386" s="15" t="s">
        <v>4074</v>
      </c>
      <c r="C386" s="15" t="s">
        <v>4285</v>
      </c>
    </row>
    <row r="387" spans="1:3">
      <c r="A387" s="1" t="s">
        <v>4286</v>
      </c>
      <c r="B387" s="15" t="s">
        <v>3537</v>
      </c>
      <c r="C387" s="15" t="s">
        <v>4287</v>
      </c>
    </row>
    <row r="388" spans="1:3">
      <c r="A388" s="15" t="s">
        <v>4288</v>
      </c>
      <c r="B388" s="15" t="s">
        <v>3757</v>
      </c>
      <c r="C388" s="15" t="s">
        <v>4289</v>
      </c>
    </row>
    <row r="389" spans="1:3">
      <c r="A389" s="15" t="s">
        <v>4290</v>
      </c>
      <c r="B389" s="15" t="s">
        <v>3224</v>
      </c>
      <c r="C389" s="15" t="s">
        <v>4291</v>
      </c>
    </row>
    <row r="390" spans="1:3">
      <c r="A390" s="15" t="s">
        <v>4292</v>
      </c>
      <c r="B390" s="15" t="s">
        <v>75</v>
      </c>
      <c r="C390" s="15" t="s">
        <v>2872</v>
      </c>
    </row>
    <row r="391" spans="1:3">
      <c r="A391" s="15" t="s">
        <v>4293</v>
      </c>
      <c r="B391" s="15" t="s">
        <v>1289</v>
      </c>
      <c r="C391" s="15" t="s">
        <v>4294</v>
      </c>
    </row>
    <row r="392" spans="1:3">
      <c r="A392" s="15" t="s">
        <v>4295</v>
      </c>
      <c r="B392" s="15" t="s">
        <v>4207</v>
      </c>
      <c r="C392" s="1" t="s">
        <v>4296</v>
      </c>
    </row>
    <row r="393" spans="1:3">
      <c r="A393" s="15" t="s">
        <v>4297</v>
      </c>
      <c r="B393" s="15" t="s">
        <v>3245</v>
      </c>
      <c r="C393" s="1" t="s">
        <v>3246</v>
      </c>
    </row>
    <row r="394" spans="1:3">
      <c r="A394" s="15" t="s">
        <v>4298</v>
      </c>
      <c r="B394" s="15" t="s">
        <v>4299</v>
      </c>
      <c r="C394" s="1" t="s">
        <v>2608</v>
      </c>
    </row>
    <row r="395" spans="1:3">
      <c r="A395" s="15" t="s">
        <v>4300</v>
      </c>
      <c r="B395" s="15" t="s">
        <v>2523</v>
      </c>
      <c r="C395" s="15" t="s">
        <v>2692</v>
      </c>
    </row>
    <row r="396" spans="1:3">
      <c r="A396" s="15" t="s">
        <v>4301</v>
      </c>
      <c r="B396" s="54" t="s">
        <v>2734</v>
      </c>
      <c r="C396" s="44" t="s">
        <v>2735</v>
      </c>
    </row>
    <row r="397" spans="1:3">
      <c r="A397" s="15" t="s">
        <v>4302</v>
      </c>
      <c r="B397" s="15" t="s">
        <v>155</v>
      </c>
      <c r="C397" s="15" t="s">
        <v>156</v>
      </c>
    </row>
    <row r="398" spans="1:3">
      <c r="A398" s="15" t="s">
        <v>4303</v>
      </c>
      <c r="B398" s="15" t="s">
        <v>1463</v>
      </c>
      <c r="C398" s="15" t="s">
        <v>2856</v>
      </c>
    </row>
    <row r="399" spans="1:3">
      <c r="A399" s="15" t="s">
        <v>4304</v>
      </c>
      <c r="B399" s="15" t="s">
        <v>3208</v>
      </c>
      <c r="C399" s="15" t="s">
        <v>3209</v>
      </c>
    </row>
    <row r="400" spans="1:3">
      <c r="A400" s="15" t="s">
        <v>4305</v>
      </c>
      <c r="B400" s="15" t="s">
        <v>4306</v>
      </c>
      <c r="C400" s="15" t="s">
        <v>4307</v>
      </c>
    </row>
    <row r="401" spans="1:3">
      <c r="A401" s="15" t="s">
        <v>4308</v>
      </c>
      <c r="B401" s="15" t="s">
        <v>707</v>
      </c>
      <c r="C401" s="15" t="s">
        <v>4309</v>
      </c>
    </row>
    <row r="402" spans="1:3">
      <c r="A402" s="15" t="s">
        <v>4310</v>
      </c>
      <c r="B402" s="15" t="s">
        <v>4056</v>
      </c>
      <c r="C402" s="15" t="s">
        <v>4311</v>
      </c>
    </row>
    <row r="403" spans="1:3">
      <c r="A403" s="15" t="s">
        <v>4312</v>
      </c>
      <c r="B403" s="15" t="s">
        <v>4313</v>
      </c>
      <c r="C403" s="1" t="s">
        <v>4314</v>
      </c>
    </row>
    <row r="404" spans="1:3">
      <c r="A404" s="15" t="s">
        <v>4315</v>
      </c>
      <c r="B404" s="15" t="s">
        <v>45</v>
      </c>
      <c r="C404" s="15" t="s">
        <v>4316</v>
      </c>
    </row>
    <row r="405" spans="1:3">
      <c r="A405" s="15" t="s">
        <v>4317</v>
      </c>
      <c r="B405" s="15" t="s">
        <v>4318</v>
      </c>
      <c r="C405" s="1" t="s">
        <v>4319</v>
      </c>
    </row>
    <row r="406" spans="1:3">
      <c r="A406" s="15" t="s">
        <v>4320</v>
      </c>
      <c r="B406" s="15" t="s">
        <v>3537</v>
      </c>
      <c r="C406" s="15" t="s">
        <v>4321</v>
      </c>
    </row>
    <row r="407" spans="1:3">
      <c r="A407" s="15" t="s">
        <v>4322</v>
      </c>
      <c r="B407" s="15" t="s">
        <v>4323</v>
      </c>
      <c r="C407" s="1" t="s">
        <v>4324</v>
      </c>
    </row>
    <row r="408" spans="1:3">
      <c r="A408" s="15" t="s">
        <v>4325</v>
      </c>
      <c r="B408" s="15" t="s">
        <v>495</v>
      </c>
      <c r="C408" s="1" t="s">
        <v>4326</v>
      </c>
    </row>
    <row r="409" spans="1:3">
      <c r="A409" s="15" t="s">
        <v>4327</v>
      </c>
      <c r="B409" s="15" t="s">
        <v>3940</v>
      </c>
      <c r="C409" s="1" t="s">
        <v>70</v>
      </c>
    </row>
    <row r="410" spans="1:3">
      <c r="A410" s="15" t="s">
        <v>4328</v>
      </c>
      <c r="B410" s="15" t="s">
        <v>495</v>
      </c>
      <c r="C410" s="1" t="s">
        <v>2652</v>
      </c>
    </row>
    <row r="411" spans="1:3">
      <c r="A411" s="15" t="s">
        <v>4329</v>
      </c>
      <c r="B411" s="15" t="s">
        <v>13</v>
      </c>
      <c r="C411" s="1" t="s">
        <v>2743</v>
      </c>
    </row>
    <row r="412" spans="1:3">
      <c r="A412" s="15" t="s">
        <v>4330</v>
      </c>
      <c r="B412" s="15" t="s">
        <v>3377</v>
      </c>
      <c r="C412" s="1" t="s">
        <v>4331</v>
      </c>
    </row>
    <row r="413" spans="1:3">
      <c r="A413" s="15" t="s">
        <v>4332</v>
      </c>
      <c r="B413" s="15" t="s">
        <v>4333</v>
      </c>
      <c r="C413" s="1" t="s">
        <v>4334</v>
      </c>
    </row>
    <row r="414" spans="1:3">
      <c r="A414" s="15" t="s">
        <v>4335</v>
      </c>
      <c r="B414" s="15" t="s">
        <v>3173</v>
      </c>
      <c r="C414" s="1" t="s">
        <v>4336</v>
      </c>
    </row>
    <row r="415" spans="1:3">
      <c r="A415" s="15" t="s">
        <v>4337</v>
      </c>
      <c r="B415" s="15" t="s">
        <v>3543</v>
      </c>
      <c r="C415" s="1" t="s">
        <v>4338</v>
      </c>
    </row>
    <row r="416" spans="1:3">
      <c r="A416" s="15" t="s">
        <v>4339</v>
      </c>
      <c r="B416" s="15" t="s">
        <v>161</v>
      </c>
      <c r="C416" s="15" t="s">
        <v>3222</v>
      </c>
    </row>
    <row r="417" spans="1:3">
      <c r="A417" s="15" t="s">
        <v>4340</v>
      </c>
      <c r="B417" s="15" t="s">
        <v>500</v>
      </c>
      <c r="C417" s="15" t="s">
        <v>4341</v>
      </c>
    </row>
    <row r="418" spans="1:3">
      <c r="A418" s="15" t="s">
        <v>4342</v>
      </c>
      <c r="B418" s="15" t="s">
        <v>3543</v>
      </c>
      <c r="C418" s="15" t="s">
        <v>4343</v>
      </c>
    </row>
    <row r="419" spans="1:3">
      <c r="A419" s="15" t="s">
        <v>4344</v>
      </c>
      <c r="B419" s="15" t="s">
        <v>4313</v>
      </c>
      <c r="C419" s="1" t="s">
        <v>4309</v>
      </c>
    </row>
    <row r="420" spans="1:3">
      <c r="A420" s="15" t="s">
        <v>4345</v>
      </c>
      <c r="B420" s="15" t="s">
        <v>75</v>
      </c>
      <c r="C420" s="1" t="s">
        <v>4346</v>
      </c>
    </row>
    <row r="421" spans="1:3">
      <c r="A421" s="15" t="s">
        <v>4347</v>
      </c>
      <c r="B421" s="15" t="s">
        <v>4348</v>
      </c>
      <c r="C421" s="1" t="s">
        <v>4349</v>
      </c>
    </row>
    <row r="422" spans="1:3">
      <c r="A422" s="15" t="s">
        <v>4350</v>
      </c>
      <c r="B422" s="15" t="s">
        <v>2798</v>
      </c>
      <c r="C422" s="1" t="s">
        <v>2799</v>
      </c>
    </row>
    <row r="423" spans="1:3">
      <c r="A423" s="15" t="s">
        <v>4351</v>
      </c>
      <c r="B423" s="15" t="s">
        <v>2377</v>
      </c>
      <c r="C423" s="1" t="s">
        <v>4352</v>
      </c>
    </row>
    <row r="424" spans="1:3">
      <c r="A424" s="15" t="s">
        <v>4353</v>
      </c>
      <c r="B424" s="15" t="s">
        <v>37</v>
      </c>
      <c r="C424" s="1" t="s">
        <v>3194</v>
      </c>
    </row>
    <row r="425" spans="1:3">
      <c r="A425" s="15" t="s">
        <v>4354</v>
      </c>
      <c r="B425" s="15" t="s">
        <v>4355</v>
      </c>
      <c r="C425" s="1" t="s">
        <v>4356</v>
      </c>
    </row>
    <row r="426" spans="1:3">
      <c r="A426" s="15" t="s">
        <v>4357</v>
      </c>
      <c r="B426" s="15" t="s">
        <v>2798</v>
      </c>
      <c r="C426" s="1" t="s">
        <v>2799</v>
      </c>
    </row>
    <row r="427" spans="1:3">
      <c r="A427" s="15" t="s">
        <v>4358</v>
      </c>
      <c r="B427" s="15" t="s">
        <v>4359</v>
      </c>
      <c r="C427" s="1" t="s">
        <v>4360</v>
      </c>
    </row>
    <row r="428" spans="1:3">
      <c r="A428" s="15" t="s">
        <v>4361</v>
      </c>
      <c r="B428" s="15" t="s">
        <v>3685</v>
      </c>
      <c r="C428" s="1" t="s">
        <v>4362</v>
      </c>
    </row>
    <row r="429" spans="1:3">
      <c r="A429" s="15" t="s">
        <v>4363</v>
      </c>
      <c r="B429" s="15" t="s">
        <v>24</v>
      </c>
      <c r="C429" s="15" t="s">
        <v>4364</v>
      </c>
    </row>
    <row r="430" spans="1:3">
      <c r="A430" s="15" t="s">
        <v>4365</v>
      </c>
      <c r="B430" s="15" t="s">
        <v>3519</v>
      </c>
      <c r="C430" s="15" t="s">
        <v>4366</v>
      </c>
    </row>
    <row r="431" spans="1:3">
      <c r="A431" s="15" t="s">
        <v>4367</v>
      </c>
      <c r="B431" s="15" t="s">
        <v>2934</v>
      </c>
      <c r="C431" s="15" t="s">
        <v>2935</v>
      </c>
    </row>
    <row r="432" spans="1:3">
      <c r="A432" s="15" t="s">
        <v>4368</v>
      </c>
      <c r="B432" s="15" t="s">
        <v>4250</v>
      </c>
      <c r="C432" s="1" t="s">
        <v>4369</v>
      </c>
    </row>
    <row r="433" spans="1:3">
      <c r="A433" s="15" t="s">
        <v>4370</v>
      </c>
      <c r="B433" s="15" t="s">
        <v>4371</v>
      </c>
      <c r="C433" s="1" t="s">
        <v>4372</v>
      </c>
    </row>
    <row r="434" spans="1:3">
      <c r="A434" s="15" t="s">
        <v>4373</v>
      </c>
      <c r="B434" s="15" t="s">
        <v>4306</v>
      </c>
      <c r="C434" s="1" t="s">
        <v>4374</v>
      </c>
    </row>
    <row r="435" spans="1:3">
      <c r="A435" s="15" t="s">
        <v>4375</v>
      </c>
      <c r="B435" s="15" t="s">
        <v>201</v>
      </c>
      <c r="C435" s="15" t="s">
        <v>4376</v>
      </c>
    </row>
    <row r="436" spans="1:3">
      <c r="A436" s="15" t="s">
        <v>4377</v>
      </c>
      <c r="B436" s="15" t="s">
        <v>3537</v>
      </c>
      <c r="C436" s="15" t="s">
        <v>4378</v>
      </c>
    </row>
    <row r="437" spans="1:3">
      <c r="A437" s="15" t="s">
        <v>4379</v>
      </c>
      <c r="B437" s="15" t="s">
        <v>3377</v>
      </c>
      <c r="C437" s="15" t="s">
        <v>4380</v>
      </c>
    </row>
    <row r="438" spans="1:3">
      <c r="A438" s="15" t="s">
        <v>4381</v>
      </c>
      <c r="B438" s="15" t="s">
        <v>4382</v>
      </c>
      <c r="C438" s="15" t="s">
        <v>4383</v>
      </c>
    </row>
    <row r="439" spans="1:3">
      <c r="A439" s="15" t="s">
        <v>4384</v>
      </c>
      <c r="B439" s="15" t="s">
        <v>4385</v>
      </c>
      <c r="C439" s="15" t="s">
        <v>4386</v>
      </c>
    </row>
    <row r="440" spans="1:3">
      <c r="A440" s="15" t="s">
        <v>4387</v>
      </c>
      <c r="B440" s="15" t="s">
        <v>3552</v>
      </c>
      <c r="C440" s="15" t="s">
        <v>4388</v>
      </c>
    </row>
    <row r="441" spans="1:3">
      <c r="A441" s="15" t="s">
        <v>4389</v>
      </c>
      <c r="B441" s="15" t="s">
        <v>118</v>
      </c>
      <c r="C441" s="1" t="s">
        <v>4390</v>
      </c>
    </row>
    <row r="442" spans="1:3">
      <c r="A442" s="15" t="s">
        <v>4391</v>
      </c>
      <c r="B442" s="15" t="s">
        <v>741</v>
      </c>
      <c r="C442" s="1" t="s">
        <v>4392</v>
      </c>
    </row>
    <row r="443" spans="1:3">
      <c r="A443" s="15" t="s">
        <v>4393</v>
      </c>
      <c r="B443" s="15" t="s">
        <v>168</v>
      </c>
      <c r="C443" s="15" t="s">
        <v>4394</v>
      </c>
    </row>
    <row r="444" spans="1:3">
      <c r="A444" s="15" t="s">
        <v>4395</v>
      </c>
      <c r="B444" s="15" t="s">
        <v>24</v>
      </c>
      <c r="C444" s="15" t="s">
        <v>4396</v>
      </c>
    </row>
    <row r="445" spans="1:3">
      <c r="A445" s="15" t="s">
        <v>4397</v>
      </c>
      <c r="B445" s="15" t="s">
        <v>30</v>
      </c>
      <c r="C445" s="15" t="s">
        <v>4398</v>
      </c>
    </row>
    <row r="446" spans="1:3">
      <c r="A446" s="15" t="s">
        <v>4399</v>
      </c>
      <c r="B446" s="15" t="s">
        <v>30</v>
      </c>
      <c r="C446" s="1" t="s">
        <v>4400</v>
      </c>
    </row>
    <row r="447" spans="1:3">
      <c r="A447" s="15" t="s">
        <v>4401</v>
      </c>
      <c r="B447" s="15" t="s">
        <v>4402</v>
      </c>
      <c r="C447" s="1" t="s">
        <v>2948</v>
      </c>
    </row>
    <row r="448" spans="1:3">
      <c r="A448" s="15" t="s">
        <v>4403</v>
      </c>
      <c r="B448" s="15" t="s">
        <v>4306</v>
      </c>
      <c r="C448" s="1" t="s">
        <v>4404</v>
      </c>
    </row>
    <row r="449" spans="1:3">
      <c r="A449" s="15" t="s">
        <v>4405</v>
      </c>
      <c r="B449" s="15" t="s">
        <v>198</v>
      </c>
      <c r="C449" s="15" t="s">
        <v>4406</v>
      </c>
    </row>
    <row r="450" spans="1:3">
      <c r="A450" s="15" t="s">
        <v>4407</v>
      </c>
      <c r="B450" s="15" t="s">
        <v>3543</v>
      </c>
      <c r="C450" s="15" t="s">
        <v>4408</v>
      </c>
    </row>
    <row r="451" spans="1:3">
      <c r="A451" s="15" t="s">
        <v>4409</v>
      </c>
      <c r="B451" s="15" t="s">
        <v>827</v>
      </c>
      <c r="C451" s="1" t="s">
        <v>4410</v>
      </c>
    </row>
    <row r="452" spans="1:3">
      <c r="A452" s="15" t="s">
        <v>4411</v>
      </c>
      <c r="B452" s="15" t="s">
        <v>201</v>
      </c>
      <c r="C452" s="1" t="s">
        <v>3371</v>
      </c>
    </row>
    <row r="453" spans="1:3">
      <c r="A453" s="15" t="s">
        <v>4412</v>
      </c>
      <c r="B453" s="15" t="s">
        <v>2992</v>
      </c>
      <c r="C453" s="1" t="s">
        <v>4413</v>
      </c>
    </row>
    <row r="454" spans="1:3">
      <c r="A454" s="15" t="s">
        <v>4414</v>
      </c>
      <c r="B454" s="15" t="s">
        <v>4415</v>
      </c>
      <c r="C454" s="15" t="s">
        <v>4416</v>
      </c>
    </row>
    <row r="455" spans="1:3">
      <c r="A455" s="15" t="s">
        <v>4417</v>
      </c>
      <c r="B455" s="15" t="s">
        <v>727</v>
      </c>
      <c r="C455" s="15" t="s">
        <v>4418</v>
      </c>
    </row>
    <row r="456" spans="1:3">
      <c r="A456" s="15" t="s">
        <v>4419</v>
      </c>
      <c r="B456" s="15" t="s">
        <v>195</v>
      </c>
      <c r="C456" s="15" t="s">
        <v>4420</v>
      </c>
    </row>
    <row r="457" spans="1:3">
      <c r="A457" s="15" t="s">
        <v>4421</v>
      </c>
      <c r="B457" s="15" t="s">
        <v>195</v>
      </c>
      <c r="C457" s="15" t="s">
        <v>4422</v>
      </c>
    </row>
    <row r="458" spans="1:3">
      <c r="A458" s="15" t="s">
        <v>4423</v>
      </c>
      <c r="B458" s="15" t="s">
        <v>3562</v>
      </c>
      <c r="C458" s="15" t="s">
        <v>4424</v>
      </c>
    </row>
    <row r="459" spans="1:3">
      <c r="A459" s="15" t="s">
        <v>4425</v>
      </c>
      <c r="B459" s="15" t="s">
        <v>4426</v>
      </c>
      <c r="C459" s="15" t="s">
        <v>4427</v>
      </c>
    </row>
    <row r="460" spans="1:3">
      <c r="A460" s="15" t="s">
        <v>4428</v>
      </c>
      <c r="B460" s="15" t="s">
        <v>4415</v>
      </c>
      <c r="C460" s="1" t="s">
        <v>4429</v>
      </c>
    </row>
    <row r="461" spans="1:3">
      <c r="A461" s="15" t="s">
        <v>4430</v>
      </c>
      <c r="B461" s="15" t="s">
        <v>4431</v>
      </c>
      <c r="C461" s="1" t="s">
        <v>4432</v>
      </c>
    </row>
    <row r="462" spans="1:3">
      <c r="A462" s="15" t="s">
        <v>4433</v>
      </c>
      <c r="B462" s="15" t="s">
        <v>3532</v>
      </c>
      <c r="C462" s="1" t="s">
        <v>4434</v>
      </c>
    </row>
    <row r="463" spans="1:3">
      <c r="A463" s="15" t="s">
        <v>4435</v>
      </c>
      <c r="B463" s="15" t="s">
        <v>2835</v>
      </c>
      <c r="C463" s="1" t="s">
        <v>2836</v>
      </c>
    </row>
    <row r="464" spans="1:3">
      <c r="A464" s="15" t="s">
        <v>4436</v>
      </c>
      <c r="B464" s="15" t="s">
        <v>3532</v>
      </c>
      <c r="C464" s="15" t="s">
        <v>4437</v>
      </c>
    </row>
    <row r="465" spans="1:3">
      <c r="A465" s="15" t="s">
        <v>4438</v>
      </c>
      <c r="B465" s="15" t="s">
        <v>2377</v>
      </c>
      <c r="C465" s="1" t="s">
        <v>4439</v>
      </c>
    </row>
    <row r="466" spans="1:3">
      <c r="A466" s="15" t="s">
        <v>4440</v>
      </c>
      <c r="B466" s="15" t="s">
        <v>2523</v>
      </c>
      <c r="C466" s="1" t="s">
        <v>2786</v>
      </c>
    </row>
    <row r="467" spans="1:3">
      <c r="A467" s="15" t="s">
        <v>4441</v>
      </c>
      <c r="B467" s="15" t="s">
        <v>4204</v>
      </c>
      <c r="C467" s="15" t="s">
        <v>4442</v>
      </c>
    </row>
    <row r="468" spans="1:3">
      <c r="A468" s="15" t="s">
        <v>4443</v>
      </c>
      <c r="B468" s="15" t="s">
        <v>4348</v>
      </c>
      <c r="C468" s="15" t="s">
        <v>4444</v>
      </c>
    </row>
    <row r="469" spans="1:3">
      <c r="A469" s="15" t="s">
        <v>4445</v>
      </c>
      <c r="B469" s="15" t="s">
        <v>16</v>
      </c>
      <c r="C469" s="1" t="s">
        <v>4163</v>
      </c>
    </row>
    <row r="470" spans="1:3">
      <c r="A470" s="15" t="s">
        <v>4446</v>
      </c>
      <c r="B470" s="15" t="s">
        <v>4447</v>
      </c>
      <c r="C470" s="1" t="s">
        <v>4448</v>
      </c>
    </row>
    <row r="471" spans="1:3">
      <c r="A471" s="15" t="s">
        <v>4449</v>
      </c>
      <c r="B471" s="15" t="s">
        <v>4450</v>
      </c>
      <c r="C471" s="1" t="s">
        <v>4451</v>
      </c>
    </row>
    <row r="472" spans="1:3">
      <c r="A472" s="15" t="s">
        <v>4452</v>
      </c>
      <c r="B472" s="15" t="s">
        <v>727</v>
      </c>
      <c r="C472" s="1" t="s">
        <v>4453</v>
      </c>
    </row>
    <row r="473" spans="1:3">
      <c r="A473" s="15" t="s">
        <v>4454</v>
      </c>
      <c r="B473" s="15" t="s">
        <v>4455</v>
      </c>
      <c r="C473" s="1" t="s">
        <v>4456</v>
      </c>
    </row>
    <row r="474" spans="1:3">
      <c r="A474" s="15" t="s">
        <v>4457</v>
      </c>
      <c r="B474" s="15" t="s">
        <v>3639</v>
      </c>
      <c r="C474" s="15" t="s">
        <v>4458</v>
      </c>
    </row>
    <row r="475" spans="1:3">
      <c r="A475" s="15" t="s">
        <v>4459</v>
      </c>
      <c r="B475" s="15" t="s">
        <v>3757</v>
      </c>
      <c r="C475" s="1" t="s">
        <v>4460</v>
      </c>
    </row>
    <row r="476" spans="1:3">
      <c r="A476" s="15" t="s">
        <v>4461</v>
      </c>
      <c r="B476" s="15" t="s">
        <v>4462</v>
      </c>
      <c r="C476" s="1" t="s">
        <v>4463</v>
      </c>
    </row>
    <row r="477" spans="1:3">
      <c r="A477" s="15" t="s">
        <v>4464</v>
      </c>
      <c r="B477" s="15" t="s">
        <v>2729</v>
      </c>
      <c r="C477" s="15" t="s">
        <v>3312</v>
      </c>
    </row>
    <row r="478" spans="1:3">
      <c r="A478" s="15" t="s">
        <v>4465</v>
      </c>
      <c r="B478" s="15" t="s">
        <v>24</v>
      </c>
      <c r="C478" s="15" t="s">
        <v>4466</v>
      </c>
    </row>
    <row r="479" spans="1:3">
      <c r="A479" s="15" t="s">
        <v>4467</v>
      </c>
      <c r="B479" s="15" t="s">
        <v>155</v>
      </c>
      <c r="C479" s="1" t="s">
        <v>156</v>
      </c>
    </row>
    <row r="480" spans="1:3">
      <c r="A480" s="15" t="s">
        <v>4468</v>
      </c>
      <c r="B480" s="15" t="s">
        <v>2446</v>
      </c>
      <c r="C480" s="1" t="s">
        <v>4469</v>
      </c>
    </row>
    <row r="481" spans="1:3">
      <c r="A481" s="15" t="s">
        <v>4470</v>
      </c>
      <c r="B481" s="15" t="s">
        <v>4471</v>
      </c>
      <c r="C481" s="1" t="s">
        <v>4472</v>
      </c>
    </row>
    <row r="482" spans="1:3">
      <c r="A482" s="15" t="s">
        <v>4473</v>
      </c>
      <c r="B482" s="15" t="s">
        <v>412</v>
      </c>
      <c r="C482" s="1" t="s">
        <v>4474</v>
      </c>
    </row>
    <row r="483" spans="1:3">
      <c r="A483" s="15" t="s">
        <v>4475</v>
      </c>
      <c r="B483" s="15" t="s">
        <v>4476</v>
      </c>
      <c r="C483" s="1" t="s">
        <v>4477</v>
      </c>
    </row>
    <row r="484" spans="1:3">
      <c r="A484" s="15" t="s">
        <v>4478</v>
      </c>
      <c r="B484" s="15" t="s">
        <v>195</v>
      </c>
      <c r="C484" s="15" t="s">
        <v>2801</v>
      </c>
    </row>
    <row r="485" spans="1:3">
      <c r="A485" s="15" t="s">
        <v>4479</v>
      </c>
      <c r="B485" s="15" t="s">
        <v>2520</v>
      </c>
      <c r="C485" s="15" t="s">
        <v>4480</v>
      </c>
    </row>
    <row r="486" spans="1:3">
      <c r="A486" s="15" t="s">
        <v>4481</v>
      </c>
      <c r="B486" s="15" t="s">
        <v>4482</v>
      </c>
      <c r="C486" s="15" t="s">
        <v>4483</v>
      </c>
    </row>
    <row r="487" spans="1:3">
      <c r="A487" s="15" t="s">
        <v>4484</v>
      </c>
      <c r="B487" s="15" t="s">
        <v>2747</v>
      </c>
      <c r="C487" s="1" t="s">
        <v>4485</v>
      </c>
    </row>
    <row r="488" spans="1:3">
      <c r="A488" s="15" t="s">
        <v>4486</v>
      </c>
      <c r="B488" s="15" t="s">
        <v>3543</v>
      </c>
      <c r="C488" s="1" t="s">
        <v>4487</v>
      </c>
    </row>
    <row r="489" spans="1:3">
      <c r="A489" s="15" t="s">
        <v>4488</v>
      </c>
      <c r="B489" s="15" t="s">
        <v>4489</v>
      </c>
      <c r="C489" s="1" t="s">
        <v>4490</v>
      </c>
    </row>
    <row r="490" spans="1:3">
      <c r="A490" s="15" t="s">
        <v>4491</v>
      </c>
      <c r="B490" s="15" t="s">
        <v>4482</v>
      </c>
      <c r="C490" s="1" t="s">
        <v>4492</v>
      </c>
    </row>
    <row r="491" spans="1:3">
      <c r="A491" s="15" t="s">
        <v>4493</v>
      </c>
      <c r="B491" s="15" t="s">
        <v>4494</v>
      </c>
      <c r="C491" s="1" t="s">
        <v>4495</v>
      </c>
    </row>
    <row r="492" spans="1:3">
      <c r="A492" s="15" t="s">
        <v>4496</v>
      </c>
      <c r="B492" s="15" t="s">
        <v>9</v>
      </c>
      <c r="C492" s="1" t="s">
        <v>3321</v>
      </c>
    </row>
    <row r="493" spans="1:3">
      <c r="A493" s="15" t="s">
        <v>4497</v>
      </c>
      <c r="B493" s="15" t="s">
        <v>4498</v>
      </c>
      <c r="C493" s="1" t="s">
        <v>4499</v>
      </c>
    </row>
    <row r="494" spans="1:3">
      <c r="A494" s="15" t="s">
        <v>4500</v>
      </c>
      <c r="B494" s="15" t="s">
        <v>4277</v>
      </c>
      <c r="C494" s="15" t="s">
        <v>4501</v>
      </c>
    </row>
    <row r="495" spans="1:3">
      <c r="A495" s="15" t="s">
        <v>4502</v>
      </c>
      <c r="B495" s="15" t="s">
        <v>4503</v>
      </c>
      <c r="C495" s="15" t="s">
        <v>4504</v>
      </c>
    </row>
    <row r="496" spans="1:3">
      <c r="A496" s="15" t="s">
        <v>4505</v>
      </c>
      <c r="B496" s="15" t="s">
        <v>4506</v>
      </c>
      <c r="C496" s="1" t="s">
        <v>4507</v>
      </c>
    </row>
    <row r="497" spans="1:3">
      <c r="A497" s="15" t="s">
        <v>4508</v>
      </c>
      <c r="B497" s="15" t="s">
        <v>1617</v>
      </c>
      <c r="C497" s="1" t="s">
        <v>4509</v>
      </c>
    </row>
    <row r="498" spans="1:3">
      <c r="A498" s="15" t="s">
        <v>4510</v>
      </c>
      <c r="B498" s="15" t="s">
        <v>4511</v>
      </c>
      <c r="C498" s="15" t="s">
        <v>4512</v>
      </c>
    </row>
    <row r="499" spans="1:3">
      <c r="A499" s="15" t="s">
        <v>4513</v>
      </c>
      <c r="B499" s="15" t="s">
        <v>2978</v>
      </c>
      <c r="C499" s="15" t="s">
        <v>4514</v>
      </c>
    </row>
    <row r="500" spans="1:3">
      <c r="A500" s="15" t="s">
        <v>4515</v>
      </c>
      <c r="B500" s="15" t="s">
        <v>3757</v>
      </c>
      <c r="C500" s="15" t="s">
        <v>4516</v>
      </c>
    </row>
    <row r="501" spans="1:3">
      <c r="A501" s="15" t="s">
        <v>4517</v>
      </c>
      <c r="B501" s="15" t="s">
        <v>3639</v>
      </c>
      <c r="C501" s="15" t="s">
        <v>4518</v>
      </c>
    </row>
    <row r="502" spans="1:3">
      <c r="A502" s="15" t="s">
        <v>4519</v>
      </c>
      <c r="B502" s="15" t="s">
        <v>161</v>
      </c>
      <c r="C502" s="1" t="s">
        <v>4520</v>
      </c>
    </row>
    <row r="503" spans="1:3">
      <c r="A503" s="15" t="s">
        <v>4521</v>
      </c>
      <c r="B503" s="15" t="s">
        <v>1429</v>
      </c>
      <c r="C503" s="15" t="s">
        <v>4522</v>
      </c>
    </row>
    <row r="504" spans="1:3">
      <c r="A504" s="15" t="s">
        <v>4523</v>
      </c>
      <c r="B504" s="15" t="s">
        <v>4277</v>
      </c>
      <c r="C504" s="1" t="s">
        <v>4524</v>
      </c>
    </row>
    <row r="505" spans="1:3">
      <c r="A505" s="15" t="s">
        <v>4525</v>
      </c>
      <c r="B505" s="15" t="s">
        <v>635</v>
      </c>
      <c r="C505" s="15" t="s">
        <v>4526</v>
      </c>
    </row>
    <row r="506" spans="1:3">
      <c r="A506" s="15" t="s">
        <v>4527</v>
      </c>
      <c r="B506" s="15" t="s">
        <v>3532</v>
      </c>
      <c r="C506" s="15" t="s">
        <v>4528</v>
      </c>
    </row>
    <row r="507" spans="1:3">
      <c r="A507" s="15" t="s">
        <v>4529</v>
      </c>
      <c r="B507" s="15" t="s">
        <v>3814</v>
      </c>
      <c r="C507" s="15" t="s">
        <v>4530</v>
      </c>
    </row>
    <row r="508" spans="1:3">
      <c r="A508" s="15" t="s">
        <v>4531</v>
      </c>
      <c r="B508" s="15" t="s">
        <v>741</v>
      </c>
      <c r="C508" s="15" t="s">
        <v>2937</v>
      </c>
    </row>
    <row r="509" spans="1:3">
      <c r="A509" s="15" t="s">
        <v>4532</v>
      </c>
      <c r="B509" s="15" t="s">
        <v>827</v>
      </c>
      <c r="C509" s="15" t="s">
        <v>4533</v>
      </c>
    </row>
    <row r="510" spans="1:3">
      <c r="A510" s="15" t="s">
        <v>4534</v>
      </c>
      <c r="B510" s="15" t="s">
        <v>2967</v>
      </c>
      <c r="C510" s="1" t="s">
        <v>4535</v>
      </c>
    </row>
    <row r="511" spans="1:3">
      <c r="A511" s="15" t="s">
        <v>4536</v>
      </c>
      <c r="B511" s="15" t="s">
        <v>3814</v>
      </c>
      <c r="C511" s="15" t="s">
        <v>4537</v>
      </c>
    </row>
    <row r="512" spans="1:3">
      <c r="A512" s="15" t="s">
        <v>4538</v>
      </c>
      <c r="B512" s="15" t="s">
        <v>4539</v>
      </c>
      <c r="C512" s="15" t="s">
        <v>4540</v>
      </c>
    </row>
    <row r="513" spans="1:3">
      <c r="A513" s="15" t="s">
        <v>4541</v>
      </c>
      <c r="B513" s="15" t="s">
        <v>3537</v>
      </c>
      <c r="C513" s="15" t="s">
        <v>4542</v>
      </c>
    </row>
    <row r="514" spans="1:3">
      <c r="A514" s="15" t="s">
        <v>4543</v>
      </c>
      <c r="B514" s="15" t="s">
        <v>2843</v>
      </c>
      <c r="C514" s="1" t="s">
        <v>2844</v>
      </c>
    </row>
    <row r="515" spans="1:3">
      <c r="A515" s="15" t="s">
        <v>4544</v>
      </c>
      <c r="B515" s="15" t="s">
        <v>195</v>
      </c>
      <c r="C515" s="1" t="s">
        <v>4545</v>
      </c>
    </row>
    <row r="516" spans="1:3">
      <c r="A516" s="15" t="s">
        <v>4546</v>
      </c>
      <c r="B516" s="15" t="s">
        <v>195</v>
      </c>
      <c r="C516" s="1" t="s">
        <v>4547</v>
      </c>
    </row>
    <row r="517" spans="1:3">
      <c r="A517" s="15" t="s">
        <v>4548</v>
      </c>
      <c r="B517" s="15" t="s">
        <v>1429</v>
      </c>
      <c r="C517" s="1" t="s">
        <v>4549</v>
      </c>
    </row>
    <row r="518" spans="1:3">
      <c r="A518" s="15" t="s">
        <v>4550</v>
      </c>
      <c r="B518" s="15" t="s">
        <v>2574</v>
      </c>
      <c r="C518" s="15" t="s">
        <v>4551</v>
      </c>
    </row>
    <row r="519" spans="1:3">
      <c r="A519" s="15" t="s">
        <v>4552</v>
      </c>
      <c r="B519" s="15" t="s">
        <v>90</v>
      </c>
      <c r="C519" s="15" t="s">
        <v>2837</v>
      </c>
    </row>
    <row r="520" spans="1:3">
      <c r="A520" s="15" t="s">
        <v>4553</v>
      </c>
      <c r="B520" s="15" t="s">
        <v>4554</v>
      </c>
      <c r="C520" s="1" t="s">
        <v>4555</v>
      </c>
    </row>
    <row r="521" spans="1:3">
      <c r="A521" s="15" t="s">
        <v>4556</v>
      </c>
      <c r="B521" s="15" t="s">
        <v>3543</v>
      </c>
      <c r="C521" s="15" t="s">
        <v>4557</v>
      </c>
    </row>
    <row r="522" spans="1:3">
      <c r="A522" s="15" t="s">
        <v>4558</v>
      </c>
      <c r="B522" s="15" t="s">
        <v>90</v>
      </c>
      <c r="C522" s="15" t="s">
        <v>2837</v>
      </c>
    </row>
    <row r="523" spans="1:3">
      <c r="A523" s="15" t="s">
        <v>4559</v>
      </c>
      <c r="B523" s="15" t="s">
        <v>3191</v>
      </c>
      <c r="C523" s="15" t="s">
        <v>3007</v>
      </c>
    </row>
    <row r="524" spans="1:3">
      <c r="A524" s="15" t="s">
        <v>4560</v>
      </c>
      <c r="B524" s="15" t="s">
        <v>3486</v>
      </c>
      <c r="C524" s="15" t="s">
        <v>4561</v>
      </c>
    </row>
    <row r="525" spans="1:3">
      <c r="A525" s="15" t="s">
        <v>4562</v>
      </c>
      <c r="B525" s="15" t="s">
        <v>3627</v>
      </c>
      <c r="C525" s="1" t="s">
        <v>3093</v>
      </c>
    </row>
    <row r="526" spans="1:3">
      <c r="A526" s="15" t="s">
        <v>4563</v>
      </c>
      <c r="B526" s="15" t="s">
        <v>3608</v>
      </c>
      <c r="C526" s="1" t="s">
        <v>4564</v>
      </c>
    </row>
    <row r="527" spans="1:3">
      <c r="A527" s="15" t="s">
        <v>4565</v>
      </c>
      <c r="B527" s="15" t="s">
        <v>2520</v>
      </c>
      <c r="C527" s="1" t="s">
        <v>4566</v>
      </c>
    </row>
    <row r="528" spans="1:3">
      <c r="A528" s="15" t="s">
        <v>4567</v>
      </c>
      <c r="B528" s="15" t="s">
        <v>322</v>
      </c>
      <c r="C528" s="1" t="s">
        <v>4568</v>
      </c>
    </row>
    <row r="529" spans="1:3">
      <c r="A529" s="15" t="s">
        <v>4569</v>
      </c>
      <c r="B529" s="15" t="s">
        <v>3543</v>
      </c>
      <c r="C529" s="1" t="s">
        <v>4570</v>
      </c>
    </row>
    <row r="530" spans="1:3">
      <c r="A530" s="15" t="s">
        <v>4571</v>
      </c>
      <c r="B530" s="15" t="s">
        <v>4447</v>
      </c>
      <c r="C530" s="1" t="s">
        <v>2943</v>
      </c>
    </row>
    <row r="531" spans="1:3">
      <c r="A531" s="15" t="s">
        <v>4572</v>
      </c>
      <c r="B531" s="15" t="s">
        <v>2460</v>
      </c>
      <c r="C531" s="15" t="s">
        <v>2950</v>
      </c>
    </row>
    <row r="532" spans="1:3">
      <c r="A532" s="15" t="s">
        <v>4573</v>
      </c>
      <c r="B532" s="15" t="s">
        <v>2998</v>
      </c>
      <c r="C532" s="15" t="s">
        <v>4574</v>
      </c>
    </row>
    <row r="533" spans="1:3">
      <c r="A533" s="15" t="s">
        <v>4575</v>
      </c>
      <c r="B533" s="15" t="s">
        <v>322</v>
      </c>
      <c r="C533" s="1" t="s">
        <v>4576</v>
      </c>
    </row>
    <row r="534" spans="1:3">
      <c r="A534" s="15" t="s">
        <v>4577</v>
      </c>
      <c r="B534" s="15" t="s">
        <v>2377</v>
      </c>
      <c r="C534" s="15" t="s">
        <v>4578</v>
      </c>
    </row>
    <row r="535" spans="1:3">
      <c r="A535" s="15" t="s">
        <v>4579</v>
      </c>
      <c r="B535" s="15" t="s">
        <v>30</v>
      </c>
      <c r="C535" s="15" t="s">
        <v>4580</v>
      </c>
    </row>
    <row r="536" spans="1:3">
      <c r="A536" s="15" t="s">
        <v>4581</v>
      </c>
      <c r="B536" s="15" t="s">
        <v>3263</v>
      </c>
      <c r="C536" s="15" t="s">
        <v>3243</v>
      </c>
    </row>
    <row r="537" spans="1:3">
      <c r="A537" s="15" t="s">
        <v>4582</v>
      </c>
      <c r="B537" s="15" t="s">
        <v>3594</v>
      </c>
      <c r="C537" s="15" t="s">
        <v>2804</v>
      </c>
    </row>
    <row r="538" spans="1:3">
      <c r="A538" s="15" t="s">
        <v>4583</v>
      </c>
      <c r="B538" s="15" t="s">
        <v>2783</v>
      </c>
      <c r="C538" s="1" t="s">
        <v>4584</v>
      </c>
    </row>
    <row r="539" spans="1:3">
      <c r="A539" s="15" t="s">
        <v>4585</v>
      </c>
      <c r="B539" s="15" t="s">
        <v>107</v>
      </c>
      <c r="C539" s="1" t="s">
        <v>3187</v>
      </c>
    </row>
    <row r="540" spans="1:3">
      <c r="A540" s="15" t="s">
        <v>4586</v>
      </c>
      <c r="B540" s="15" t="s">
        <v>2998</v>
      </c>
      <c r="C540" s="15" t="s">
        <v>4587</v>
      </c>
    </row>
    <row r="541" spans="1:3">
      <c r="A541" s="15" t="s">
        <v>4588</v>
      </c>
      <c r="B541" s="15" t="s">
        <v>3173</v>
      </c>
      <c r="C541" s="15" t="s">
        <v>4589</v>
      </c>
    </row>
    <row r="542" spans="1:3">
      <c r="A542" s="15" t="s">
        <v>4590</v>
      </c>
      <c r="B542" s="15" t="s">
        <v>30</v>
      </c>
      <c r="C542" s="1" t="s">
        <v>4591</v>
      </c>
    </row>
    <row r="543" spans="1:3">
      <c r="A543" s="15" t="s">
        <v>4592</v>
      </c>
      <c r="B543" s="15" t="s">
        <v>4204</v>
      </c>
      <c r="C543" s="1" t="s">
        <v>4593</v>
      </c>
    </row>
    <row r="544" spans="1:3">
      <c r="A544" s="15" t="s">
        <v>4594</v>
      </c>
      <c r="B544" s="15" t="s">
        <v>4027</v>
      </c>
      <c r="C544" s="15" t="s">
        <v>4595</v>
      </c>
    </row>
    <row r="545" spans="1:3">
      <c r="A545" s="15" t="s">
        <v>4596</v>
      </c>
      <c r="B545" s="15" t="s">
        <v>322</v>
      </c>
      <c r="C545" s="15" t="s">
        <v>4597</v>
      </c>
    </row>
    <row r="546" spans="1:3">
      <c r="A546" s="15" t="s">
        <v>4598</v>
      </c>
      <c r="B546" s="15" t="s">
        <v>2555</v>
      </c>
      <c r="C546" s="1" t="s">
        <v>4599</v>
      </c>
    </row>
    <row r="547" spans="1:3">
      <c r="A547" s="15" t="s">
        <v>4600</v>
      </c>
      <c r="B547" s="15" t="s">
        <v>3532</v>
      </c>
      <c r="C547" s="1" t="s">
        <v>4601</v>
      </c>
    </row>
    <row r="548" spans="1:3">
      <c r="A548" s="15" t="s">
        <v>4602</v>
      </c>
      <c r="B548" s="15" t="s">
        <v>3744</v>
      </c>
      <c r="C548" s="15" t="s">
        <v>4603</v>
      </c>
    </row>
    <row r="549" spans="1:3">
      <c r="A549" s="15" t="s">
        <v>4604</v>
      </c>
      <c r="B549" s="15" t="s">
        <v>3173</v>
      </c>
      <c r="C549" s="15" t="s">
        <v>4605</v>
      </c>
    </row>
    <row r="550" spans="1:3">
      <c r="A550" s="15" t="s">
        <v>4606</v>
      </c>
      <c r="B550" s="15" t="s">
        <v>168</v>
      </c>
      <c r="C550" s="15" t="s">
        <v>4607</v>
      </c>
    </row>
    <row r="551" spans="1:3">
      <c r="A551" s="15" t="s">
        <v>4608</v>
      </c>
      <c r="B551" s="15" t="s">
        <v>4609</v>
      </c>
      <c r="C551" s="1" t="s">
        <v>4610</v>
      </c>
    </row>
    <row r="552" spans="1:3">
      <c r="A552" s="15" t="s">
        <v>4611</v>
      </c>
      <c r="B552" s="15" t="s">
        <v>4612</v>
      </c>
      <c r="C552" s="1" t="s">
        <v>4613</v>
      </c>
    </row>
    <row r="553" spans="1:3">
      <c r="A553" s="15" t="s">
        <v>4614</v>
      </c>
      <c r="B553" s="15" t="s">
        <v>3532</v>
      </c>
      <c r="C553" s="1" t="s">
        <v>4615</v>
      </c>
    </row>
    <row r="554" spans="1:3">
      <c r="A554" s="15" t="s">
        <v>4616</v>
      </c>
      <c r="B554" s="15" t="s">
        <v>3562</v>
      </c>
      <c r="C554" s="15" t="s">
        <v>4617</v>
      </c>
    </row>
    <row r="555" spans="1:3">
      <c r="A555" s="15" t="s">
        <v>4618</v>
      </c>
      <c r="B555" s="15" t="s">
        <v>198</v>
      </c>
      <c r="C555" s="15" t="s">
        <v>4619</v>
      </c>
    </row>
    <row r="556" spans="1:3">
      <c r="A556" s="15" t="s">
        <v>4620</v>
      </c>
      <c r="B556" s="15" t="s">
        <v>4612</v>
      </c>
      <c r="C556" s="1" t="s">
        <v>4621</v>
      </c>
    </row>
    <row r="557" spans="1:3">
      <c r="A557" s="15" t="s">
        <v>4622</v>
      </c>
      <c r="B557" s="15" t="s">
        <v>827</v>
      </c>
      <c r="C557" s="1" t="s">
        <v>4623</v>
      </c>
    </row>
    <row r="558" spans="1:3">
      <c r="A558" s="15" t="s">
        <v>4624</v>
      </c>
      <c r="B558" s="15" t="s">
        <v>495</v>
      </c>
      <c r="C558" s="1" t="s">
        <v>4625</v>
      </c>
    </row>
    <row r="559" spans="1:3">
      <c r="A559" s="15" t="s">
        <v>4626</v>
      </c>
      <c r="B559" s="15" t="s">
        <v>1289</v>
      </c>
      <c r="C559" s="15" t="s">
        <v>4627</v>
      </c>
    </row>
    <row r="560" spans="1:3">
      <c r="A560" s="15" t="s">
        <v>4628</v>
      </c>
      <c r="B560" s="15" t="s">
        <v>161</v>
      </c>
      <c r="C560" s="1" t="s">
        <v>4629</v>
      </c>
    </row>
    <row r="561" spans="1:3">
      <c r="A561" s="15" t="s">
        <v>4630</v>
      </c>
      <c r="B561" s="15" t="s">
        <v>118</v>
      </c>
      <c r="C561" s="1" t="s">
        <v>4631</v>
      </c>
    </row>
    <row r="562" spans="1:3">
      <c r="A562" s="15" t="s">
        <v>4632</v>
      </c>
      <c r="B562" s="15" t="s">
        <v>4382</v>
      </c>
      <c r="C562" s="1" t="s">
        <v>4633</v>
      </c>
    </row>
    <row r="563" spans="1:3">
      <c r="A563" s="15" t="s">
        <v>4634</v>
      </c>
      <c r="B563" s="15" t="s">
        <v>2747</v>
      </c>
      <c r="C563" s="1" t="s">
        <v>4635</v>
      </c>
    </row>
    <row r="564" spans="1:3">
      <c r="A564" s="15" t="s">
        <v>4636</v>
      </c>
      <c r="B564" s="15" t="s">
        <v>1032</v>
      </c>
      <c r="C564" s="15" t="s">
        <v>4637</v>
      </c>
    </row>
    <row r="565" spans="1:3">
      <c r="A565" s="15" t="s">
        <v>4638</v>
      </c>
      <c r="B565" s="15" t="s">
        <v>2998</v>
      </c>
      <c r="C565" s="15" t="s">
        <v>4574</v>
      </c>
    </row>
    <row r="566" spans="1:3">
      <c r="A566" s="15" t="s">
        <v>4639</v>
      </c>
      <c r="B566" s="15" t="s">
        <v>1032</v>
      </c>
      <c r="C566" s="1" t="s">
        <v>4640</v>
      </c>
    </row>
    <row r="567" spans="1:3">
      <c r="A567" s="15" t="s">
        <v>4641</v>
      </c>
      <c r="B567" s="15" t="s">
        <v>3744</v>
      </c>
      <c r="C567" s="15" t="s">
        <v>4642</v>
      </c>
    </row>
    <row r="568" spans="1:3">
      <c r="A568" s="15" t="s">
        <v>4643</v>
      </c>
      <c r="B568" s="15" t="s">
        <v>4277</v>
      </c>
      <c r="C568" s="1" t="s">
        <v>2739</v>
      </c>
    </row>
    <row r="569" spans="1:3">
      <c r="A569" s="15" t="s">
        <v>4644</v>
      </c>
      <c r="B569" s="15" t="s">
        <v>4348</v>
      </c>
      <c r="C569" s="1" t="s">
        <v>4645</v>
      </c>
    </row>
    <row r="570" spans="1:3">
      <c r="A570" s="15" t="s">
        <v>4646</v>
      </c>
      <c r="B570" s="15" t="s">
        <v>4647</v>
      </c>
      <c r="C570" s="15" t="s">
        <v>4648</v>
      </c>
    </row>
    <row r="571" spans="1:3">
      <c r="A571" s="15" t="s">
        <v>4649</v>
      </c>
      <c r="B571" s="15" t="s">
        <v>1032</v>
      </c>
      <c r="C571" s="1" t="s">
        <v>4650</v>
      </c>
    </row>
    <row r="572" spans="1:3">
      <c r="A572" s="15" t="s">
        <v>4651</v>
      </c>
      <c r="B572" s="15" t="s">
        <v>198</v>
      </c>
      <c r="C572" s="15" t="s">
        <v>4652</v>
      </c>
    </row>
    <row r="573" spans="1:3">
      <c r="A573" s="15" t="s">
        <v>4653</v>
      </c>
      <c r="B573" s="15" t="s">
        <v>4654</v>
      </c>
      <c r="C573" s="15" t="s">
        <v>4655</v>
      </c>
    </row>
    <row r="574" spans="1:3">
      <c r="A574" s="15" t="s">
        <v>4656</v>
      </c>
      <c r="B574" s="15" t="s">
        <v>3819</v>
      </c>
      <c r="C574" s="15" t="s">
        <v>2858</v>
      </c>
    </row>
    <row r="575" spans="1:3">
      <c r="A575" s="15" t="s">
        <v>4657</v>
      </c>
      <c r="B575" s="15" t="s">
        <v>2520</v>
      </c>
      <c r="C575" s="15" t="s">
        <v>4658</v>
      </c>
    </row>
    <row r="576" spans="1:3">
      <c r="A576" s="15" t="s">
        <v>4659</v>
      </c>
      <c r="B576" s="15" t="s">
        <v>13</v>
      </c>
      <c r="C576" s="1" t="s">
        <v>4660</v>
      </c>
    </row>
    <row r="577" spans="1:3">
      <c r="A577" s="15" t="s">
        <v>4661</v>
      </c>
      <c r="B577" s="15" t="s">
        <v>4056</v>
      </c>
      <c r="C577" s="15" t="s">
        <v>4662</v>
      </c>
    </row>
    <row r="578" spans="1:3">
      <c r="A578" s="15" t="s">
        <v>4663</v>
      </c>
      <c r="B578" s="15" t="s">
        <v>30</v>
      </c>
      <c r="C578" s="15" t="s">
        <v>4664</v>
      </c>
    </row>
    <row r="579" spans="1:3">
      <c r="A579" s="15" t="s">
        <v>4665</v>
      </c>
      <c r="B579" s="15" t="s">
        <v>4056</v>
      </c>
      <c r="C579" s="15" t="s">
        <v>4666</v>
      </c>
    </row>
    <row r="580" spans="1:3">
      <c r="A580" s="15" t="s">
        <v>4667</v>
      </c>
      <c r="B580" s="15" t="s">
        <v>322</v>
      </c>
      <c r="C580" s="1" t="s">
        <v>4668</v>
      </c>
    </row>
    <row r="581" spans="1:3">
      <c r="A581" s="15" t="s">
        <v>4669</v>
      </c>
      <c r="B581" s="15" t="s">
        <v>3543</v>
      </c>
      <c r="C581" s="1" t="s">
        <v>4670</v>
      </c>
    </row>
    <row r="582" spans="1:3">
      <c r="A582" s="15" t="s">
        <v>4671</v>
      </c>
      <c r="B582" s="15" t="s">
        <v>4672</v>
      </c>
      <c r="C582" s="1" t="s">
        <v>4673</v>
      </c>
    </row>
    <row r="583" spans="1:3">
      <c r="A583" s="15" t="s">
        <v>4674</v>
      </c>
      <c r="B583" s="15" t="s">
        <v>4151</v>
      </c>
      <c r="C583" s="1" t="s">
        <v>4675</v>
      </c>
    </row>
    <row r="584" spans="1:3">
      <c r="A584" s="15" t="s">
        <v>4676</v>
      </c>
      <c r="B584" s="15" t="s">
        <v>4677</v>
      </c>
      <c r="C584" s="1" t="s">
        <v>4678</v>
      </c>
    </row>
    <row r="585" spans="1:3">
      <c r="A585" s="15" t="s">
        <v>4679</v>
      </c>
      <c r="B585" s="15" t="s">
        <v>3915</v>
      </c>
      <c r="C585" s="1" t="s">
        <v>4680</v>
      </c>
    </row>
    <row r="586" spans="1:3">
      <c r="A586" s="15" t="s">
        <v>4681</v>
      </c>
      <c r="B586" s="15" t="s">
        <v>3519</v>
      </c>
      <c r="C586" s="1" t="s">
        <v>4682</v>
      </c>
    </row>
    <row r="587" spans="1:3">
      <c r="A587" s="15" t="s">
        <v>4683</v>
      </c>
      <c r="B587" s="15" t="s">
        <v>2468</v>
      </c>
      <c r="C587" s="1" t="s">
        <v>4684</v>
      </c>
    </row>
    <row r="588" spans="1:3">
      <c r="A588" s="15" t="s">
        <v>4685</v>
      </c>
      <c r="B588" s="15" t="s">
        <v>1463</v>
      </c>
      <c r="C588" s="1" t="s">
        <v>2695</v>
      </c>
    </row>
    <row r="589" spans="1:3">
      <c r="A589" s="15" t="s">
        <v>4686</v>
      </c>
      <c r="B589" s="15" t="s">
        <v>3760</v>
      </c>
      <c r="C589" s="15" t="s">
        <v>4687</v>
      </c>
    </row>
    <row r="590" spans="1:3">
      <c r="A590" s="15" t="s">
        <v>4688</v>
      </c>
      <c r="B590" s="15" t="s">
        <v>4689</v>
      </c>
      <c r="C590" s="1" t="s">
        <v>4690</v>
      </c>
    </row>
    <row r="591" spans="1:3">
      <c r="A591" s="15" t="s">
        <v>4691</v>
      </c>
      <c r="B591" s="15" t="s">
        <v>3790</v>
      </c>
      <c r="C591" s="1" t="s">
        <v>4692</v>
      </c>
    </row>
    <row r="592" spans="1:3">
      <c r="A592" s="15" t="s">
        <v>4693</v>
      </c>
      <c r="B592" s="15" t="s">
        <v>161</v>
      </c>
      <c r="C592" s="15" t="s">
        <v>2945</v>
      </c>
    </row>
    <row r="593" spans="1:3">
      <c r="A593" s="15" t="s">
        <v>4694</v>
      </c>
      <c r="B593" s="15" t="s">
        <v>3819</v>
      </c>
      <c r="C593" s="1" t="s">
        <v>2858</v>
      </c>
    </row>
    <row r="594" spans="1:3">
      <c r="A594" s="15" t="s">
        <v>4695</v>
      </c>
      <c r="B594" s="15" t="s">
        <v>4647</v>
      </c>
      <c r="C594" s="1" t="s">
        <v>4696</v>
      </c>
    </row>
    <row r="595" spans="1:3">
      <c r="A595" s="15" t="s">
        <v>4697</v>
      </c>
      <c r="B595" s="15" t="s">
        <v>184</v>
      </c>
      <c r="C595" s="15" t="s">
        <v>185</v>
      </c>
    </row>
    <row r="596" spans="1:3">
      <c r="A596" s="15" t="s">
        <v>4698</v>
      </c>
      <c r="B596" s="15" t="s">
        <v>3685</v>
      </c>
      <c r="C596" s="15" t="s">
        <v>4699</v>
      </c>
    </row>
    <row r="597" spans="1:3">
      <c r="A597" s="15" t="s">
        <v>4700</v>
      </c>
      <c r="B597" s="15" t="s">
        <v>1032</v>
      </c>
      <c r="C597" s="1" t="s">
        <v>4701</v>
      </c>
    </row>
    <row r="598" spans="1:3">
      <c r="A598" s="15" t="s">
        <v>4702</v>
      </c>
      <c r="B598" s="15" t="s">
        <v>2468</v>
      </c>
      <c r="C598" s="15" t="s">
        <v>4684</v>
      </c>
    </row>
    <row r="599" spans="1:3">
      <c r="A599" s="15" t="s">
        <v>4703</v>
      </c>
      <c r="B599" s="15" t="s">
        <v>4704</v>
      </c>
      <c r="C599" s="1" t="s">
        <v>3431</v>
      </c>
    </row>
    <row r="600" spans="1:3">
      <c r="A600" s="15" t="s">
        <v>4705</v>
      </c>
      <c r="B600" s="15" t="s">
        <v>3790</v>
      </c>
      <c r="C600" s="1" t="s">
        <v>4692</v>
      </c>
    </row>
    <row r="601" spans="1:3">
      <c r="A601" s="15" t="s">
        <v>4706</v>
      </c>
      <c r="B601" s="15" t="s">
        <v>16</v>
      </c>
      <c r="C601" s="15" t="s">
        <v>4707</v>
      </c>
    </row>
    <row r="602" spans="1:3">
      <c r="A602" s="15" t="s">
        <v>4708</v>
      </c>
      <c r="B602" s="15" t="s">
        <v>3814</v>
      </c>
      <c r="C602" s="15" t="s">
        <v>4709</v>
      </c>
    </row>
    <row r="603" spans="1:3">
      <c r="A603" s="15" t="s">
        <v>4710</v>
      </c>
      <c r="B603" s="15" t="s">
        <v>3543</v>
      </c>
      <c r="C603" s="15" t="s">
        <v>4711</v>
      </c>
    </row>
    <row r="604" spans="1:3">
      <c r="A604" s="15" t="s">
        <v>4712</v>
      </c>
      <c r="B604" s="15" t="s">
        <v>3760</v>
      </c>
      <c r="C604" s="15" t="s">
        <v>4713</v>
      </c>
    </row>
    <row r="605" spans="1:3">
      <c r="A605" s="15" t="s">
        <v>4714</v>
      </c>
      <c r="B605" s="15" t="s">
        <v>4715</v>
      </c>
      <c r="C605" s="15" t="s">
        <v>4716</v>
      </c>
    </row>
    <row r="606" spans="1:3">
      <c r="A606" s="15" t="s">
        <v>4717</v>
      </c>
      <c r="B606" s="15" t="s">
        <v>2998</v>
      </c>
      <c r="C606" s="1" t="s">
        <v>4718</v>
      </c>
    </row>
    <row r="607" spans="1:3">
      <c r="A607" s="15" t="s">
        <v>4719</v>
      </c>
      <c r="B607" s="15" t="s">
        <v>4720</v>
      </c>
      <c r="C607" s="1" t="s">
        <v>4721</v>
      </c>
    </row>
    <row r="608" spans="1:3">
      <c r="A608" s="15" t="s">
        <v>4722</v>
      </c>
      <c r="B608" s="15" t="s">
        <v>4723</v>
      </c>
      <c r="C608" s="1" t="s">
        <v>4724</v>
      </c>
    </row>
    <row r="609" spans="1:3">
      <c r="A609" s="15" t="s">
        <v>4725</v>
      </c>
      <c r="B609" s="15" t="s">
        <v>4726</v>
      </c>
      <c r="C609" s="15" t="s">
        <v>4727</v>
      </c>
    </row>
    <row r="610" spans="1:3">
      <c r="A610" s="15" t="s">
        <v>4728</v>
      </c>
      <c r="B610" s="15" t="s">
        <v>4729</v>
      </c>
      <c r="C610" s="15" t="s">
        <v>4730</v>
      </c>
    </row>
    <row r="611" spans="1:3">
      <c r="A611" s="15" t="s">
        <v>4731</v>
      </c>
      <c r="B611" s="15" t="s">
        <v>4732</v>
      </c>
      <c r="C611" s="1" t="s">
        <v>4733</v>
      </c>
    </row>
    <row r="612" spans="1:3">
      <c r="A612" s="15" t="s">
        <v>4734</v>
      </c>
      <c r="B612" s="15" t="s">
        <v>4244</v>
      </c>
      <c r="C612" s="1" t="s">
        <v>4735</v>
      </c>
    </row>
    <row r="613" spans="1:3">
      <c r="A613" s="15" t="s">
        <v>4736</v>
      </c>
      <c r="B613" s="15" t="s">
        <v>37</v>
      </c>
      <c r="C613" s="1" t="s">
        <v>4737</v>
      </c>
    </row>
    <row r="614" spans="1:3">
      <c r="A614" s="15" t="s">
        <v>4738</v>
      </c>
      <c r="B614" s="15" t="s">
        <v>467</v>
      </c>
      <c r="C614" s="1" t="s">
        <v>4739</v>
      </c>
    </row>
    <row r="615" spans="1:3">
      <c r="A615" s="15" t="s">
        <v>4740</v>
      </c>
      <c r="B615" s="15" t="s">
        <v>4385</v>
      </c>
      <c r="C615" s="1" t="s">
        <v>4741</v>
      </c>
    </row>
    <row r="616" spans="1:3">
      <c r="A616" s="15" t="s">
        <v>4742</v>
      </c>
      <c r="B616" s="15" t="s">
        <v>3685</v>
      </c>
      <c r="C616" s="15" t="s">
        <v>4743</v>
      </c>
    </row>
    <row r="617" spans="1:3">
      <c r="A617" s="15" t="s">
        <v>4744</v>
      </c>
      <c r="B617" s="15" t="s">
        <v>2976</v>
      </c>
      <c r="C617" s="15" t="s">
        <v>4745</v>
      </c>
    </row>
    <row r="618" spans="1:3">
      <c r="A618" s="15" t="s">
        <v>4746</v>
      </c>
      <c r="B618" s="15" t="s">
        <v>2783</v>
      </c>
      <c r="C618" s="15" t="s">
        <v>2784</v>
      </c>
    </row>
    <row r="619" spans="1:3">
      <c r="A619" s="15" t="s">
        <v>4747</v>
      </c>
      <c r="B619" s="15" t="s">
        <v>4748</v>
      </c>
      <c r="C619" s="15" t="s">
        <v>2771</v>
      </c>
    </row>
    <row r="620" spans="1:3">
      <c r="A620" s="15" t="s">
        <v>4749</v>
      </c>
      <c r="B620" s="15" t="s">
        <v>3685</v>
      </c>
      <c r="C620" s="15" t="s">
        <v>4750</v>
      </c>
    </row>
    <row r="621" spans="1:3">
      <c r="A621" s="15" t="s">
        <v>4751</v>
      </c>
      <c r="B621" s="15" t="s">
        <v>4447</v>
      </c>
      <c r="C621" s="15" t="s">
        <v>4752</v>
      </c>
    </row>
    <row r="622" spans="1:3">
      <c r="A622" s="15" t="s">
        <v>4753</v>
      </c>
      <c r="B622" s="15" t="s">
        <v>4754</v>
      </c>
      <c r="C622" s="15" t="s">
        <v>2818</v>
      </c>
    </row>
    <row r="623" spans="1:3">
      <c r="A623" s="15" t="s">
        <v>4755</v>
      </c>
      <c r="B623" s="15" t="s">
        <v>3685</v>
      </c>
      <c r="C623" s="15" t="s">
        <v>4756</v>
      </c>
    </row>
    <row r="624" spans="1:3">
      <c r="A624" s="15" t="s">
        <v>4757</v>
      </c>
      <c r="B624" s="15" t="s">
        <v>4758</v>
      </c>
      <c r="C624" s="15" t="s">
        <v>3329</v>
      </c>
    </row>
    <row r="625" spans="1:3">
      <c r="A625" s="15" t="s">
        <v>4759</v>
      </c>
      <c r="B625" s="15" t="s">
        <v>201</v>
      </c>
      <c r="C625" s="15" t="s">
        <v>3308</v>
      </c>
    </row>
    <row r="626" spans="1:3">
      <c r="A626" s="15" t="s">
        <v>4760</v>
      </c>
      <c r="B626" s="15" t="s">
        <v>2729</v>
      </c>
      <c r="C626" s="15" t="s">
        <v>2730</v>
      </c>
    </row>
    <row r="627" spans="1:3">
      <c r="A627" s="15" t="s">
        <v>4761</v>
      </c>
      <c r="B627" s="15" t="s">
        <v>2998</v>
      </c>
      <c r="C627" s="15" t="s">
        <v>4762</v>
      </c>
    </row>
    <row r="628" spans="1:3">
      <c r="A628" s="15" t="s">
        <v>4763</v>
      </c>
      <c r="B628" s="15" t="s">
        <v>161</v>
      </c>
      <c r="C628" s="1" t="s">
        <v>2985</v>
      </c>
    </row>
    <row r="629" spans="1:3">
      <c r="A629" s="15" t="s">
        <v>4764</v>
      </c>
      <c r="B629" s="15" t="s">
        <v>75</v>
      </c>
      <c r="C629" s="1" t="s">
        <v>4765</v>
      </c>
    </row>
    <row r="630" spans="1:3">
      <c r="A630" s="15" t="s">
        <v>4766</v>
      </c>
      <c r="B630" s="15" t="s">
        <v>4767</v>
      </c>
      <c r="C630" s="15" t="s">
        <v>4768</v>
      </c>
    </row>
    <row r="631" spans="1:3">
      <c r="A631" s="15" t="s">
        <v>4769</v>
      </c>
      <c r="B631" s="15" t="s">
        <v>3522</v>
      </c>
      <c r="C631" s="1" t="s">
        <v>4770</v>
      </c>
    </row>
    <row r="632" spans="1:3">
      <c r="A632" s="15" t="s">
        <v>4771</v>
      </c>
      <c r="B632" s="15" t="s">
        <v>3814</v>
      </c>
      <c r="C632" s="1" t="s">
        <v>4772</v>
      </c>
    </row>
    <row r="633" spans="1:3">
      <c r="A633" s="15" t="s">
        <v>4773</v>
      </c>
      <c r="B633" s="15" t="s">
        <v>1617</v>
      </c>
      <c r="C633" s="15" t="s">
        <v>4774</v>
      </c>
    </row>
    <row r="634" spans="1:3">
      <c r="A634" s="15" t="s">
        <v>4775</v>
      </c>
      <c r="B634" s="15" t="s">
        <v>2391</v>
      </c>
      <c r="C634" s="15" t="s">
        <v>4776</v>
      </c>
    </row>
    <row r="635" spans="1:3">
      <c r="A635" s="15" t="s">
        <v>4777</v>
      </c>
      <c r="B635" s="15" t="s">
        <v>4778</v>
      </c>
      <c r="C635" s="15" t="s">
        <v>4779</v>
      </c>
    </row>
    <row r="636" spans="1:3">
      <c r="A636" s="15" t="s">
        <v>4780</v>
      </c>
      <c r="B636" s="15" t="s">
        <v>1032</v>
      </c>
      <c r="C636" s="15" t="s">
        <v>4781</v>
      </c>
    </row>
    <row r="637" spans="1:3">
      <c r="A637" s="15" t="s">
        <v>4782</v>
      </c>
      <c r="B637" s="15" t="s">
        <v>4783</v>
      </c>
      <c r="C637" s="1" t="s">
        <v>4784</v>
      </c>
    </row>
    <row r="638" spans="1:3">
      <c r="A638" s="15" t="s">
        <v>4785</v>
      </c>
      <c r="B638" s="15" t="s">
        <v>4786</v>
      </c>
      <c r="C638" s="1" t="s">
        <v>4787</v>
      </c>
    </row>
    <row r="639" spans="1:3">
      <c r="A639" s="15" t="s">
        <v>4788</v>
      </c>
      <c r="B639" s="15" t="s">
        <v>191</v>
      </c>
      <c r="C639" s="1" t="s">
        <v>4789</v>
      </c>
    </row>
    <row r="640" spans="1:3">
      <c r="A640" s="15" t="s">
        <v>4790</v>
      </c>
      <c r="B640" s="15" t="s">
        <v>161</v>
      </c>
      <c r="C640" s="15" t="s">
        <v>4791</v>
      </c>
    </row>
    <row r="641" spans="1:3">
      <c r="A641" s="15" t="s">
        <v>4792</v>
      </c>
      <c r="B641" s="15" t="s">
        <v>322</v>
      </c>
      <c r="C641" s="15" t="s">
        <v>4793</v>
      </c>
    </row>
    <row r="642" spans="1:3">
      <c r="A642" s="15" t="s">
        <v>4794</v>
      </c>
      <c r="B642" s="15" t="s">
        <v>3709</v>
      </c>
      <c r="C642" s="15" t="s">
        <v>3259</v>
      </c>
    </row>
    <row r="643" spans="1:3">
      <c r="A643" s="15" t="s">
        <v>4795</v>
      </c>
      <c r="B643" s="15" t="s">
        <v>3586</v>
      </c>
      <c r="C643" s="15" t="s">
        <v>4796</v>
      </c>
    </row>
    <row r="644" spans="1:3">
      <c r="A644" s="15" t="s">
        <v>4797</v>
      </c>
      <c r="B644" s="15" t="s">
        <v>191</v>
      </c>
      <c r="C644" s="1" t="s">
        <v>4798</v>
      </c>
    </row>
    <row r="645" spans="1:3">
      <c r="A645" s="15" t="s">
        <v>4799</v>
      </c>
      <c r="B645" s="15" t="s">
        <v>248</v>
      </c>
      <c r="C645" s="1" t="s">
        <v>4800</v>
      </c>
    </row>
    <row r="646" spans="1:3">
      <c r="A646" s="15" t="s">
        <v>4801</v>
      </c>
      <c r="B646" s="15" t="s">
        <v>4802</v>
      </c>
      <c r="C646" s="1" t="s">
        <v>4803</v>
      </c>
    </row>
    <row r="647" spans="1:3">
      <c r="A647" s="15" t="s">
        <v>4804</v>
      </c>
      <c r="B647" s="15" t="s">
        <v>4805</v>
      </c>
      <c r="C647" s="15" t="s">
        <v>4806</v>
      </c>
    </row>
    <row r="648" spans="1:3">
      <c r="A648" s="15" t="s">
        <v>4807</v>
      </c>
      <c r="B648" s="15" t="s">
        <v>52</v>
      </c>
      <c r="C648" s="15" t="s">
        <v>4808</v>
      </c>
    </row>
    <row r="649" spans="1:3">
      <c r="A649" s="15" t="s">
        <v>4809</v>
      </c>
      <c r="B649" s="15" t="s">
        <v>3532</v>
      </c>
      <c r="C649" s="15" t="s">
        <v>4810</v>
      </c>
    </row>
    <row r="650" spans="1:3">
      <c r="A650" s="15" t="s">
        <v>4811</v>
      </c>
      <c r="B650" s="15" t="s">
        <v>4812</v>
      </c>
      <c r="C650" s="15" t="s">
        <v>4813</v>
      </c>
    </row>
    <row r="651" spans="1:3">
      <c r="A651" s="15" t="s">
        <v>4814</v>
      </c>
      <c r="B651" s="15" t="s">
        <v>2713</v>
      </c>
      <c r="C651" s="1" t="s">
        <v>4815</v>
      </c>
    </row>
    <row r="652" spans="1:3">
      <c r="A652" s="15" t="s">
        <v>4816</v>
      </c>
      <c r="B652" s="15" t="s">
        <v>2833</v>
      </c>
      <c r="C652" s="1" t="s">
        <v>2834</v>
      </c>
    </row>
    <row r="653" spans="1:3">
      <c r="A653" s="15" t="s">
        <v>4817</v>
      </c>
      <c r="B653" s="15" t="s">
        <v>2927</v>
      </c>
      <c r="C653" s="1" t="s">
        <v>4818</v>
      </c>
    </row>
    <row r="654" spans="1:3">
      <c r="A654" s="15" t="s">
        <v>4819</v>
      </c>
      <c r="B654" s="15" t="s">
        <v>3486</v>
      </c>
      <c r="C654" s="1" t="s">
        <v>4820</v>
      </c>
    </row>
    <row r="655" spans="1:3">
      <c r="A655" s="15" t="s">
        <v>4821</v>
      </c>
      <c r="B655" s="15" t="s">
        <v>39</v>
      </c>
      <c r="C655" s="1" t="s">
        <v>4822</v>
      </c>
    </row>
    <row r="656" spans="1:3">
      <c r="A656" s="15" t="s">
        <v>4823</v>
      </c>
      <c r="B656" s="15" t="s">
        <v>2377</v>
      </c>
      <c r="C656" s="15" t="s">
        <v>4824</v>
      </c>
    </row>
    <row r="657" spans="1:3">
      <c r="A657" s="15" t="s">
        <v>4825</v>
      </c>
      <c r="B657" s="15" t="s">
        <v>1811</v>
      </c>
      <c r="C657" s="1" t="s">
        <v>4826</v>
      </c>
    </row>
    <row r="658" spans="1:3">
      <c r="A658" s="15" t="s">
        <v>4827</v>
      </c>
      <c r="B658" s="15" t="s">
        <v>4828</v>
      </c>
      <c r="C658" s="15" t="s">
        <v>4829</v>
      </c>
    </row>
    <row r="659" spans="1:3">
      <c r="A659" s="15" t="s">
        <v>4830</v>
      </c>
      <c r="B659" s="15" t="s">
        <v>248</v>
      </c>
      <c r="C659" s="1" t="s">
        <v>3387</v>
      </c>
    </row>
    <row r="660" spans="1:3">
      <c r="A660" s="15" t="s">
        <v>4831</v>
      </c>
      <c r="B660" s="15" t="s">
        <v>2713</v>
      </c>
      <c r="C660" s="15" t="s">
        <v>4832</v>
      </c>
    </row>
    <row r="661" spans="1:3">
      <c r="A661" s="15" t="s">
        <v>4833</v>
      </c>
      <c r="B661" s="15" t="s">
        <v>161</v>
      </c>
      <c r="C661" s="1" t="s">
        <v>4834</v>
      </c>
    </row>
    <row r="662" spans="1:3">
      <c r="A662" s="15" t="s">
        <v>4835</v>
      </c>
      <c r="B662" s="15" t="s">
        <v>205</v>
      </c>
      <c r="C662" s="1" t="s">
        <v>3002</v>
      </c>
    </row>
    <row r="663" spans="1:3">
      <c r="A663" s="15" t="s">
        <v>4836</v>
      </c>
      <c r="B663" s="15" t="s">
        <v>152</v>
      </c>
      <c r="C663" s="1" t="s">
        <v>4837</v>
      </c>
    </row>
    <row r="664" spans="1:3">
      <c r="A664" s="15" t="s">
        <v>4838</v>
      </c>
      <c r="B664" s="15" t="s">
        <v>1951</v>
      </c>
      <c r="C664" s="1" t="s">
        <v>2921</v>
      </c>
    </row>
    <row r="665" spans="1:3">
      <c r="A665" s="15" t="s">
        <v>4839</v>
      </c>
      <c r="B665" s="15" t="s">
        <v>4074</v>
      </c>
      <c r="C665" s="1" t="s">
        <v>4840</v>
      </c>
    </row>
    <row r="666" spans="1:3">
      <c r="A666" s="15" t="s">
        <v>4841</v>
      </c>
      <c r="B666" s="15" t="s">
        <v>2687</v>
      </c>
      <c r="C666" s="15" t="s">
        <v>4842</v>
      </c>
    </row>
    <row r="667" spans="1:3">
      <c r="A667" s="15" t="s">
        <v>4843</v>
      </c>
      <c r="B667" s="15" t="s">
        <v>3543</v>
      </c>
      <c r="C667" s="1" t="s">
        <v>4844</v>
      </c>
    </row>
    <row r="668" spans="1:3">
      <c r="A668" s="15" t="s">
        <v>4845</v>
      </c>
      <c r="B668" s="15" t="s">
        <v>3543</v>
      </c>
      <c r="C668" s="1" t="s">
        <v>4846</v>
      </c>
    </row>
    <row r="669" spans="1:3">
      <c r="A669" s="15" t="s">
        <v>4847</v>
      </c>
      <c r="B669" s="15" t="s">
        <v>30</v>
      </c>
      <c r="C669" s="1" t="s">
        <v>4848</v>
      </c>
    </row>
    <row r="670" spans="1:3">
      <c r="A670" s="15" t="s">
        <v>4849</v>
      </c>
      <c r="B670" s="15" t="s">
        <v>2773</v>
      </c>
      <c r="C670" s="15" t="s">
        <v>2774</v>
      </c>
    </row>
    <row r="671" spans="1:3">
      <c r="A671" s="15" t="s">
        <v>4850</v>
      </c>
      <c r="B671" s="15" t="s">
        <v>1429</v>
      </c>
      <c r="C671" s="15" t="s">
        <v>4851</v>
      </c>
    </row>
    <row r="672" spans="1:3">
      <c r="A672" s="15" t="s">
        <v>4852</v>
      </c>
      <c r="B672" s="15" t="s">
        <v>3543</v>
      </c>
      <c r="C672" s="1" t="s">
        <v>4853</v>
      </c>
    </row>
    <row r="673" spans="1:3">
      <c r="A673" s="15" t="s">
        <v>4854</v>
      </c>
      <c r="B673" s="15" t="s">
        <v>3676</v>
      </c>
      <c r="C673" s="15" t="s">
        <v>4855</v>
      </c>
    </row>
    <row r="674" spans="1:3">
      <c r="A674" s="15" t="s">
        <v>4856</v>
      </c>
      <c r="B674" s="15" t="s">
        <v>3087</v>
      </c>
      <c r="C674" s="1" t="s">
        <v>3088</v>
      </c>
    </row>
    <row r="675" spans="1:3">
      <c r="A675" s="15" t="s">
        <v>4857</v>
      </c>
      <c r="B675" s="15" t="s">
        <v>727</v>
      </c>
      <c r="C675" s="1" t="s">
        <v>4858</v>
      </c>
    </row>
    <row r="676" spans="1:3">
      <c r="A676" s="15" t="s">
        <v>4859</v>
      </c>
      <c r="B676" s="15" t="s">
        <v>24</v>
      </c>
      <c r="C676" s="15" t="s">
        <v>4860</v>
      </c>
    </row>
    <row r="677" spans="1:3">
      <c r="A677" s="15" t="s">
        <v>4861</v>
      </c>
      <c r="B677" s="15" t="s">
        <v>30</v>
      </c>
      <c r="C677" s="1" t="s">
        <v>4862</v>
      </c>
    </row>
    <row r="678" spans="1:3">
      <c r="A678" s="15" t="s">
        <v>4863</v>
      </c>
      <c r="B678" s="15" t="s">
        <v>4864</v>
      </c>
      <c r="C678" s="1" t="s">
        <v>4865</v>
      </c>
    </row>
    <row r="679" spans="1:3">
      <c r="A679" s="15" t="s">
        <v>4866</v>
      </c>
      <c r="B679" s="15" t="s">
        <v>161</v>
      </c>
      <c r="C679" s="1" t="s">
        <v>4867</v>
      </c>
    </row>
    <row r="680" spans="1:3">
      <c r="A680" s="15" t="s">
        <v>4868</v>
      </c>
      <c r="B680" s="15" t="s">
        <v>2798</v>
      </c>
      <c r="C680" s="1" t="s">
        <v>2914</v>
      </c>
    </row>
    <row r="681" spans="1:3">
      <c r="A681" s="15" t="s">
        <v>4869</v>
      </c>
      <c r="B681" s="15" t="s">
        <v>2084</v>
      </c>
      <c r="C681" s="1" t="s">
        <v>4870</v>
      </c>
    </row>
    <row r="682" spans="1:3">
      <c r="A682" s="15" t="s">
        <v>4871</v>
      </c>
      <c r="B682" s="15" t="s">
        <v>3434</v>
      </c>
      <c r="C682" s="1" t="s">
        <v>4872</v>
      </c>
    </row>
    <row r="683" spans="1:3">
      <c r="A683" s="15" t="s">
        <v>4873</v>
      </c>
      <c r="B683" s="15" t="s">
        <v>52</v>
      </c>
      <c r="C683" s="1" t="s">
        <v>3136</v>
      </c>
    </row>
    <row r="684" spans="1:3">
      <c r="A684" s="15" t="s">
        <v>4874</v>
      </c>
      <c r="B684" s="15" t="s">
        <v>2729</v>
      </c>
      <c r="C684" s="15" t="s">
        <v>4875</v>
      </c>
    </row>
    <row r="685" spans="1:3">
      <c r="A685" s="15" t="s">
        <v>4876</v>
      </c>
      <c r="B685" s="15" t="s">
        <v>3201</v>
      </c>
      <c r="C685" s="15" t="s">
        <v>3202</v>
      </c>
    </row>
    <row r="686" spans="1:3">
      <c r="A686" s="15" t="s">
        <v>4877</v>
      </c>
      <c r="B686" s="15" t="s">
        <v>2713</v>
      </c>
      <c r="C686" s="15" t="s">
        <v>2849</v>
      </c>
    </row>
    <row r="687" spans="1:3">
      <c r="A687" s="15" t="s">
        <v>4878</v>
      </c>
      <c r="B687" s="15" t="s">
        <v>4879</v>
      </c>
      <c r="C687" s="1" t="s">
        <v>4880</v>
      </c>
    </row>
    <row r="688" spans="1:3">
      <c r="A688" s="15" t="s">
        <v>4881</v>
      </c>
      <c r="B688" s="15" t="s">
        <v>4882</v>
      </c>
      <c r="C688" s="1" t="s">
        <v>4883</v>
      </c>
    </row>
    <row r="689" spans="1:3">
      <c r="A689" s="15" t="s">
        <v>4884</v>
      </c>
      <c r="B689" s="15" t="s">
        <v>2787</v>
      </c>
      <c r="C689" s="1" t="s">
        <v>4885</v>
      </c>
    </row>
    <row r="690" spans="1:3">
      <c r="A690" s="15" t="s">
        <v>4886</v>
      </c>
      <c r="B690" s="15" t="s">
        <v>161</v>
      </c>
      <c r="C690" s="1" t="s">
        <v>4887</v>
      </c>
    </row>
    <row r="691" spans="1:3">
      <c r="A691" s="15" t="s">
        <v>4888</v>
      </c>
      <c r="B691" s="15" t="s">
        <v>4889</v>
      </c>
      <c r="C691" s="1" t="s">
        <v>4822</v>
      </c>
    </row>
    <row r="692" spans="1:3">
      <c r="A692" s="15" t="s">
        <v>4890</v>
      </c>
      <c r="B692" s="15" t="s">
        <v>3608</v>
      </c>
      <c r="C692" s="1" t="s">
        <v>4891</v>
      </c>
    </row>
    <row r="693" spans="1:3">
      <c r="A693" s="15" t="s">
        <v>4892</v>
      </c>
      <c r="B693" s="15" t="s">
        <v>727</v>
      </c>
      <c r="C693" s="1" t="s">
        <v>4893</v>
      </c>
    </row>
    <row r="694" spans="1:3">
      <c r="A694" s="15" t="s">
        <v>4894</v>
      </c>
      <c r="B694" s="15" t="s">
        <v>1951</v>
      </c>
      <c r="C694" s="1" t="s">
        <v>2921</v>
      </c>
    </row>
    <row r="695" spans="1:3">
      <c r="A695" s="15" t="s">
        <v>4895</v>
      </c>
      <c r="B695" s="15" t="s">
        <v>2829</v>
      </c>
      <c r="C695" s="15" t="s">
        <v>4896</v>
      </c>
    </row>
    <row r="696" spans="1:3">
      <c r="A696" s="15" t="s">
        <v>4897</v>
      </c>
      <c r="B696" s="15" t="s">
        <v>2903</v>
      </c>
      <c r="C696" s="15" t="s">
        <v>4898</v>
      </c>
    </row>
    <row r="697" spans="1:3">
      <c r="A697" s="15" t="s">
        <v>4899</v>
      </c>
      <c r="B697" s="15" t="s">
        <v>4900</v>
      </c>
      <c r="C697" s="1" t="s">
        <v>3122</v>
      </c>
    </row>
    <row r="698" spans="1:3">
      <c r="A698" s="15" t="s">
        <v>4901</v>
      </c>
      <c r="B698" s="15" t="s">
        <v>30</v>
      </c>
      <c r="C698" s="1" t="s">
        <v>4902</v>
      </c>
    </row>
    <row r="699" spans="1:3">
      <c r="A699" s="15" t="s">
        <v>4903</v>
      </c>
      <c r="B699" s="15" t="s">
        <v>4904</v>
      </c>
      <c r="C699" s="1" t="s">
        <v>2906</v>
      </c>
    </row>
    <row r="700" spans="1:3">
      <c r="A700" s="15" t="s">
        <v>4905</v>
      </c>
      <c r="B700" s="15" t="s">
        <v>4906</v>
      </c>
      <c r="C700" s="15" t="s">
        <v>4907</v>
      </c>
    </row>
    <row r="701" spans="1:3">
      <c r="A701" s="15" t="s">
        <v>4908</v>
      </c>
      <c r="B701" s="15" t="s">
        <v>4909</v>
      </c>
      <c r="C701" s="15" t="s">
        <v>4910</v>
      </c>
    </row>
    <row r="702" spans="1:3">
      <c r="A702" s="15" t="s">
        <v>4911</v>
      </c>
      <c r="B702" s="15" t="s">
        <v>4912</v>
      </c>
      <c r="C702" s="15" t="s">
        <v>4913</v>
      </c>
    </row>
    <row r="703" spans="1:3">
      <c r="A703" s="15" t="s">
        <v>4914</v>
      </c>
      <c r="B703" s="15" t="s">
        <v>4915</v>
      </c>
      <c r="C703" s="15" t="s">
        <v>2931</v>
      </c>
    </row>
    <row r="704" spans="1:3">
      <c r="A704" s="15" t="s">
        <v>4916</v>
      </c>
      <c r="B704" s="15" t="s">
        <v>4917</v>
      </c>
      <c r="C704" s="15" t="s">
        <v>2921</v>
      </c>
    </row>
    <row r="705" spans="1:3">
      <c r="A705" s="15" t="s">
        <v>4918</v>
      </c>
      <c r="B705" s="15" t="s">
        <v>2713</v>
      </c>
      <c r="C705" s="15" t="s">
        <v>4919</v>
      </c>
    </row>
    <row r="706" spans="1:3">
      <c r="A706" s="15" t="s">
        <v>4920</v>
      </c>
      <c r="B706" s="15" t="s">
        <v>16</v>
      </c>
      <c r="C706" s="1" t="s">
        <v>4921</v>
      </c>
    </row>
    <row r="707" spans="1:3">
      <c r="A707" s="15" t="s">
        <v>4922</v>
      </c>
      <c r="B707" s="15" t="s">
        <v>4385</v>
      </c>
      <c r="C707" s="1" t="s">
        <v>4923</v>
      </c>
    </row>
    <row r="708" spans="1:3">
      <c r="A708" s="15" t="s">
        <v>4924</v>
      </c>
      <c r="B708" s="15" t="s">
        <v>2241</v>
      </c>
      <c r="C708" s="15" t="s">
        <v>4925</v>
      </c>
    </row>
    <row r="709" spans="1:3">
      <c r="A709" s="15" t="s">
        <v>4926</v>
      </c>
      <c r="B709" s="15" t="s">
        <v>2713</v>
      </c>
      <c r="C709" s="15" t="s">
        <v>4927</v>
      </c>
    </row>
    <row r="710" spans="1:3">
      <c r="A710" s="15" t="s">
        <v>4928</v>
      </c>
      <c r="B710" s="15" t="s">
        <v>45</v>
      </c>
      <c r="C710" s="15" t="s">
        <v>4929</v>
      </c>
    </row>
    <row r="711" spans="1:3">
      <c r="A711" s="15" t="s">
        <v>4930</v>
      </c>
      <c r="B711" s="15" t="s">
        <v>4909</v>
      </c>
      <c r="C711" s="1" t="s">
        <v>4931</v>
      </c>
    </row>
    <row r="712" spans="1:3">
      <c r="A712" s="15" t="s">
        <v>4932</v>
      </c>
      <c r="B712" s="15" t="s">
        <v>2241</v>
      </c>
      <c r="C712" s="15" t="s">
        <v>4933</v>
      </c>
    </row>
    <row r="713" spans="1:3">
      <c r="A713" s="15" t="s">
        <v>4934</v>
      </c>
      <c r="B713" s="15" t="s">
        <v>2713</v>
      </c>
      <c r="C713" s="15" t="s">
        <v>4935</v>
      </c>
    </row>
    <row r="714" spans="1:3">
      <c r="A714" s="15" t="s">
        <v>4936</v>
      </c>
      <c r="B714" s="15" t="s">
        <v>4937</v>
      </c>
      <c r="C714" s="1" t="s">
        <v>4938</v>
      </c>
    </row>
    <row r="715" spans="1:3">
      <c r="A715" s="15" t="s">
        <v>4939</v>
      </c>
      <c r="B715" s="15" t="s">
        <v>3639</v>
      </c>
      <c r="C715" s="15" t="s">
        <v>4940</v>
      </c>
    </row>
    <row r="716" spans="1:3">
      <c r="A716" s="15" t="s">
        <v>4941</v>
      </c>
      <c r="B716" s="15" t="s">
        <v>4942</v>
      </c>
      <c r="C716" s="1" t="s">
        <v>4943</v>
      </c>
    </row>
    <row r="717" spans="1:3">
      <c r="A717" s="15" t="s">
        <v>4944</v>
      </c>
      <c r="B717" s="15" t="s">
        <v>3522</v>
      </c>
      <c r="C717" s="1" t="s">
        <v>4945</v>
      </c>
    </row>
    <row r="718" spans="1:3">
      <c r="A718" s="15" t="s">
        <v>4946</v>
      </c>
      <c r="B718" s="15" t="s">
        <v>2831</v>
      </c>
      <c r="C718" s="1" t="s">
        <v>4947</v>
      </c>
    </row>
    <row r="719" spans="1:3">
      <c r="A719" s="15" t="s">
        <v>4948</v>
      </c>
      <c r="B719" s="15" t="s">
        <v>195</v>
      </c>
      <c r="C719" s="1" t="s">
        <v>2902</v>
      </c>
    </row>
    <row r="720" spans="1:3">
      <c r="A720" s="15" t="s">
        <v>4949</v>
      </c>
      <c r="B720" s="15" t="s">
        <v>860</v>
      </c>
      <c r="C720" s="1" t="s">
        <v>4950</v>
      </c>
    </row>
    <row r="721" spans="1:3">
      <c r="A721" s="15" t="s">
        <v>4951</v>
      </c>
      <c r="B721" s="15" t="s">
        <v>75</v>
      </c>
      <c r="C721" s="1" t="s">
        <v>4952</v>
      </c>
    </row>
    <row r="722" spans="1:3">
      <c r="A722" s="15" t="s">
        <v>4953</v>
      </c>
      <c r="B722" s="15" t="s">
        <v>201</v>
      </c>
      <c r="C722" s="1" t="s">
        <v>4954</v>
      </c>
    </row>
    <row r="723" spans="1:3">
      <c r="A723" s="15" t="s">
        <v>4955</v>
      </c>
      <c r="B723" s="15" t="s">
        <v>75</v>
      </c>
      <c r="C723" s="1" t="s">
        <v>3244</v>
      </c>
    </row>
    <row r="724" spans="1:3">
      <c r="A724" s="15" t="s">
        <v>4956</v>
      </c>
      <c r="B724" s="15" t="s">
        <v>322</v>
      </c>
      <c r="C724" s="15" t="s">
        <v>4957</v>
      </c>
    </row>
    <row r="725" spans="1:3">
      <c r="A725" s="15" t="s">
        <v>4958</v>
      </c>
      <c r="B725" s="15" t="s">
        <v>4959</v>
      </c>
      <c r="C725" s="15" t="s">
        <v>4960</v>
      </c>
    </row>
    <row r="726" spans="1:3">
      <c r="A726" s="15" t="s">
        <v>4961</v>
      </c>
      <c r="B726" s="15" t="s">
        <v>4962</v>
      </c>
      <c r="C726" s="15" t="s">
        <v>194</v>
      </c>
    </row>
    <row r="727" spans="1:3">
      <c r="A727" s="15" t="s">
        <v>4963</v>
      </c>
      <c r="B727" s="15" t="s">
        <v>4612</v>
      </c>
      <c r="C727" s="1" t="s">
        <v>4964</v>
      </c>
    </row>
    <row r="728" spans="1:3">
      <c r="A728" s="15" t="s">
        <v>4965</v>
      </c>
      <c r="B728" s="15" t="s">
        <v>3573</v>
      </c>
      <c r="C728" s="1" t="s">
        <v>4966</v>
      </c>
    </row>
    <row r="729" spans="1:3">
      <c r="A729" s="15" t="s">
        <v>4967</v>
      </c>
      <c r="B729" s="15" t="s">
        <v>322</v>
      </c>
      <c r="C729" s="1" t="s">
        <v>4968</v>
      </c>
    </row>
    <row r="730" spans="1:3">
      <c r="A730" s="15" t="s">
        <v>4969</v>
      </c>
      <c r="B730" s="15" t="s">
        <v>3087</v>
      </c>
      <c r="C730" s="1" t="s">
        <v>3088</v>
      </c>
    </row>
    <row r="731" spans="1:3">
      <c r="A731" s="15" t="s">
        <v>4970</v>
      </c>
      <c r="B731" s="15" t="s">
        <v>30</v>
      </c>
      <c r="C731" s="1" t="s">
        <v>4971</v>
      </c>
    </row>
    <row r="732" spans="1:3">
      <c r="A732" s="15" t="s">
        <v>4972</v>
      </c>
      <c r="B732" s="15" t="s">
        <v>1032</v>
      </c>
      <c r="C732" s="1" t="s">
        <v>4973</v>
      </c>
    </row>
    <row r="733" spans="1:3">
      <c r="A733" s="15" t="s">
        <v>4974</v>
      </c>
      <c r="B733" s="15" t="s">
        <v>4715</v>
      </c>
      <c r="C733" s="15" t="s">
        <v>4975</v>
      </c>
    </row>
    <row r="734" spans="1:3">
      <c r="A734" s="15" t="s">
        <v>4976</v>
      </c>
      <c r="B734" s="15" t="s">
        <v>4977</v>
      </c>
      <c r="C734" s="15" t="s">
        <v>4978</v>
      </c>
    </row>
    <row r="735" spans="1:3">
      <c r="A735" s="15" t="s">
        <v>4979</v>
      </c>
      <c r="B735" s="15" t="s">
        <v>39</v>
      </c>
      <c r="C735" s="15" t="s">
        <v>4980</v>
      </c>
    </row>
    <row r="736" spans="1:3">
      <c r="A736" s="15" t="s">
        <v>4981</v>
      </c>
      <c r="B736" s="15" t="s">
        <v>1254</v>
      </c>
      <c r="C736" s="1" t="s">
        <v>4982</v>
      </c>
    </row>
    <row r="737" spans="1:3">
      <c r="A737" s="15" t="s">
        <v>4983</v>
      </c>
      <c r="B737" s="15" t="s">
        <v>707</v>
      </c>
      <c r="C737" s="1" t="s">
        <v>4984</v>
      </c>
    </row>
    <row r="738" spans="1:3">
      <c r="A738" s="15" t="s">
        <v>4985</v>
      </c>
      <c r="B738" s="15" t="s">
        <v>3597</v>
      </c>
      <c r="C738" s="1" t="s">
        <v>2867</v>
      </c>
    </row>
    <row r="739" spans="1:3">
      <c r="A739" s="15" t="s">
        <v>4986</v>
      </c>
      <c r="B739" s="15" t="s">
        <v>741</v>
      </c>
      <c r="C739" s="1" t="s">
        <v>4987</v>
      </c>
    </row>
    <row r="740" spans="1:3">
      <c r="A740" s="15" t="s">
        <v>4988</v>
      </c>
      <c r="B740" s="15" t="s">
        <v>2468</v>
      </c>
      <c r="C740" s="1" t="s">
        <v>4989</v>
      </c>
    </row>
    <row r="741" spans="1:3">
      <c r="A741" s="15" t="s">
        <v>4990</v>
      </c>
      <c r="B741" s="15" t="s">
        <v>3543</v>
      </c>
      <c r="C741" s="15" t="s">
        <v>4991</v>
      </c>
    </row>
    <row r="742" spans="1:3">
      <c r="A742" s="15" t="s">
        <v>4992</v>
      </c>
      <c r="B742" s="15" t="s">
        <v>4962</v>
      </c>
      <c r="C742" s="15" t="s">
        <v>194</v>
      </c>
    </row>
    <row r="743" spans="1:3">
      <c r="A743" s="15" t="s">
        <v>4993</v>
      </c>
      <c r="B743" s="15" t="s">
        <v>4994</v>
      </c>
      <c r="C743" s="15" t="s">
        <v>4995</v>
      </c>
    </row>
    <row r="744" spans="1:3">
      <c r="A744" s="15" t="s">
        <v>4996</v>
      </c>
      <c r="B744" s="15" t="s">
        <v>3567</v>
      </c>
      <c r="C744" s="15" t="s">
        <v>4997</v>
      </c>
    </row>
    <row r="745" spans="1:3">
      <c r="A745" s="15" t="s">
        <v>4998</v>
      </c>
      <c r="B745" s="15" t="s">
        <v>4999</v>
      </c>
      <c r="C745" s="1" t="s">
        <v>5000</v>
      </c>
    </row>
    <row r="746" spans="1:3">
      <c r="A746" s="15" t="s">
        <v>5001</v>
      </c>
      <c r="B746" s="15" t="s">
        <v>5002</v>
      </c>
      <c r="C746" s="1" t="s">
        <v>5003</v>
      </c>
    </row>
    <row r="747" spans="1:3">
      <c r="A747" s="15" t="s">
        <v>5004</v>
      </c>
      <c r="B747" s="15" t="s">
        <v>195</v>
      </c>
      <c r="C747" s="1" t="s">
        <v>3021</v>
      </c>
    </row>
    <row r="748" spans="1:3">
      <c r="A748" s="15" t="s">
        <v>5005</v>
      </c>
      <c r="B748" s="15" t="s">
        <v>4048</v>
      </c>
      <c r="C748" s="1" t="s">
        <v>5006</v>
      </c>
    </row>
    <row r="749" spans="1:3">
      <c r="A749" s="15" t="s">
        <v>5007</v>
      </c>
      <c r="B749" s="15" t="s">
        <v>2790</v>
      </c>
      <c r="C749" s="1" t="s">
        <v>5008</v>
      </c>
    </row>
    <row r="750" spans="1:3">
      <c r="A750" s="15" t="s">
        <v>5009</v>
      </c>
      <c r="B750" s="15" t="s">
        <v>5010</v>
      </c>
      <c r="C750" s="1" t="s">
        <v>5011</v>
      </c>
    </row>
    <row r="751" spans="1:3">
      <c r="A751" s="15" t="s">
        <v>5012</v>
      </c>
      <c r="B751" s="15" t="s">
        <v>198</v>
      </c>
      <c r="C751" s="1" t="s">
        <v>3361</v>
      </c>
    </row>
    <row r="752" spans="1:3">
      <c r="A752" s="15" t="s">
        <v>5013</v>
      </c>
      <c r="B752" s="15" t="s">
        <v>5014</v>
      </c>
      <c r="C752" s="15" t="s">
        <v>5015</v>
      </c>
    </row>
    <row r="753" spans="1:3">
      <c r="A753" s="15" t="s">
        <v>5016</v>
      </c>
      <c r="B753" s="15" t="s">
        <v>2018</v>
      </c>
      <c r="C753" s="15" t="s">
        <v>5017</v>
      </c>
    </row>
    <row r="754" spans="1:3">
      <c r="A754" s="15" t="s">
        <v>5018</v>
      </c>
      <c r="B754" s="15" t="s">
        <v>5019</v>
      </c>
      <c r="C754" s="15" t="s">
        <v>5020</v>
      </c>
    </row>
    <row r="755" spans="1:3">
      <c r="A755" s="15" t="s">
        <v>5021</v>
      </c>
      <c r="B755" s="15" t="s">
        <v>45</v>
      </c>
      <c r="C755" s="15" t="s">
        <v>5022</v>
      </c>
    </row>
    <row r="756" spans="1:3">
      <c r="A756" s="15" t="s">
        <v>5023</v>
      </c>
      <c r="B756" s="15" t="s">
        <v>3060</v>
      </c>
      <c r="C756" s="15" t="s">
        <v>5024</v>
      </c>
    </row>
    <row r="757" spans="1:3">
      <c r="A757" s="15" t="s">
        <v>5025</v>
      </c>
      <c r="B757" s="15" t="s">
        <v>727</v>
      </c>
      <c r="C757" s="15" t="s">
        <v>5026</v>
      </c>
    </row>
    <row r="758" spans="1:3">
      <c r="A758" s="15" t="s">
        <v>5027</v>
      </c>
      <c r="B758" s="15" t="s">
        <v>5028</v>
      </c>
      <c r="C758" s="15" t="s">
        <v>5029</v>
      </c>
    </row>
    <row r="759" spans="1:3">
      <c r="A759" s="15" t="s">
        <v>5030</v>
      </c>
      <c r="B759" s="15" t="s">
        <v>2468</v>
      </c>
      <c r="C759" s="1" t="s">
        <v>5031</v>
      </c>
    </row>
    <row r="760" spans="1:3">
      <c r="A760" s="15" t="s">
        <v>5032</v>
      </c>
      <c r="B760" s="15" t="s">
        <v>1032</v>
      </c>
      <c r="C760" s="1" t="s">
        <v>5033</v>
      </c>
    </row>
    <row r="761" spans="1:3">
      <c r="A761" s="15" t="s">
        <v>5034</v>
      </c>
      <c r="B761" s="15" t="s">
        <v>741</v>
      </c>
      <c r="C761" s="1" t="s">
        <v>5035</v>
      </c>
    </row>
    <row r="762" spans="1:3">
      <c r="A762" s="15" t="s">
        <v>5036</v>
      </c>
      <c r="B762" s="15" t="s">
        <v>2791</v>
      </c>
      <c r="C762" s="1" t="s">
        <v>2792</v>
      </c>
    </row>
    <row r="763" spans="1:3">
      <c r="A763" s="15" t="s">
        <v>5037</v>
      </c>
      <c r="B763" s="15" t="s">
        <v>5038</v>
      </c>
      <c r="C763" s="1" t="s">
        <v>5039</v>
      </c>
    </row>
    <row r="764" spans="1:3">
      <c r="A764" s="15" t="s">
        <v>5040</v>
      </c>
      <c r="B764" s="15" t="s">
        <v>184</v>
      </c>
      <c r="C764" s="15" t="s">
        <v>5041</v>
      </c>
    </row>
    <row r="765" spans="1:3">
      <c r="A765" s="15" t="s">
        <v>5042</v>
      </c>
      <c r="B765" s="15" t="s">
        <v>5043</v>
      </c>
      <c r="C765" s="1" t="s">
        <v>5044</v>
      </c>
    </row>
    <row r="766" spans="1:3">
      <c r="A766" s="15" t="s">
        <v>5045</v>
      </c>
      <c r="B766" s="15" t="s">
        <v>4318</v>
      </c>
      <c r="C766" s="1" t="s">
        <v>5046</v>
      </c>
    </row>
    <row r="767" spans="1:3">
      <c r="A767" s="15" t="s">
        <v>5047</v>
      </c>
      <c r="B767" s="15" t="s">
        <v>2713</v>
      </c>
      <c r="C767" s="1" t="s">
        <v>2881</v>
      </c>
    </row>
    <row r="768" spans="1:3">
      <c r="A768" s="15" t="s">
        <v>5048</v>
      </c>
      <c r="B768" s="15" t="s">
        <v>90</v>
      </c>
      <c r="C768" s="1" t="s">
        <v>3047</v>
      </c>
    </row>
    <row r="769" spans="1:3">
      <c r="A769" s="15" t="s">
        <v>5049</v>
      </c>
      <c r="B769" s="15" t="s">
        <v>161</v>
      </c>
      <c r="C769" s="1" t="s">
        <v>5050</v>
      </c>
    </row>
    <row r="770" spans="1:3">
      <c r="A770" s="15" t="s">
        <v>5051</v>
      </c>
      <c r="B770" s="15" t="s">
        <v>5052</v>
      </c>
      <c r="C770" s="1" t="s">
        <v>5053</v>
      </c>
    </row>
    <row r="771" spans="1:3">
      <c r="A771" s="15" t="s">
        <v>5054</v>
      </c>
      <c r="B771" s="15" t="s">
        <v>198</v>
      </c>
      <c r="C771" s="15" t="s">
        <v>3387</v>
      </c>
    </row>
    <row r="772" spans="1:3">
      <c r="A772" s="15" t="s">
        <v>5055</v>
      </c>
      <c r="B772" s="15" t="s">
        <v>2574</v>
      </c>
      <c r="C772" s="15" t="s">
        <v>5000</v>
      </c>
    </row>
    <row r="773" spans="1:3">
      <c r="A773" s="15" t="s">
        <v>5056</v>
      </c>
      <c r="B773" s="15" t="s">
        <v>3915</v>
      </c>
      <c r="C773" s="1" t="s">
        <v>5057</v>
      </c>
    </row>
    <row r="774" spans="1:3">
      <c r="A774" s="15" t="s">
        <v>5058</v>
      </c>
      <c r="B774" s="15" t="s">
        <v>124</v>
      </c>
      <c r="C774" s="1" t="s">
        <v>5059</v>
      </c>
    </row>
    <row r="775" spans="1:3">
      <c r="A775" s="15" t="s">
        <v>5060</v>
      </c>
      <c r="B775" s="15" t="s">
        <v>322</v>
      </c>
      <c r="C775" s="1" t="s">
        <v>5061</v>
      </c>
    </row>
    <row r="776" spans="1:3">
      <c r="A776" s="15" t="s">
        <v>5062</v>
      </c>
      <c r="B776" s="15" t="s">
        <v>3277</v>
      </c>
      <c r="C776" s="1" t="s">
        <v>5063</v>
      </c>
    </row>
    <row r="777" spans="1:3">
      <c r="A777" s="15" t="s">
        <v>5064</v>
      </c>
      <c r="B777" s="15" t="s">
        <v>727</v>
      </c>
      <c r="C777" s="1" t="s">
        <v>5065</v>
      </c>
    </row>
    <row r="778" spans="1:3">
      <c r="A778" s="15" t="s">
        <v>5066</v>
      </c>
      <c r="B778" s="15" t="s">
        <v>33</v>
      </c>
      <c r="C778" s="1" t="s">
        <v>5067</v>
      </c>
    </row>
    <row r="779" spans="1:3">
      <c r="A779" s="15" t="s">
        <v>5068</v>
      </c>
      <c r="B779" s="15" t="s">
        <v>201</v>
      </c>
      <c r="C779" s="1" t="s">
        <v>5031</v>
      </c>
    </row>
    <row r="780" spans="1:3">
      <c r="A780" s="15" t="s">
        <v>5069</v>
      </c>
      <c r="B780" s="15" t="s">
        <v>5070</v>
      </c>
      <c r="C780" s="1" t="s">
        <v>5071</v>
      </c>
    </row>
    <row r="781" spans="1:3">
      <c r="A781" s="15" t="s">
        <v>5072</v>
      </c>
      <c r="B781" s="15" t="s">
        <v>3201</v>
      </c>
      <c r="C781" s="1" t="s">
        <v>5073</v>
      </c>
    </row>
    <row r="782" spans="1:3">
      <c r="A782" s="15" t="s">
        <v>5074</v>
      </c>
      <c r="B782" s="15" t="s">
        <v>4482</v>
      </c>
      <c r="C782" s="15" t="s">
        <v>5075</v>
      </c>
    </row>
    <row r="783" spans="1:3">
      <c r="A783" s="15" t="s">
        <v>5076</v>
      </c>
      <c r="B783" s="15" t="s">
        <v>495</v>
      </c>
      <c r="C783" s="1" t="s">
        <v>4995</v>
      </c>
    </row>
    <row r="784" spans="1:3">
      <c r="A784" s="15" t="s">
        <v>5077</v>
      </c>
      <c r="B784" s="15" t="s">
        <v>2927</v>
      </c>
      <c r="C784" s="1" t="s">
        <v>5078</v>
      </c>
    </row>
    <row r="785" spans="1:3">
      <c r="A785" s="15" t="s">
        <v>5079</v>
      </c>
      <c r="B785" s="15" t="s">
        <v>163</v>
      </c>
      <c r="C785" s="1" t="s">
        <v>5080</v>
      </c>
    </row>
    <row r="786" spans="1:3">
      <c r="A786" s="15" t="s">
        <v>5081</v>
      </c>
      <c r="B786" s="15" t="s">
        <v>5082</v>
      </c>
      <c r="C786" s="1"/>
    </row>
    <row r="787" spans="1:3">
      <c r="A787" s="15" t="s">
        <v>5083</v>
      </c>
      <c r="B787" s="15" t="s">
        <v>5084</v>
      </c>
      <c r="C787" s="1" t="s">
        <v>5085</v>
      </c>
    </row>
    <row r="788" spans="1:3">
      <c r="A788" s="15" t="s">
        <v>5086</v>
      </c>
      <c r="B788" s="15" t="s">
        <v>4313</v>
      </c>
      <c r="C788" s="1" t="s">
        <v>4984</v>
      </c>
    </row>
    <row r="789" spans="1:3">
      <c r="A789" s="15" t="s">
        <v>5087</v>
      </c>
      <c r="B789" s="15" t="s">
        <v>5088</v>
      </c>
      <c r="C789" s="1" t="s">
        <v>5089</v>
      </c>
    </row>
    <row r="790" spans="1:3">
      <c r="A790" s="15" t="s">
        <v>5090</v>
      </c>
      <c r="B790" s="15" t="s">
        <v>4313</v>
      </c>
      <c r="C790" s="1" t="s">
        <v>5091</v>
      </c>
    </row>
    <row r="791" spans="1:3">
      <c r="A791" s="15" t="s">
        <v>5092</v>
      </c>
      <c r="B791" s="15" t="s">
        <v>5093</v>
      </c>
      <c r="C791" s="1" t="s">
        <v>5094</v>
      </c>
    </row>
    <row r="792" spans="1:3">
      <c r="A792" s="15" t="s">
        <v>5095</v>
      </c>
      <c r="B792" s="15" t="s">
        <v>2781</v>
      </c>
      <c r="C792" s="1" t="s">
        <v>5096</v>
      </c>
    </row>
    <row r="793" spans="1:3">
      <c r="A793" s="15" t="s">
        <v>5097</v>
      </c>
      <c r="B793" s="15" t="s">
        <v>161</v>
      </c>
      <c r="C793" s="1" t="s">
        <v>5098</v>
      </c>
    </row>
    <row r="794" spans="1:3">
      <c r="A794" s="15" t="s">
        <v>5099</v>
      </c>
      <c r="B794" s="15" t="s">
        <v>5100</v>
      </c>
      <c r="C794" s="15" t="s">
        <v>5101</v>
      </c>
    </row>
    <row r="795" spans="1:3">
      <c r="A795" s="15" t="s">
        <v>5102</v>
      </c>
      <c r="B795" s="15" t="s">
        <v>2446</v>
      </c>
      <c r="C795" s="15" t="s">
        <v>5103</v>
      </c>
    </row>
    <row r="796" spans="1:3">
      <c r="A796" s="15" t="s">
        <v>5104</v>
      </c>
      <c r="B796" s="15" t="s">
        <v>4313</v>
      </c>
      <c r="C796" s="15" t="s">
        <v>4984</v>
      </c>
    </row>
    <row r="797" spans="1:3">
      <c r="A797" s="15" t="s">
        <v>5105</v>
      </c>
      <c r="B797" s="15" t="s">
        <v>5106</v>
      </c>
      <c r="C797" s="1" t="s">
        <v>5107</v>
      </c>
    </row>
    <row r="798" spans="1:3">
      <c r="A798" s="15" t="s">
        <v>5108</v>
      </c>
      <c r="B798" s="15" t="s">
        <v>4027</v>
      </c>
      <c r="C798" s="1" t="s">
        <v>5109</v>
      </c>
    </row>
    <row r="799" spans="1:3">
      <c r="A799" s="15" t="s">
        <v>5110</v>
      </c>
      <c r="B799" s="15" t="s">
        <v>3543</v>
      </c>
      <c r="C799" s="1" t="s">
        <v>5111</v>
      </c>
    </row>
    <row r="800" spans="1:3">
      <c r="A800" s="15" t="s">
        <v>5112</v>
      </c>
      <c r="B800" s="15" t="s">
        <v>2998</v>
      </c>
      <c r="C800" s="1" t="s">
        <v>5113</v>
      </c>
    </row>
    <row r="801" spans="1:3">
      <c r="A801" s="15" t="s">
        <v>5114</v>
      </c>
      <c r="B801" s="15" t="s">
        <v>1756</v>
      </c>
      <c r="C801" s="1" t="s">
        <v>5115</v>
      </c>
    </row>
    <row r="802" spans="1:3">
      <c r="A802" s="15" t="s">
        <v>5116</v>
      </c>
      <c r="B802" s="15" t="s">
        <v>1660</v>
      </c>
      <c r="C802" s="15" t="s">
        <v>5117</v>
      </c>
    </row>
    <row r="803" spans="1:3">
      <c r="A803" s="15" t="s">
        <v>5118</v>
      </c>
      <c r="B803" s="15" t="s">
        <v>2790</v>
      </c>
      <c r="C803" s="1"/>
    </row>
    <row r="804" spans="1:3">
      <c r="A804" s="15" t="s">
        <v>5119</v>
      </c>
      <c r="B804" s="15" t="s">
        <v>1289</v>
      </c>
      <c r="C804" s="1" t="s">
        <v>5120</v>
      </c>
    </row>
    <row r="805" spans="1:3">
      <c r="A805" s="15" t="s">
        <v>5121</v>
      </c>
      <c r="B805" s="15" t="s">
        <v>9</v>
      </c>
      <c r="C805" s="1" t="s">
        <v>3321</v>
      </c>
    </row>
    <row r="806" spans="1:3">
      <c r="A806" s="15" t="s">
        <v>5122</v>
      </c>
      <c r="B806" s="15" t="s">
        <v>2713</v>
      </c>
      <c r="C806" s="1" t="s">
        <v>5123</v>
      </c>
    </row>
    <row r="807" spans="1:3">
      <c r="A807" s="15" t="s">
        <v>5124</v>
      </c>
      <c r="B807" s="15" t="s">
        <v>2878</v>
      </c>
      <c r="C807" s="1" t="s">
        <v>5125</v>
      </c>
    </row>
    <row r="808" spans="1:3">
      <c r="A808" s="15" t="s">
        <v>5126</v>
      </c>
      <c r="B808" s="15" t="s">
        <v>5127</v>
      </c>
      <c r="C808" s="1" t="s">
        <v>5128</v>
      </c>
    </row>
    <row r="809" spans="1:3">
      <c r="A809" s="15" t="s">
        <v>5129</v>
      </c>
      <c r="B809" s="15" t="s">
        <v>2465</v>
      </c>
      <c r="C809" s="1" t="s">
        <v>3288</v>
      </c>
    </row>
    <row r="810" spans="1:3">
      <c r="A810" s="15" t="s">
        <v>5130</v>
      </c>
      <c r="B810" s="15" t="s">
        <v>3364</v>
      </c>
      <c r="C810" s="1" t="s">
        <v>2893</v>
      </c>
    </row>
    <row r="811" spans="1:3">
      <c r="A811" s="15" t="s">
        <v>5131</v>
      </c>
      <c r="B811" s="15" t="s">
        <v>2854</v>
      </c>
      <c r="C811" s="1" t="s">
        <v>5132</v>
      </c>
    </row>
    <row r="812" spans="1:3">
      <c r="A812" s="15" t="s">
        <v>5133</v>
      </c>
      <c r="B812" s="15" t="s">
        <v>30</v>
      </c>
      <c r="C812" s="1" t="s">
        <v>5134</v>
      </c>
    </row>
    <row r="813" spans="1:3">
      <c r="A813" s="15" t="s">
        <v>5135</v>
      </c>
      <c r="B813" s="15" t="s">
        <v>2941</v>
      </c>
      <c r="C813" s="1" t="s">
        <v>5136</v>
      </c>
    </row>
    <row r="814" spans="1:3">
      <c r="A814" s="15" t="s">
        <v>5137</v>
      </c>
      <c r="B814" s="15" t="s">
        <v>201</v>
      </c>
      <c r="C814" s="15" t="s">
        <v>3329</v>
      </c>
    </row>
    <row r="815" spans="1:3">
      <c r="A815" s="15" t="s">
        <v>5138</v>
      </c>
      <c r="B815" s="15" t="s">
        <v>168</v>
      </c>
      <c r="C815" s="15" t="s">
        <v>5139</v>
      </c>
    </row>
    <row r="816" spans="1:3">
      <c r="A816" s="15" t="s">
        <v>5140</v>
      </c>
      <c r="B816" s="15" t="s">
        <v>24</v>
      </c>
      <c r="C816" s="15" t="s">
        <v>5141</v>
      </c>
    </row>
    <row r="817" spans="1:3">
      <c r="A817" s="15" t="s">
        <v>5142</v>
      </c>
      <c r="B817" s="15" t="s">
        <v>201</v>
      </c>
      <c r="C817" s="15" t="s">
        <v>5143</v>
      </c>
    </row>
    <row r="818" spans="1:3">
      <c r="A818" s="15" t="s">
        <v>5144</v>
      </c>
      <c r="B818" s="15" t="s">
        <v>4313</v>
      </c>
      <c r="C818" s="15" t="s">
        <v>5145</v>
      </c>
    </row>
    <row r="819" spans="1:3">
      <c r="A819" s="15" t="s">
        <v>5146</v>
      </c>
      <c r="B819" s="15" t="s">
        <v>2941</v>
      </c>
      <c r="C819" s="1" t="s">
        <v>5136</v>
      </c>
    </row>
    <row r="820" spans="1:3">
      <c r="A820" s="15" t="s">
        <v>5147</v>
      </c>
      <c r="B820" s="15" t="s">
        <v>184</v>
      </c>
      <c r="C820" s="1" t="s">
        <v>5148</v>
      </c>
    </row>
    <row r="821" spans="1:3">
      <c r="A821" s="15" t="s">
        <v>5149</v>
      </c>
      <c r="B821" s="15" t="s">
        <v>4426</v>
      </c>
      <c r="C821" s="15" t="s">
        <v>5150</v>
      </c>
    </row>
    <row r="822" spans="1:3">
      <c r="A822" s="15" t="s">
        <v>5151</v>
      </c>
      <c r="B822" s="15" t="s">
        <v>741</v>
      </c>
      <c r="C822" s="1" t="s">
        <v>5152</v>
      </c>
    </row>
    <row r="823" spans="1:3">
      <c r="A823" s="15" t="s">
        <v>5153</v>
      </c>
      <c r="B823" s="15" t="s">
        <v>1660</v>
      </c>
      <c r="C823" s="1" t="s">
        <v>2824</v>
      </c>
    </row>
    <row r="824" spans="1:3">
      <c r="A824" s="15" t="s">
        <v>5154</v>
      </c>
      <c r="B824" s="15" t="s">
        <v>3434</v>
      </c>
      <c r="C824" s="1" t="s">
        <v>5155</v>
      </c>
    </row>
    <row r="825" spans="1:3">
      <c r="A825" s="15" t="s">
        <v>5156</v>
      </c>
      <c r="B825" s="15" t="s">
        <v>234</v>
      </c>
      <c r="C825" s="1" t="s">
        <v>5157</v>
      </c>
    </row>
    <row r="826" spans="1:3">
      <c r="A826" s="15" t="s">
        <v>5158</v>
      </c>
      <c r="B826" s="15" t="s">
        <v>3639</v>
      </c>
      <c r="C826" s="1" t="s">
        <v>5159</v>
      </c>
    </row>
    <row r="827" spans="1:3">
      <c r="A827" s="15" t="s">
        <v>5160</v>
      </c>
      <c r="B827" s="15" t="s">
        <v>75</v>
      </c>
      <c r="C827" s="15" t="s">
        <v>3175</v>
      </c>
    </row>
    <row r="828" spans="1:3">
      <c r="A828" s="15" t="s">
        <v>5161</v>
      </c>
      <c r="B828" s="15" t="s">
        <v>3512</v>
      </c>
      <c r="C828" s="15" t="s">
        <v>5162</v>
      </c>
    </row>
    <row r="829" spans="1:3">
      <c r="A829" s="15" t="s">
        <v>5163</v>
      </c>
      <c r="B829" s="15" t="s">
        <v>3434</v>
      </c>
      <c r="C829" s="1" t="s">
        <v>5164</v>
      </c>
    </row>
    <row r="830" spans="1:3">
      <c r="A830" s="15" t="s">
        <v>5165</v>
      </c>
      <c r="B830" s="15" t="s">
        <v>1706</v>
      </c>
      <c r="C830" s="1" t="s">
        <v>5166</v>
      </c>
    </row>
    <row r="831" spans="1:3">
      <c r="A831" s="15" t="s">
        <v>5167</v>
      </c>
      <c r="B831" s="15" t="s">
        <v>3042</v>
      </c>
      <c r="C831" s="1" t="s">
        <v>3043</v>
      </c>
    </row>
    <row r="832" spans="1:3">
      <c r="A832" s="15" t="s">
        <v>5168</v>
      </c>
      <c r="B832" s="15" t="s">
        <v>3915</v>
      </c>
      <c r="C832" s="1" t="s">
        <v>5169</v>
      </c>
    </row>
    <row r="833" spans="1:3">
      <c r="A833" s="15" t="s">
        <v>5170</v>
      </c>
      <c r="B833" s="15" t="s">
        <v>90</v>
      </c>
      <c r="C833" s="1" t="s">
        <v>5171</v>
      </c>
    </row>
    <row r="834" spans="1:3">
      <c r="A834" s="15" t="s">
        <v>5172</v>
      </c>
      <c r="B834" s="15" t="s">
        <v>3543</v>
      </c>
      <c r="C834" s="1" t="s">
        <v>5173</v>
      </c>
    </row>
    <row r="835" spans="1:3">
      <c r="A835" s="15" t="s">
        <v>5174</v>
      </c>
      <c r="B835" s="15" t="s">
        <v>5175</v>
      </c>
      <c r="C835" s="1" t="s">
        <v>5176</v>
      </c>
    </row>
    <row r="836" spans="1:3">
      <c r="A836" s="15" t="s">
        <v>5177</v>
      </c>
      <c r="B836" s="15" t="s">
        <v>5178</v>
      </c>
      <c r="C836" s="1" t="s">
        <v>5179</v>
      </c>
    </row>
    <row r="837" spans="1:3">
      <c r="A837" s="15" t="s">
        <v>5180</v>
      </c>
      <c r="B837" s="15" t="s">
        <v>3915</v>
      </c>
      <c r="C837" s="1" t="s">
        <v>5181</v>
      </c>
    </row>
    <row r="838" spans="1:3">
      <c r="A838" s="15" t="s">
        <v>5182</v>
      </c>
      <c r="B838" s="15" t="s">
        <v>16</v>
      </c>
      <c r="C838" s="1" t="s">
        <v>5183</v>
      </c>
    </row>
    <row r="839" spans="1:3">
      <c r="A839" s="15" t="s">
        <v>5184</v>
      </c>
      <c r="B839" s="15" t="s">
        <v>4313</v>
      </c>
      <c r="C839" s="1" t="s">
        <v>5185</v>
      </c>
    </row>
    <row r="840" spans="1:3">
      <c r="A840" s="15" t="s">
        <v>5186</v>
      </c>
      <c r="B840" s="15" t="s">
        <v>5187</v>
      </c>
      <c r="C840" s="15" t="s">
        <v>3556</v>
      </c>
    </row>
    <row r="841" spans="1:3">
      <c r="A841" s="15" t="s">
        <v>5188</v>
      </c>
      <c r="B841" s="15" t="s">
        <v>3364</v>
      </c>
      <c r="C841" s="15" t="s">
        <v>5189</v>
      </c>
    </row>
    <row r="842" spans="1:3">
      <c r="A842" s="15" t="s">
        <v>5190</v>
      </c>
      <c r="B842" s="15" t="s">
        <v>195</v>
      </c>
      <c r="C842" s="15" t="s">
        <v>2908</v>
      </c>
    </row>
    <row r="843" spans="1:3">
      <c r="A843" s="15" t="s">
        <v>5191</v>
      </c>
      <c r="B843" s="15" t="s">
        <v>5192</v>
      </c>
      <c r="C843" s="1" t="s">
        <v>5193</v>
      </c>
    </row>
    <row r="844" spans="1:3">
      <c r="A844" s="15" t="s">
        <v>5194</v>
      </c>
      <c r="B844" s="15" t="s">
        <v>5195</v>
      </c>
      <c r="C844" s="1" t="s">
        <v>5196</v>
      </c>
    </row>
    <row r="845" spans="1:3">
      <c r="A845" s="15" t="s">
        <v>5197</v>
      </c>
      <c r="B845" s="15" t="s">
        <v>3608</v>
      </c>
      <c r="C845" s="1" t="s">
        <v>4192</v>
      </c>
    </row>
    <row r="846" spans="1:3">
      <c r="A846" s="15" t="s">
        <v>5198</v>
      </c>
      <c r="B846" s="15" t="s">
        <v>5199</v>
      </c>
      <c r="C846" s="15" t="s">
        <v>5200</v>
      </c>
    </row>
    <row r="847" spans="1:3">
      <c r="A847" s="15" t="s">
        <v>5201</v>
      </c>
      <c r="B847" s="15" t="s">
        <v>5202</v>
      </c>
      <c r="C847" s="1" t="s">
        <v>5203</v>
      </c>
    </row>
    <row r="848" spans="1:3">
      <c r="A848" s="15" t="s">
        <v>5204</v>
      </c>
      <c r="B848" s="15" t="s">
        <v>3099</v>
      </c>
      <c r="C848" s="1" t="s">
        <v>3348</v>
      </c>
    </row>
    <row r="849" spans="1:3">
      <c r="A849" s="15" t="s">
        <v>5205</v>
      </c>
      <c r="B849" s="15" t="s">
        <v>3659</v>
      </c>
      <c r="C849" s="1" t="s">
        <v>5206</v>
      </c>
    </row>
    <row r="850" spans="1:3">
      <c r="A850" s="15" t="s">
        <v>5207</v>
      </c>
      <c r="B850" s="15" t="s">
        <v>2850</v>
      </c>
      <c r="C850" s="1" t="s">
        <v>5208</v>
      </c>
    </row>
    <row r="851" spans="1:3">
      <c r="A851" s="15" t="s">
        <v>5209</v>
      </c>
      <c r="B851" s="15" t="s">
        <v>201</v>
      </c>
      <c r="C851" s="1" t="s">
        <v>5210</v>
      </c>
    </row>
    <row r="852" spans="1:3">
      <c r="A852" s="15" t="s">
        <v>5211</v>
      </c>
      <c r="B852" s="15" t="s">
        <v>3889</v>
      </c>
      <c r="C852" s="1" t="s">
        <v>5212</v>
      </c>
    </row>
    <row r="853" spans="1:3">
      <c r="A853" s="15" t="s">
        <v>5213</v>
      </c>
      <c r="B853" s="15" t="s">
        <v>24</v>
      </c>
      <c r="C853" s="1" t="s">
        <v>5214</v>
      </c>
    </row>
    <row r="854" spans="1:3">
      <c r="A854" s="15" t="s">
        <v>5215</v>
      </c>
      <c r="B854" s="15" t="s">
        <v>860</v>
      </c>
      <c r="C854" s="15" t="s">
        <v>5216</v>
      </c>
    </row>
    <row r="855" spans="1:3">
      <c r="A855" s="15" t="s">
        <v>5217</v>
      </c>
      <c r="B855" s="15" t="s">
        <v>2939</v>
      </c>
      <c r="C855" s="15" t="s">
        <v>5218</v>
      </c>
    </row>
    <row r="856" spans="1:3">
      <c r="A856" s="15" t="s">
        <v>5219</v>
      </c>
      <c r="B856" s="15" t="s">
        <v>495</v>
      </c>
      <c r="C856" s="15" t="s">
        <v>5220</v>
      </c>
    </row>
    <row r="857" spans="1:3">
      <c r="A857" s="15" t="s">
        <v>5221</v>
      </c>
      <c r="B857" s="15" t="s">
        <v>2866</v>
      </c>
      <c r="C857" s="1" t="s">
        <v>2867</v>
      </c>
    </row>
    <row r="858" spans="1:3">
      <c r="A858" s="15" t="s">
        <v>5222</v>
      </c>
      <c r="B858" s="15" t="s">
        <v>5223</v>
      </c>
      <c r="C858" s="1" t="s">
        <v>5224</v>
      </c>
    </row>
    <row r="859" spans="1:3">
      <c r="A859" s="15" t="s">
        <v>5225</v>
      </c>
      <c r="B859" s="15" t="s">
        <v>2713</v>
      </c>
      <c r="C859" s="15" t="s">
        <v>5226</v>
      </c>
    </row>
    <row r="860" spans="1:3">
      <c r="A860" s="15" t="s">
        <v>5227</v>
      </c>
      <c r="B860" s="15" t="s">
        <v>168</v>
      </c>
      <c r="C860" s="15" t="s">
        <v>5228</v>
      </c>
    </row>
    <row r="861" spans="1:3">
      <c r="A861" s="15" t="s">
        <v>5229</v>
      </c>
      <c r="B861" s="15" t="s">
        <v>1289</v>
      </c>
      <c r="C861" s="15" t="s">
        <v>2882</v>
      </c>
    </row>
    <row r="862" spans="1:3">
      <c r="A862" s="15" t="s">
        <v>5230</v>
      </c>
      <c r="B862" s="15" t="s">
        <v>37</v>
      </c>
      <c r="C862" s="1" t="s">
        <v>5231</v>
      </c>
    </row>
    <row r="863" spans="1:3">
      <c r="A863" s="15" t="s">
        <v>5232</v>
      </c>
      <c r="B863" s="15" t="s">
        <v>2888</v>
      </c>
      <c r="C863" s="1" t="s">
        <v>2889</v>
      </c>
    </row>
    <row r="864" spans="1:3">
      <c r="A864" s="15" t="s">
        <v>5233</v>
      </c>
      <c r="B864" s="15" t="s">
        <v>9</v>
      </c>
      <c r="C864" s="1" t="s">
        <v>3403</v>
      </c>
    </row>
    <row r="865" spans="1:3">
      <c r="A865" s="15" t="s">
        <v>5234</v>
      </c>
      <c r="B865" s="15" t="s">
        <v>5043</v>
      </c>
      <c r="C865" s="1" t="s">
        <v>5235</v>
      </c>
    </row>
    <row r="866" spans="1:3">
      <c r="A866" s="15" t="s">
        <v>5236</v>
      </c>
      <c r="B866" s="15" t="s">
        <v>3519</v>
      </c>
      <c r="C866" s="1" t="s">
        <v>5237</v>
      </c>
    </row>
    <row r="867" spans="1:3">
      <c r="A867" s="15" t="s">
        <v>5238</v>
      </c>
      <c r="B867" s="15" t="s">
        <v>2713</v>
      </c>
      <c r="C867" s="15" t="s">
        <v>5239</v>
      </c>
    </row>
    <row r="868" spans="1:3">
      <c r="A868" s="15" t="s">
        <v>5240</v>
      </c>
      <c r="B868" s="15" t="s">
        <v>5241</v>
      </c>
      <c r="C868" s="15" t="s">
        <v>5242</v>
      </c>
    </row>
    <row r="869" spans="1:3">
      <c r="A869" s="15" t="s">
        <v>5243</v>
      </c>
      <c r="B869" s="15" t="s">
        <v>2967</v>
      </c>
      <c r="C869" s="1" t="s">
        <v>5244</v>
      </c>
    </row>
    <row r="870" spans="1:3">
      <c r="A870" s="15" t="s">
        <v>5245</v>
      </c>
      <c r="B870" s="15" t="s">
        <v>5246</v>
      </c>
      <c r="C870" s="1" t="s">
        <v>3093</v>
      </c>
    </row>
    <row r="871" spans="1:3">
      <c r="A871" s="15" t="s">
        <v>5247</v>
      </c>
      <c r="B871" s="15" t="s">
        <v>3099</v>
      </c>
      <c r="C871" s="1" t="s">
        <v>3100</v>
      </c>
    </row>
    <row r="872" spans="1:3">
      <c r="A872" s="15" t="s">
        <v>5248</v>
      </c>
      <c r="B872" s="15" t="s">
        <v>3639</v>
      </c>
      <c r="C872" s="1" t="s">
        <v>5249</v>
      </c>
    </row>
    <row r="873" spans="1:3">
      <c r="A873" s="15" t="s">
        <v>5250</v>
      </c>
      <c r="B873" s="15" t="s">
        <v>30</v>
      </c>
      <c r="C873" s="1" t="s">
        <v>5251</v>
      </c>
    </row>
    <row r="874" spans="1:3">
      <c r="A874" s="15" t="s">
        <v>5252</v>
      </c>
      <c r="B874" s="15" t="s">
        <v>4048</v>
      </c>
      <c r="C874" s="1" t="s">
        <v>5253</v>
      </c>
    </row>
    <row r="875" spans="1:3">
      <c r="A875" s="15" t="s">
        <v>5254</v>
      </c>
      <c r="B875" s="15" t="s">
        <v>3522</v>
      </c>
      <c r="C875" s="1" t="s">
        <v>5255</v>
      </c>
    </row>
    <row r="876" spans="1:3">
      <c r="A876" s="15" t="s">
        <v>5256</v>
      </c>
      <c r="B876" s="15" t="s">
        <v>2972</v>
      </c>
      <c r="C876" s="15" t="s">
        <v>5257</v>
      </c>
    </row>
    <row r="877" spans="1:3">
      <c r="A877" s="15" t="s">
        <v>5258</v>
      </c>
      <c r="B877" s="15" t="s">
        <v>2713</v>
      </c>
      <c r="C877" s="1" t="s">
        <v>5259</v>
      </c>
    </row>
    <row r="878" spans="1:3">
      <c r="A878" s="15" t="s">
        <v>5260</v>
      </c>
      <c r="B878" s="15" t="s">
        <v>3112</v>
      </c>
      <c r="C878" s="15" t="s">
        <v>5261</v>
      </c>
    </row>
    <row r="879" spans="1:3">
      <c r="A879" s="15" t="s">
        <v>5262</v>
      </c>
      <c r="B879" s="15" t="s">
        <v>5263</v>
      </c>
      <c r="C879" s="15" t="s">
        <v>5264</v>
      </c>
    </row>
    <row r="880" spans="1:3">
      <c r="A880" s="15" t="s">
        <v>5265</v>
      </c>
      <c r="B880" s="15" t="s">
        <v>5266</v>
      </c>
      <c r="C880" s="15" t="s">
        <v>5267</v>
      </c>
    </row>
    <row r="881" spans="1:3">
      <c r="A881" s="15" t="s">
        <v>5268</v>
      </c>
      <c r="B881" s="15" t="s">
        <v>322</v>
      </c>
      <c r="C881" s="1" t="s">
        <v>5269</v>
      </c>
    </row>
    <row r="882" spans="1:3">
      <c r="A882" s="15" t="s">
        <v>5270</v>
      </c>
      <c r="B882" s="15" t="s">
        <v>4704</v>
      </c>
      <c r="C882" s="1" t="s">
        <v>5271</v>
      </c>
    </row>
    <row r="883" spans="1:3">
      <c r="A883" s="15" t="s">
        <v>5272</v>
      </c>
      <c r="B883" s="15" t="s">
        <v>2377</v>
      </c>
      <c r="C883" s="1" t="s">
        <v>5273</v>
      </c>
    </row>
    <row r="884" spans="1:3">
      <c r="A884" s="15" t="s">
        <v>5274</v>
      </c>
      <c r="B884" s="15" t="s">
        <v>201</v>
      </c>
      <c r="C884" s="1" t="s">
        <v>5275</v>
      </c>
    </row>
    <row r="885" spans="1:3">
      <c r="A885" s="15" t="s">
        <v>5276</v>
      </c>
      <c r="B885" s="15" t="s">
        <v>2418</v>
      </c>
      <c r="C885" s="15" t="s">
        <v>5277</v>
      </c>
    </row>
    <row r="886" spans="1:3">
      <c r="A886" s="15" t="s">
        <v>5278</v>
      </c>
      <c r="B886" s="15" t="s">
        <v>2747</v>
      </c>
      <c r="C886" s="1" t="s">
        <v>5279</v>
      </c>
    </row>
    <row r="887" spans="1:3">
      <c r="A887" s="15" t="s">
        <v>5280</v>
      </c>
      <c r="B887" s="15" t="s">
        <v>3543</v>
      </c>
      <c r="C887" s="15" t="s">
        <v>5281</v>
      </c>
    </row>
    <row r="888" spans="1:3">
      <c r="A888" s="15" t="s">
        <v>5282</v>
      </c>
      <c r="B888" s="15" t="s">
        <v>322</v>
      </c>
      <c r="C888" s="15" t="s">
        <v>5283</v>
      </c>
    </row>
    <row r="889" spans="1:3">
      <c r="A889" s="15" t="s">
        <v>5284</v>
      </c>
      <c r="B889" s="15" t="s">
        <v>30</v>
      </c>
      <c r="C889" s="15" t="s">
        <v>5285</v>
      </c>
    </row>
    <row r="890" spans="1:3">
      <c r="A890" s="15" t="s">
        <v>5286</v>
      </c>
      <c r="B890" s="15" t="s">
        <v>727</v>
      </c>
      <c r="C890" s="15" t="s">
        <v>1062</v>
      </c>
    </row>
    <row r="891" spans="1:3">
      <c r="A891" s="15" t="s">
        <v>5287</v>
      </c>
      <c r="B891" s="15" t="s">
        <v>966</v>
      </c>
      <c r="C891" s="15" t="s">
        <v>5288</v>
      </c>
    </row>
    <row r="892" spans="1:3">
      <c r="A892" s="15" t="s">
        <v>5289</v>
      </c>
      <c r="B892" s="15" t="s">
        <v>30</v>
      </c>
      <c r="C892" s="15" t="s">
        <v>5290</v>
      </c>
    </row>
    <row r="893" spans="1:3">
      <c r="A893" s="15" t="s">
        <v>5291</v>
      </c>
      <c r="B893" s="15" t="s">
        <v>152</v>
      </c>
      <c r="C893" s="15" t="s">
        <v>5292</v>
      </c>
    </row>
    <row r="894" spans="1:3">
      <c r="A894" s="15" t="s">
        <v>5293</v>
      </c>
      <c r="B894" s="15" t="s">
        <v>5294</v>
      </c>
      <c r="C894" s="1" t="s">
        <v>5295</v>
      </c>
    </row>
    <row r="895" spans="1:3">
      <c r="A895" s="15" t="s">
        <v>5296</v>
      </c>
      <c r="B895" s="15" t="s">
        <v>3543</v>
      </c>
      <c r="C895" s="1" t="s">
        <v>5297</v>
      </c>
    </row>
    <row r="896" spans="1:3">
      <c r="A896" s="15" t="s">
        <v>5298</v>
      </c>
      <c r="B896" s="15" t="s">
        <v>3636</v>
      </c>
      <c r="C896" s="15" t="s">
        <v>5299</v>
      </c>
    </row>
    <row r="897" spans="1:3">
      <c r="A897" s="15" t="s">
        <v>5300</v>
      </c>
      <c r="B897" s="15" t="s">
        <v>30</v>
      </c>
      <c r="C897" s="1" t="s">
        <v>5301</v>
      </c>
    </row>
    <row r="898" spans="1:3">
      <c r="A898" s="15" t="s">
        <v>5302</v>
      </c>
      <c r="B898" s="15" t="s">
        <v>3543</v>
      </c>
      <c r="C898" s="1" t="s">
        <v>5303</v>
      </c>
    </row>
    <row r="899" spans="1:3">
      <c r="A899" s="15" t="s">
        <v>5304</v>
      </c>
      <c r="B899" s="15" t="s">
        <v>2903</v>
      </c>
      <c r="C899" s="1" t="s">
        <v>2904</v>
      </c>
    </row>
    <row r="900" spans="1:3">
      <c r="A900" s="15" t="s">
        <v>5305</v>
      </c>
      <c r="B900" s="15" t="s">
        <v>30</v>
      </c>
      <c r="C900" s="1" t="s">
        <v>5306</v>
      </c>
    </row>
    <row r="901" spans="1:3">
      <c r="A901" s="15" t="s">
        <v>5307</v>
      </c>
      <c r="B901" s="15" t="s">
        <v>3543</v>
      </c>
      <c r="C901" s="15" t="s">
        <v>5308</v>
      </c>
    </row>
    <row r="902" spans="1:3">
      <c r="A902" s="15" t="s">
        <v>5309</v>
      </c>
      <c r="B902" s="15" t="s">
        <v>5310</v>
      </c>
      <c r="C902" s="1" t="s">
        <v>5311</v>
      </c>
    </row>
    <row r="903" spans="1:3">
      <c r="A903" s="15" t="s">
        <v>5312</v>
      </c>
      <c r="B903" s="15" t="s">
        <v>3627</v>
      </c>
      <c r="C903" s="1" t="s">
        <v>5313</v>
      </c>
    </row>
    <row r="904" spans="1:3">
      <c r="A904" s="15" t="s">
        <v>5314</v>
      </c>
      <c r="B904" s="15" t="s">
        <v>1173</v>
      </c>
      <c r="C904" s="1" t="s">
        <v>3415</v>
      </c>
    </row>
    <row r="905" spans="1:3">
      <c r="A905" s="15" t="s">
        <v>5315</v>
      </c>
      <c r="B905" s="15" t="s">
        <v>90</v>
      </c>
      <c r="C905" s="15" t="s">
        <v>5316</v>
      </c>
    </row>
    <row r="906" spans="1:3">
      <c r="A906" s="15" t="s">
        <v>5317</v>
      </c>
      <c r="B906" s="15" t="s">
        <v>4313</v>
      </c>
      <c r="C906" s="15" t="s">
        <v>5318</v>
      </c>
    </row>
    <row r="907" spans="1:3">
      <c r="A907" s="15" t="s">
        <v>5319</v>
      </c>
      <c r="B907" s="15" t="s">
        <v>5320</v>
      </c>
      <c r="C907" s="15" t="s">
        <v>5321</v>
      </c>
    </row>
    <row r="908" spans="1:3">
      <c r="A908" s="15" t="s">
        <v>5322</v>
      </c>
      <c r="B908" s="15" t="s">
        <v>2790</v>
      </c>
      <c r="C908" s="15" t="s">
        <v>5323</v>
      </c>
    </row>
    <row r="909" spans="1:3">
      <c r="A909" s="15" t="s">
        <v>5324</v>
      </c>
      <c r="B909" s="15" t="s">
        <v>2790</v>
      </c>
      <c r="C909" s="15" t="s">
        <v>5325</v>
      </c>
    </row>
    <row r="910" spans="1:3">
      <c r="A910" s="15" t="s">
        <v>5326</v>
      </c>
      <c r="B910" s="15" t="s">
        <v>4313</v>
      </c>
      <c r="C910" s="1" t="s">
        <v>5327</v>
      </c>
    </row>
    <row r="911" spans="1:3">
      <c r="A911" s="15" t="s">
        <v>5328</v>
      </c>
      <c r="B911" s="15" t="s">
        <v>5329</v>
      </c>
      <c r="C911" s="1" t="s">
        <v>5330</v>
      </c>
    </row>
    <row r="912" spans="1:3">
      <c r="A912" s="15" t="s">
        <v>5331</v>
      </c>
      <c r="B912" s="15" t="s">
        <v>9</v>
      </c>
      <c r="C912" s="1" t="s">
        <v>3085</v>
      </c>
    </row>
    <row r="913" spans="1:3">
      <c r="A913" s="15" t="s">
        <v>5332</v>
      </c>
      <c r="B913" s="15" t="s">
        <v>3543</v>
      </c>
      <c r="C913" s="1" t="s">
        <v>5333</v>
      </c>
    </row>
    <row r="914" spans="1:3">
      <c r="A914" s="15" t="s">
        <v>5334</v>
      </c>
      <c r="B914" s="15" t="s">
        <v>3486</v>
      </c>
      <c r="C914" s="1" t="s">
        <v>5335</v>
      </c>
    </row>
    <row r="915" spans="1:3">
      <c r="A915" s="15" t="s">
        <v>5336</v>
      </c>
      <c r="B915" s="15" t="s">
        <v>33</v>
      </c>
      <c r="C915" s="1" t="s">
        <v>34</v>
      </c>
    </row>
    <row r="916" spans="1:3">
      <c r="A916" s="15" t="s">
        <v>5337</v>
      </c>
      <c r="B916" s="15" t="s">
        <v>13</v>
      </c>
      <c r="C916" s="15" t="s">
        <v>2898</v>
      </c>
    </row>
    <row r="917" spans="1:3">
      <c r="A917" s="15" t="s">
        <v>5338</v>
      </c>
      <c r="B917" s="15" t="s">
        <v>5339</v>
      </c>
      <c r="C917" s="15" t="s">
        <v>5340</v>
      </c>
    </row>
    <row r="918" spans="1:3">
      <c r="A918" s="15" t="s">
        <v>5341</v>
      </c>
      <c r="B918" s="15" t="s">
        <v>5342</v>
      </c>
      <c r="C918" s="15" t="s">
        <v>5343</v>
      </c>
    </row>
    <row r="919" spans="1:3">
      <c r="A919" s="15" t="s">
        <v>5344</v>
      </c>
      <c r="B919" s="15" t="s">
        <v>3532</v>
      </c>
      <c r="C919" s="1" t="s">
        <v>3381</v>
      </c>
    </row>
    <row r="920" spans="1:3">
      <c r="A920" s="15" t="s">
        <v>5345</v>
      </c>
      <c r="B920" s="15" t="s">
        <v>13</v>
      </c>
      <c r="C920" s="15" t="s">
        <v>2897</v>
      </c>
    </row>
    <row r="921" spans="1:3">
      <c r="A921" s="15" t="s">
        <v>5346</v>
      </c>
      <c r="B921" s="15" t="s">
        <v>860</v>
      </c>
      <c r="C921" s="1" t="s">
        <v>5347</v>
      </c>
    </row>
    <row r="922" spans="1:3">
      <c r="A922" s="15" t="s">
        <v>5348</v>
      </c>
      <c r="B922" s="15" t="s">
        <v>3486</v>
      </c>
      <c r="C922" s="15" t="s">
        <v>5349</v>
      </c>
    </row>
    <row r="923" spans="1:3">
      <c r="A923" s="15" t="s">
        <v>5350</v>
      </c>
      <c r="B923" s="15" t="s">
        <v>322</v>
      </c>
      <c r="C923" s="15" t="s">
        <v>5351</v>
      </c>
    </row>
    <row r="924" spans="1:3">
      <c r="A924" s="15" t="s">
        <v>5352</v>
      </c>
      <c r="B924" s="15" t="s">
        <v>4129</v>
      </c>
      <c r="C924" s="1" t="s">
        <v>2971</v>
      </c>
    </row>
    <row r="925" spans="1:3">
      <c r="A925" s="15" t="s">
        <v>5353</v>
      </c>
      <c r="B925" s="15" t="s">
        <v>3659</v>
      </c>
      <c r="C925" s="1" t="s">
        <v>3660</v>
      </c>
    </row>
    <row r="926" spans="1:3">
      <c r="A926" s="15" t="s">
        <v>5354</v>
      </c>
      <c r="B926" s="15" t="s">
        <v>5355</v>
      </c>
      <c r="C926" s="1" t="s">
        <v>5356</v>
      </c>
    </row>
    <row r="927" spans="1:3">
      <c r="A927" s="15" t="s">
        <v>5357</v>
      </c>
      <c r="B927" s="15" t="s">
        <v>3161</v>
      </c>
      <c r="C927" s="15" t="s">
        <v>5358</v>
      </c>
    </row>
    <row r="928" spans="1:3">
      <c r="A928" s="15" t="s">
        <v>5359</v>
      </c>
      <c r="B928" s="15" t="s">
        <v>2972</v>
      </c>
      <c r="C928" s="15" t="s">
        <v>5257</v>
      </c>
    </row>
    <row r="929" spans="1:3">
      <c r="A929" s="15" t="s">
        <v>5360</v>
      </c>
      <c r="B929" s="15" t="s">
        <v>24</v>
      </c>
      <c r="C929" s="15" t="s">
        <v>5361</v>
      </c>
    </row>
    <row r="930" spans="1:3">
      <c r="A930" s="15" t="s">
        <v>5362</v>
      </c>
      <c r="B930" s="15" t="s">
        <v>2915</v>
      </c>
      <c r="C930" s="31" t="s">
        <v>5363</v>
      </c>
    </row>
    <row r="931" spans="1:3">
      <c r="A931" s="15" t="s">
        <v>5364</v>
      </c>
      <c r="B931" s="15" t="s">
        <v>3543</v>
      </c>
      <c r="C931" s="1" t="s">
        <v>5365</v>
      </c>
    </row>
    <row r="932" spans="1:3">
      <c r="A932" s="15" t="s">
        <v>5366</v>
      </c>
      <c r="B932" s="15" t="s">
        <v>191</v>
      </c>
      <c r="C932" s="1" t="s">
        <v>5367</v>
      </c>
    </row>
    <row r="933" spans="1:3">
      <c r="A933" s="15" t="s">
        <v>5368</v>
      </c>
      <c r="B933" s="15" t="s">
        <v>2866</v>
      </c>
      <c r="C933" s="1" t="s">
        <v>3295</v>
      </c>
    </row>
    <row r="934" spans="1:3">
      <c r="A934" s="15" t="s">
        <v>5369</v>
      </c>
      <c r="B934" s="15" t="s">
        <v>1289</v>
      </c>
      <c r="C934" s="1" t="s">
        <v>2913</v>
      </c>
    </row>
    <row r="935" spans="1:3">
      <c r="A935" s="15" t="s">
        <v>5370</v>
      </c>
      <c r="B935" s="15" t="s">
        <v>4937</v>
      </c>
      <c r="C935" s="1" t="s">
        <v>5371</v>
      </c>
    </row>
    <row r="936" spans="1:3">
      <c r="A936" s="15" t="s">
        <v>5372</v>
      </c>
      <c r="B936" s="15" t="s">
        <v>5373</v>
      </c>
      <c r="C936" s="15" t="s">
        <v>5374</v>
      </c>
    </row>
    <row r="937" spans="1:3">
      <c r="A937" s="15" t="s">
        <v>5375</v>
      </c>
      <c r="B937" s="15" t="s">
        <v>3486</v>
      </c>
      <c r="C937" s="15" t="s">
        <v>5376</v>
      </c>
    </row>
    <row r="938" spans="1:3">
      <c r="A938" s="15" t="s">
        <v>5377</v>
      </c>
      <c r="B938" s="15" t="s">
        <v>1289</v>
      </c>
      <c r="C938" s="1" t="s">
        <v>5378</v>
      </c>
    </row>
    <row r="939" spans="1:3">
      <c r="A939" s="15" t="s">
        <v>5379</v>
      </c>
      <c r="B939" s="15" t="s">
        <v>4129</v>
      </c>
      <c r="C939" s="15" t="s">
        <v>2971</v>
      </c>
    </row>
    <row r="940" spans="1:3">
      <c r="A940" s="15" t="s">
        <v>5380</v>
      </c>
      <c r="B940" s="15" t="s">
        <v>2713</v>
      </c>
      <c r="C940" s="15" t="s">
        <v>5381</v>
      </c>
    </row>
    <row r="941" spans="1:3">
      <c r="A941" s="15" t="s">
        <v>5382</v>
      </c>
      <c r="B941" s="15" t="s">
        <v>1289</v>
      </c>
      <c r="C941" s="15" t="s">
        <v>2936</v>
      </c>
    </row>
    <row r="942" spans="1:3">
      <c r="A942" s="15" t="s">
        <v>5383</v>
      </c>
      <c r="B942" s="15" t="s">
        <v>4359</v>
      </c>
      <c r="C942" s="1" t="s">
        <v>5384</v>
      </c>
    </row>
    <row r="943" spans="1:3">
      <c r="A943" s="15" t="s">
        <v>5385</v>
      </c>
      <c r="B943" s="15" t="s">
        <v>3639</v>
      </c>
      <c r="C943" s="15" t="s">
        <v>5386</v>
      </c>
    </row>
    <row r="944" spans="1:3">
      <c r="A944" s="15" t="s">
        <v>5387</v>
      </c>
      <c r="B944" s="15" t="s">
        <v>16</v>
      </c>
      <c r="C944" s="1" t="s">
        <v>5388</v>
      </c>
    </row>
    <row r="945" spans="1:3">
      <c r="A945" s="15" t="s">
        <v>5389</v>
      </c>
      <c r="B945" s="15" t="s">
        <v>322</v>
      </c>
      <c r="C945" s="1" t="s">
        <v>3237</v>
      </c>
    </row>
    <row r="946" spans="1:3">
      <c r="A946" s="15" t="s">
        <v>5390</v>
      </c>
      <c r="B946" s="15" t="s">
        <v>2747</v>
      </c>
      <c r="C946" s="1" t="s">
        <v>5391</v>
      </c>
    </row>
    <row r="947" spans="1:3">
      <c r="A947" s="15" t="s">
        <v>5392</v>
      </c>
      <c r="B947" s="15" t="s">
        <v>2927</v>
      </c>
      <c r="C947" s="1" t="s">
        <v>2928</v>
      </c>
    </row>
    <row r="948" spans="1:3">
      <c r="A948" s="15" t="s">
        <v>5393</v>
      </c>
      <c r="B948" s="15" t="s">
        <v>1951</v>
      </c>
      <c r="C948" s="15" t="s">
        <v>5394</v>
      </c>
    </row>
    <row r="949" spans="1:3">
      <c r="A949" s="15" t="s">
        <v>5395</v>
      </c>
      <c r="B949" s="15" t="s">
        <v>3543</v>
      </c>
      <c r="C949" s="1" t="s">
        <v>5396</v>
      </c>
    </row>
    <row r="950" spans="1:3">
      <c r="A950" s="15" t="s">
        <v>5397</v>
      </c>
      <c r="B950" s="15" t="s">
        <v>24</v>
      </c>
      <c r="C950" s="1" t="s">
        <v>2929</v>
      </c>
    </row>
    <row r="951" spans="1:3">
      <c r="A951" s="15" t="s">
        <v>5398</v>
      </c>
      <c r="B951" s="15" t="s">
        <v>4090</v>
      </c>
      <c r="C951" s="15" t="s">
        <v>5399</v>
      </c>
    </row>
    <row r="952" spans="1:3">
      <c r="A952" s="15" t="s">
        <v>5400</v>
      </c>
      <c r="B952" s="15" t="s">
        <v>322</v>
      </c>
      <c r="C952" s="15" t="s">
        <v>5401</v>
      </c>
    </row>
    <row r="953" spans="1:3">
      <c r="A953" s="15" t="s">
        <v>5402</v>
      </c>
      <c r="B953" s="15" t="s">
        <v>2567</v>
      </c>
      <c r="C953" s="15" t="s">
        <v>3182</v>
      </c>
    </row>
    <row r="954" spans="1:3">
      <c r="A954" s="15" t="s">
        <v>5403</v>
      </c>
      <c r="B954" s="15" t="s">
        <v>3486</v>
      </c>
      <c r="C954" s="15" t="s">
        <v>5404</v>
      </c>
    </row>
    <row r="955" spans="1:3">
      <c r="A955" s="15" t="s">
        <v>5405</v>
      </c>
      <c r="B955" s="15" t="s">
        <v>5406</v>
      </c>
      <c r="C955" s="15" t="s">
        <v>5407</v>
      </c>
    </row>
    <row r="956" spans="1:3">
      <c r="A956" s="15" t="s">
        <v>5408</v>
      </c>
      <c r="B956" s="15" t="s">
        <v>5409</v>
      </c>
      <c r="C956" s="1" t="s">
        <v>4535</v>
      </c>
    </row>
    <row r="957" spans="1:3">
      <c r="A957" s="15" t="s">
        <v>5410</v>
      </c>
      <c r="B957" s="15" t="s">
        <v>2798</v>
      </c>
      <c r="C957" s="15" t="s">
        <v>3052</v>
      </c>
    </row>
    <row r="958" spans="1:3">
      <c r="A958" s="15" t="s">
        <v>5411</v>
      </c>
      <c r="B958" s="15" t="s">
        <v>2927</v>
      </c>
      <c r="C958" s="15" t="s">
        <v>5412</v>
      </c>
    </row>
    <row r="959" spans="1:3">
      <c r="A959" s="15" t="s">
        <v>5413</v>
      </c>
      <c r="B959" s="15" t="s">
        <v>3543</v>
      </c>
      <c r="C959" s="15" t="s">
        <v>5414</v>
      </c>
    </row>
    <row r="960" spans="1:3">
      <c r="A960" s="15" t="s">
        <v>5415</v>
      </c>
      <c r="B960" s="15" t="s">
        <v>1463</v>
      </c>
      <c r="C960" s="15" t="s">
        <v>5416</v>
      </c>
    </row>
    <row r="961" spans="1:3">
      <c r="A961" s="15" t="s">
        <v>5417</v>
      </c>
      <c r="B961" s="15" t="s">
        <v>5418</v>
      </c>
      <c r="C961" s="15" t="s">
        <v>5419</v>
      </c>
    </row>
    <row r="962" spans="1:3">
      <c r="A962" s="15" t="s">
        <v>5420</v>
      </c>
      <c r="B962" s="15" t="s">
        <v>85</v>
      </c>
      <c r="C962" s="1" t="s">
        <v>197</v>
      </c>
    </row>
    <row r="963" spans="1:3">
      <c r="A963" s="15" t="s">
        <v>5421</v>
      </c>
      <c r="B963" s="15" t="s">
        <v>2791</v>
      </c>
      <c r="C963" s="1" t="s">
        <v>5422</v>
      </c>
    </row>
    <row r="964" spans="1:3">
      <c r="A964" s="15" t="s">
        <v>5423</v>
      </c>
      <c r="B964" s="15" t="s">
        <v>4778</v>
      </c>
      <c r="C964" s="1" t="s">
        <v>4803</v>
      </c>
    </row>
    <row r="965" spans="1:3">
      <c r="A965" s="15" t="s">
        <v>5424</v>
      </c>
      <c r="B965" s="15" t="s">
        <v>3814</v>
      </c>
      <c r="C965" s="1" t="s">
        <v>5425</v>
      </c>
    </row>
    <row r="966" spans="1:3">
      <c r="A966" s="15" t="s">
        <v>5426</v>
      </c>
      <c r="B966" s="15" t="s">
        <v>161</v>
      </c>
      <c r="C966" s="1" t="s">
        <v>5427</v>
      </c>
    </row>
    <row r="967" spans="1:3">
      <c r="A967" s="15" t="s">
        <v>5428</v>
      </c>
      <c r="B967" s="15" t="s">
        <v>4027</v>
      </c>
      <c r="C967" s="1" t="s">
        <v>63</v>
      </c>
    </row>
    <row r="968" spans="1:3">
      <c r="A968" s="15" t="s">
        <v>5429</v>
      </c>
      <c r="B968" s="15" t="s">
        <v>2567</v>
      </c>
      <c r="C968" s="1" t="s">
        <v>3182</v>
      </c>
    </row>
    <row r="969" spans="1:3">
      <c r="A969" s="15" t="s">
        <v>5430</v>
      </c>
      <c r="B969" s="15" t="s">
        <v>39</v>
      </c>
      <c r="C969" s="1" t="s">
        <v>5431</v>
      </c>
    </row>
    <row r="970" spans="1:3">
      <c r="A970" s="15" t="s">
        <v>5432</v>
      </c>
      <c r="B970" s="15" t="s">
        <v>3608</v>
      </c>
      <c r="C970" s="1" t="s">
        <v>5433</v>
      </c>
    </row>
    <row r="971" spans="1:3">
      <c r="A971" s="15" t="s">
        <v>5434</v>
      </c>
      <c r="B971" s="15" t="s">
        <v>822</v>
      </c>
      <c r="C971" s="1" t="s">
        <v>3206</v>
      </c>
    </row>
    <row r="972" spans="1:3">
      <c r="A972" s="15" t="s">
        <v>5435</v>
      </c>
      <c r="B972" s="15" t="s">
        <v>4090</v>
      </c>
      <c r="C972" s="1" t="s">
        <v>5436</v>
      </c>
    </row>
    <row r="973" spans="1:3">
      <c r="A973" s="15" t="s">
        <v>5437</v>
      </c>
      <c r="B973" s="15" t="s">
        <v>2927</v>
      </c>
      <c r="C973" s="1" t="s">
        <v>1040</v>
      </c>
    </row>
    <row r="974" spans="1:3">
      <c r="A974" s="15" t="s">
        <v>5438</v>
      </c>
      <c r="B974" s="15" t="s">
        <v>3543</v>
      </c>
      <c r="C974" s="1" t="s">
        <v>5439</v>
      </c>
    </row>
    <row r="975" spans="1:3">
      <c r="A975" s="15" t="s">
        <v>5440</v>
      </c>
      <c r="B975" s="15" t="s">
        <v>4077</v>
      </c>
      <c r="C975" s="15" t="s">
        <v>3007</v>
      </c>
    </row>
    <row r="976" spans="1:3">
      <c r="A976" s="15" t="s">
        <v>5441</v>
      </c>
      <c r="B976" s="15" t="s">
        <v>3486</v>
      </c>
      <c r="C976" s="1" t="s">
        <v>5442</v>
      </c>
    </row>
    <row r="977" spans="1:3">
      <c r="A977" s="15" t="s">
        <v>5443</v>
      </c>
      <c r="B977" s="15" t="s">
        <v>2660</v>
      </c>
      <c r="C977" s="1" t="s">
        <v>5444</v>
      </c>
    </row>
    <row r="978" spans="1:3">
      <c r="A978" s="15" t="s">
        <v>5445</v>
      </c>
      <c r="B978" s="15" t="s">
        <v>24</v>
      </c>
      <c r="C978" s="1" t="s">
        <v>5446</v>
      </c>
    </row>
    <row r="979" spans="1:3">
      <c r="A979" s="15" t="s">
        <v>5447</v>
      </c>
      <c r="B979" s="15" t="s">
        <v>2992</v>
      </c>
      <c r="C979" s="1" t="s">
        <v>5448</v>
      </c>
    </row>
    <row r="980" spans="1:3">
      <c r="A980" s="15" t="s">
        <v>5449</v>
      </c>
      <c r="B980" s="15" t="s">
        <v>13</v>
      </c>
      <c r="C980" s="1" t="s">
        <v>3178</v>
      </c>
    </row>
    <row r="981" spans="1:3">
      <c r="A981" s="15" t="s">
        <v>5450</v>
      </c>
      <c r="B981" s="15" t="s">
        <v>322</v>
      </c>
      <c r="C981" s="1" t="s">
        <v>5451</v>
      </c>
    </row>
    <row r="982" spans="1:3">
      <c r="A982" s="15" t="s">
        <v>5452</v>
      </c>
      <c r="B982" s="15" t="s">
        <v>4077</v>
      </c>
      <c r="C982" s="1" t="s">
        <v>2958</v>
      </c>
    </row>
    <row r="983" spans="1:3">
      <c r="A983" s="15" t="s">
        <v>5453</v>
      </c>
      <c r="B983" s="15" t="s">
        <v>5454</v>
      </c>
      <c r="C983" s="1" t="s">
        <v>5455</v>
      </c>
    </row>
    <row r="984" spans="1:3">
      <c r="A984" s="15" t="s">
        <v>5456</v>
      </c>
      <c r="B984" s="15" t="s">
        <v>205</v>
      </c>
      <c r="C984" s="1" t="s">
        <v>3466</v>
      </c>
    </row>
    <row r="985" spans="1:3">
      <c r="A985" s="15" t="s">
        <v>5457</v>
      </c>
      <c r="B985" s="15" t="s">
        <v>30</v>
      </c>
      <c r="C985" s="1" t="s">
        <v>5458</v>
      </c>
    </row>
    <row r="986" spans="1:3">
      <c r="A986" s="15" t="s">
        <v>5459</v>
      </c>
      <c r="B986" s="15" t="s">
        <v>5460</v>
      </c>
      <c r="C986" s="1" t="s">
        <v>101</v>
      </c>
    </row>
    <row r="987" spans="1:3">
      <c r="A987" s="15" t="s">
        <v>5461</v>
      </c>
      <c r="B987" s="15" t="s">
        <v>5462</v>
      </c>
      <c r="C987" s="1" t="s">
        <v>5463</v>
      </c>
    </row>
    <row r="988" spans="1:3">
      <c r="A988" s="15" t="s">
        <v>5464</v>
      </c>
      <c r="B988" s="15" t="s">
        <v>2377</v>
      </c>
      <c r="C988" s="15" t="s">
        <v>3033</v>
      </c>
    </row>
    <row r="989" spans="1:3">
      <c r="A989" s="15" t="s">
        <v>5465</v>
      </c>
      <c r="B989" s="15" t="s">
        <v>5466</v>
      </c>
      <c r="C989" s="15" t="s">
        <v>5467</v>
      </c>
    </row>
    <row r="990" spans="1:3">
      <c r="A990" s="15" t="s">
        <v>5468</v>
      </c>
      <c r="B990" s="15" t="s">
        <v>3060</v>
      </c>
      <c r="C990" s="1" t="s">
        <v>3061</v>
      </c>
    </row>
    <row r="991" spans="1:3">
      <c r="A991" s="15" t="s">
        <v>5469</v>
      </c>
      <c r="B991" s="15" t="s">
        <v>2959</v>
      </c>
      <c r="C991" s="1" t="s">
        <v>2960</v>
      </c>
    </row>
    <row r="992" spans="1:3">
      <c r="A992" s="15" t="s">
        <v>5470</v>
      </c>
      <c r="B992" s="15" t="s">
        <v>133</v>
      </c>
      <c r="C992" s="1" t="s">
        <v>134</v>
      </c>
    </row>
    <row r="993" spans="1:3">
      <c r="A993" s="15" t="s">
        <v>5471</v>
      </c>
      <c r="B993" s="15" t="s">
        <v>2377</v>
      </c>
      <c r="C993" s="1" t="s">
        <v>5472</v>
      </c>
    </row>
    <row r="994" spans="1:3">
      <c r="A994" s="15" t="s">
        <v>5473</v>
      </c>
      <c r="B994" s="15" t="s">
        <v>4027</v>
      </c>
      <c r="C994" s="1" t="s">
        <v>63</v>
      </c>
    </row>
    <row r="995" spans="1:3">
      <c r="A995" s="15" t="s">
        <v>5474</v>
      </c>
      <c r="B995" s="15" t="s">
        <v>5475</v>
      </c>
      <c r="C995" s="1" t="s">
        <v>5476</v>
      </c>
    </row>
    <row r="996" spans="1:3">
      <c r="A996" s="15" t="s">
        <v>5477</v>
      </c>
      <c r="B996" s="15" t="s">
        <v>2587</v>
      </c>
      <c r="C996" s="1" t="s">
        <v>5478</v>
      </c>
    </row>
    <row r="997" spans="1:3">
      <c r="A997" s="15" t="s">
        <v>5479</v>
      </c>
      <c r="B997" s="15" t="s">
        <v>5480</v>
      </c>
      <c r="C997" s="1" t="s">
        <v>5481</v>
      </c>
    </row>
    <row r="998" spans="1:3">
      <c r="A998" s="15" t="s">
        <v>5482</v>
      </c>
      <c r="B998" s="15" t="s">
        <v>5483</v>
      </c>
      <c r="C998" s="1" t="s">
        <v>5484</v>
      </c>
    </row>
    <row r="999" spans="1:3">
      <c r="A999" s="15" t="s">
        <v>5485</v>
      </c>
      <c r="B999" s="15" t="s">
        <v>5466</v>
      </c>
      <c r="C999" s="1" t="s">
        <v>5467</v>
      </c>
    </row>
    <row r="1000" spans="1:3">
      <c r="A1000" s="15" t="s">
        <v>5486</v>
      </c>
      <c r="B1000" s="15" t="s">
        <v>3224</v>
      </c>
      <c r="C1000" s="1" t="s">
        <v>5487</v>
      </c>
    </row>
    <row r="1001" spans="1:3">
      <c r="A1001" s="15" t="s">
        <v>5488</v>
      </c>
      <c r="B1001" s="15" t="s">
        <v>201</v>
      </c>
      <c r="C1001" s="15" t="s">
        <v>5489</v>
      </c>
    </row>
    <row r="1002" spans="1:3">
      <c r="A1002" s="15" t="s">
        <v>5490</v>
      </c>
      <c r="B1002" s="15" t="s">
        <v>205</v>
      </c>
      <c r="C1002" s="1" t="s">
        <v>5491</v>
      </c>
    </row>
    <row r="1003" spans="1:3">
      <c r="A1003" s="15" t="s">
        <v>5492</v>
      </c>
      <c r="B1003" s="15" t="s">
        <v>3627</v>
      </c>
      <c r="C1003" s="1" t="s">
        <v>3328</v>
      </c>
    </row>
    <row r="1004" spans="1:3">
      <c r="A1004" s="15" t="s">
        <v>5493</v>
      </c>
      <c r="B1004" s="15" t="s">
        <v>4247</v>
      </c>
      <c r="C1004" s="1" t="s">
        <v>3067</v>
      </c>
    </row>
    <row r="1005" spans="1:3">
      <c r="A1005" s="15" t="s">
        <v>5494</v>
      </c>
      <c r="B1005" s="15" t="s">
        <v>727</v>
      </c>
      <c r="C1005" s="1" t="s">
        <v>5495</v>
      </c>
    </row>
    <row r="1006" spans="1:3">
      <c r="A1006" s="15" t="s">
        <v>5496</v>
      </c>
      <c r="B1006" s="15" t="s">
        <v>191</v>
      </c>
      <c r="C1006" s="1" t="s">
        <v>5497</v>
      </c>
    </row>
    <row r="1007" spans="1:3">
      <c r="A1007" s="15" t="s">
        <v>5498</v>
      </c>
      <c r="B1007" s="15" t="s">
        <v>3543</v>
      </c>
      <c r="C1007" s="1" t="s">
        <v>5499</v>
      </c>
    </row>
    <row r="1008" spans="1:3">
      <c r="A1008" s="15" t="s">
        <v>5500</v>
      </c>
      <c r="B1008" s="15" t="s">
        <v>198</v>
      </c>
      <c r="C1008" s="1" t="s">
        <v>5501</v>
      </c>
    </row>
    <row r="1009" spans="1:3">
      <c r="A1009" s="15" t="s">
        <v>5502</v>
      </c>
      <c r="B1009" s="15" t="s">
        <v>3543</v>
      </c>
      <c r="C1009" s="1" t="s">
        <v>5503</v>
      </c>
    </row>
    <row r="1010" spans="1:3">
      <c r="A1010" s="15" t="s">
        <v>5504</v>
      </c>
      <c r="B1010" s="15" t="s">
        <v>5373</v>
      </c>
      <c r="C1010" s="1" t="s">
        <v>3076</v>
      </c>
    </row>
    <row r="1011" spans="1:3">
      <c r="A1011" s="15" t="s">
        <v>5505</v>
      </c>
      <c r="B1011" s="15" t="s">
        <v>4048</v>
      </c>
      <c r="C1011" s="1" t="s">
        <v>5506</v>
      </c>
    </row>
    <row r="1012" spans="1:3">
      <c r="A1012" s="15" t="s">
        <v>5507</v>
      </c>
      <c r="B1012" s="15" t="s">
        <v>198</v>
      </c>
      <c r="C1012" s="1" t="s">
        <v>5508</v>
      </c>
    </row>
    <row r="1013" spans="1:3">
      <c r="A1013" s="15" t="s">
        <v>5509</v>
      </c>
      <c r="B1013" s="15" t="s">
        <v>3434</v>
      </c>
      <c r="C1013" s="1" t="s">
        <v>5510</v>
      </c>
    </row>
    <row r="1014" spans="1:3">
      <c r="A1014" s="15" t="s">
        <v>5511</v>
      </c>
      <c r="B1014" s="15" t="s">
        <v>133</v>
      </c>
      <c r="C1014" s="1" t="s">
        <v>134</v>
      </c>
    </row>
    <row r="1015" spans="1:3">
      <c r="A1015" s="15" t="s">
        <v>5512</v>
      </c>
      <c r="B1015" s="15" t="s">
        <v>198</v>
      </c>
      <c r="C1015" s="1" t="s">
        <v>5513</v>
      </c>
    </row>
    <row r="1016" spans="1:3">
      <c r="A1016" s="15" t="s">
        <v>5514</v>
      </c>
      <c r="B1016" s="15" t="s">
        <v>2927</v>
      </c>
      <c r="C1016" s="1" t="s">
        <v>5515</v>
      </c>
    </row>
    <row r="1017" spans="1:3">
      <c r="A1017" s="15" t="s">
        <v>5516</v>
      </c>
      <c r="B1017" s="15" t="s">
        <v>5517</v>
      </c>
      <c r="C1017" s="1" t="s">
        <v>2987</v>
      </c>
    </row>
    <row r="1018" spans="1:3">
      <c r="A1018" s="15" t="s">
        <v>5518</v>
      </c>
      <c r="B1018" s="15" t="s">
        <v>39</v>
      </c>
      <c r="C1018" s="1" t="s">
        <v>5519</v>
      </c>
    </row>
    <row r="1019" spans="1:3">
      <c r="A1019" s="15" t="s">
        <v>5520</v>
      </c>
      <c r="B1019" s="15" t="s">
        <v>3364</v>
      </c>
      <c r="C1019" s="1" t="s">
        <v>5521</v>
      </c>
    </row>
    <row r="1020" spans="1:3">
      <c r="A1020" s="15" t="s">
        <v>5522</v>
      </c>
      <c r="B1020" s="15" t="s">
        <v>118</v>
      </c>
      <c r="C1020" s="1" t="s">
        <v>5523</v>
      </c>
    </row>
    <row r="1021" spans="1:3">
      <c r="A1021" s="15" t="s">
        <v>5524</v>
      </c>
      <c r="B1021" s="15" t="s">
        <v>5525</v>
      </c>
      <c r="C1021" s="15" t="s">
        <v>5526</v>
      </c>
    </row>
    <row r="1022" spans="1:3">
      <c r="A1022" s="15" t="s">
        <v>5527</v>
      </c>
      <c r="B1022" s="15" t="s">
        <v>966</v>
      </c>
      <c r="C1022" s="1" t="s">
        <v>5528</v>
      </c>
    </row>
    <row r="1023" spans="1:3">
      <c r="A1023" s="15" t="s">
        <v>5529</v>
      </c>
      <c r="B1023" s="15" t="s">
        <v>133</v>
      </c>
      <c r="C1023" s="15" t="s">
        <v>5530</v>
      </c>
    </row>
    <row r="1024" spans="1:3">
      <c r="A1024" s="15" t="s">
        <v>5531</v>
      </c>
      <c r="B1024" s="15" t="s">
        <v>500</v>
      </c>
      <c r="C1024" s="15" t="s">
        <v>5532</v>
      </c>
    </row>
    <row r="1025" spans="1:3">
      <c r="A1025" s="15" t="s">
        <v>5533</v>
      </c>
      <c r="B1025" s="15" t="s">
        <v>5294</v>
      </c>
      <c r="C1025" s="1" t="s">
        <v>5534</v>
      </c>
    </row>
    <row r="1026" spans="1:3">
      <c r="A1026" s="15" t="s">
        <v>5535</v>
      </c>
      <c r="B1026" s="15" t="s">
        <v>1254</v>
      </c>
      <c r="C1026" s="1" t="s">
        <v>5536</v>
      </c>
    </row>
    <row r="1027" spans="1:3">
      <c r="A1027" s="15" t="s">
        <v>5537</v>
      </c>
      <c r="B1027" s="15" t="s">
        <v>3166</v>
      </c>
      <c r="C1027" s="1" t="s">
        <v>3167</v>
      </c>
    </row>
    <row r="1028" spans="1:3">
      <c r="A1028" s="15" t="s">
        <v>5538</v>
      </c>
      <c r="B1028" s="15" t="s">
        <v>5539</v>
      </c>
      <c r="C1028" s="31" t="s">
        <v>5540</v>
      </c>
    </row>
    <row r="1029" spans="1:3">
      <c r="A1029" s="15" t="s">
        <v>5541</v>
      </c>
      <c r="B1029" s="15" t="s">
        <v>9</v>
      </c>
      <c r="C1029" s="1" t="s">
        <v>5542</v>
      </c>
    </row>
    <row r="1030" spans="1:3">
      <c r="A1030" s="15" t="s">
        <v>5543</v>
      </c>
      <c r="B1030" s="15" t="s">
        <v>5544</v>
      </c>
      <c r="C1030" s="15" t="s">
        <v>5545</v>
      </c>
    </row>
    <row r="1031" spans="1:3">
      <c r="A1031" s="15" t="s">
        <v>5546</v>
      </c>
      <c r="B1031" s="15" t="s">
        <v>3747</v>
      </c>
      <c r="C1031" s="15" t="s">
        <v>5547</v>
      </c>
    </row>
    <row r="1032" spans="1:3">
      <c r="A1032" s="15" t="s">
        <v>5548</v>
      </c>
      <c r="B1032" s="15" t="s">
        <v>4062</v>
      </c>
      <c r="C1032" s="1" t="s">
        <v>5549</v>
      </c>
    </row>
    <row r="1033" spans="1:3">
      <c r="A1033" s="15" t="s">
        <v>5550</v>
      </c>
      <c r="B1033" s="15" t="s">
        <v>5551</v>
      </c>
      <c r="C1033" s="1" t="s">
        <v>4535</v>
      </c>
    </row>
    <row r="1034" spans="1:3">
      <c r="A1034" s="15" t="s">
        <v>5552</v>
      </c>
      <c r="B1034" s="15" t="s">
        <v>1756</v>
      </c>
      <c r="C1034" s="1" t="s">
        <v>5553</v>
      </c>
    </row>
    <row r="1035" spans="1:3" ht="15">
      <c r="A1035" s="15" t="s">
        <v>5554</v>
      </c>
      <c r="B1035" s="15" t="s">
        <v>322</v>
      </c>
      <c r="C1035" s="33" t="s">
        <v>5555</v>
      </c>
    </row>
    <row r="1036" spans="1:3">
      <c r="A1036" s="15" t="s">
        <v>5556</v>
      </c>
      <c r="B1036" s="15" t="s">
        <v>205</v>
      </c>
      <c r="C1036" s="1" t="s">
        <v>5557</v>
      </c>
    </row>
    <row r="1037" spans="1:3">
      <c r="A1037" s="15" t="s">
        <v>5558</v>
      </c>
      <c r="B1037" s="15" t="s">
        <v>161</v>
      </c>
      <c r="C1037" s="1" t="s">
        <v>5559</v>
      </c>
    </row>
    <row r="1038" spans="1:3">
      <c r="A1038" s="15" t="s">
        <v>5560</v>
      </c>
      <c r="B1038" s="15" t="s">
        <v>2460</v>
      </c>
      <c r="C1038" s="15" t="s">
        <v>5561</v>
      </c>
    </row>
    <row r="1039" spans="1:3">
      <c r="A1039" s="15" t="s">
        <v>5562</v>
      </c>
      <c r="B1039" s="15" t="s">
        <v>2965</v>
      </c>
      <c r="C1039" s="15" t="s">
        <v>5563</v>
      </c>
    </row>
    <row r="1040" spans="1:3">
      <c r="A1040" s="15" t="s">
        <v>5564</v>
      </c>
      <c r="B1040" s="15" t="s">
        <v>3173</v>
      </c>
      <c r="C1040" s="15" t="s">
        <v>3174</v>
      </c>
    </row>
    <row r="1041" spans="1:3">
      <c r="A1041" s="15" t="s">
        <v>5565</v>
      </c>
      <c r="B1041" s="15" t="s">
        <v>5566</v>
      </c>
      <c r="C1041" s="15" t="s">
        <v>262</v>
      </c>
    </row>
    <row r="1042" spans="1:3">
      <c r="A1042" s="15" t="s">
        <v>5567</v>
      </c>
      <c r="B1042" s="15" t="s">
        <v>198</v>
      </c>
      <c r="C1042" s="1" t="s">
        <v>5568</v>
      </c>
    </row>
    <row r="1043" spans="1:3">
      <c r="A1043" s="15" t="s">
        <v>5569</v>
      </c>
      <c r="B1043" s="15" t="s">
        <v>2939</v>
      </c>
      <c r="C1043" s="15" t="s">
        <v>5570</v>
      </c>
    </row>
    <row r="1044" spans="1:3">
      <c r="A1044" s="15" t="s">
        <v>5571</v>
      </c>
      <c r="B1044" s="15" t="s">
        <v>2377</v>
      </c>
      <c r="C1044" s="1" t="s">
        <v>5572</v>
      </c>
    </row>
    <row r="1045" spans="1:3">
      <c r="A1045" s="15" t="s">
        <v>5573</v>
      </c>
      <c r="B1045" s="15" t="s">
        <v>161</v>
      </c>
      <c r="C1045" s="1" t="s">
        <v>2991</v>
      </c>
    </row>
    <row r="1046" spans="1:3">
      <c r="A1046" s="15" t="s">
        <v>5574</v>
      </c>
      <c r="B1046" s="15" t="s">
        <v>707</v>
      </c>
      <c r="C1046" s="1" t="s">
        <v>5575</v>
      </c>
    </row>
    <row r="1047" spans="1:3">
      <c r="A1047" s="15" t="s">
        <v>5576</v>
      </c>
      <c r="B1047" s="15" t="s">
        <v>5577</v>
      </c>
      <c r="C1047" s="1" t="s">
        <v>5578</v>
      </c>
    </row>
    <row r="1048" spans="1:3">
      <c r="A1048" s="15" t="s">
        <v>5579</v>
      </c>
      <c r="B1048" s="15" t="s">
        <v>3608</v>
      </c>
      <c r="C1048" s="1" t="s">
        <v>5580</v>
      </c>
    </row>
    <row r="1049" spans="1:3">
      <c r="A1049" s="15" t="s">
        <v>5581</v>
      </c>
      <c r="B1049" s="15" t="s">
        <v>3532</v>
      </c>
      <c r="C1049" s="15" t="s">
        <v>5582</v>
      </c>
    </row>
    <row r="1050" spans="1:3">
      <c r="A1050" s="15" t="s">
        <v>5583</v>
      </c>
      <c r="B1050" s="15" t="s">
        <v>5584</v>
      </c>
      <c r="C1050" s="1" t="s">
        <v>5585</v>
      </c>
    </row>
    <row r="1051" spans="1:3">
      <c r="A1051" s="15" t="s">
        <v>5586</v>
      </c>
      <c r="B1051" s="15" t="s">
        <v>5199</v>
      </c>
      <c r="C1051" s="1" t="s">
        <v>5587</v>
      </c>
    </row>
    <row r="1052" spans="1:3">
      <c r="A1052" s="15" t="s">
        <v>5588</v>
      </c>
      <c r="B1052" s="15" t="s">
        <v>3290</v>
      </c>
      <c r="C1052" s="1" t="s">
        <v>5589</v>
      </c>
    </row>
    <row r="1053" spans="1:3">
      <c r="A1053" s="15" t="s">
        <v>5590</v>
      </c>
      <c r="B1053" s="15" t="s">
        <v>30</v>
      </c>
      <c r="C1053" s="1" t="s">
        <v>5591</v>
      </c>
    </row>
    <row r="1054" spans="1:3">
      <c r="A1054" s="15" t="s">
        <v>5592</v>
      </c>
      <c r="B1054" s="15" t="s">
        <v>3639</v>
      </c>
      <c r="C1054" s="1" t="s">
        <v>5593</v>
      </c>
    </row>
    <row r="1055" spans="1:3">
      <c r="A1055" s="15" t="s">
        <v>5594</v>
      </c>
      <c r="B1055" s="15" t="s">
        <v>322</v>
      </c>
      <c r="C1055" s="1" t="s">
        <v>4119</v>
      </c>
    </row>
    <row r="1056" spans="1:3">
      <c r="A1056" s="15" t="s">
        <v>5595</v>
      </c>
      <c r="B1056" s="15" t="s">
        <v>1289</v>
      </c>
      <c r="C1056" s="1" t="s">
        <v>5596</v>
      </c>
    </row>
    <row r="1057" spans="1:3">
      <c r="A1057" s="15" t="s">
        <v>5597</v>
      </c>
      <c r="B1057" s="15" t="s">
        <v>4313</v>
      </c>
      <c r="C1057" s="1" t="s">
        <v>5575</v>
      </c>
    </row>
    <row r="1058" spans="1:3">
      <c r="A1058" s="15" t="s">
        <v>5598</v>
      </c>
      <c r="B1058" s="15" t="s">
        <v>1289</v>
      </c>
      <c r="C1058" s="1" t="s">
        <v>5599</v>
      </c>
    </row>
    <row r="1059" spans="1:3">
      <c r="A1059" s="15" t="s">
        <v>5600</v>
      </c>
      <c r="B1059" s="15" t="s">
        <v>2567</v>
      </c>
      <c r="C1059" s="1" t="s">
        <v>3380</v>
      </c>
    </row>
    <row r="1060" spans="1:3">
      <c r="A1060" s="15" t="s">
        <v>5601</v>
      </c>
      <c r="B1060" s="15" t="s">
        <v>3567</v>
      </c>
      <c r="C1060" s="1" t="s">
        <v>5602</v>
      </c>
    </row>
    <row r="1061" spans="1:3">
      <c r="A1061" s="15" t="s">
        <v>5603</v>
      </c>
      <c r="B1061" s="15" t="s">
        <v>2972</v>
      </c>
      <c r="C1061" s="1" t="s">
        <v>5604</v>
      </c>
    </row>
    <row r="1062" spans="1:3">
      <c r="A1062" s="15" t="s">
        <v>5605</v>
      </c>
      <c r="B1062" s="15" t="s">
        <v>78</v>
      </c>
      <c r="C1062" s="1" t="s">
        <v>5606</v>
      </c>
    </row>
    <row r="1063" spans="1:3">
      <c r="A1063" s="15" t="s">
        <v>5607</v>
      </c>
      <c r="B1063" s="15" t="s">
        <v>118</v>
      </c>
      <c r="C1063" s="1" t="s">
        <v>5608</v>
      </c>
    </row>
    <row r="1064" spans="1:3">
      <c r="A1064" s="15" t="s">
        <v>5609</v>
      </c>
      <c r="B1064" s="15" t="s">
        <v>3532</v>
      </c>
      <c r="C1064" s="1" t="s">
        <v>5610</v>
      </c>
    </row>
    <row r="1065" spans="1:3">
      <c r="A1065" s="15" t="s">
        <v>5611</v>
      </c>
      <c r="B1065" s="15" t="s">
        <v>198</v>
      </c>
      <c r="C1065" s="1" t="s">
        <v>5612</v>
      </c>
    </row>
    <row r="1066" spans="1:3">
      <c r="A1066" s="15" t="s">
        <v>5613</v>
      </c>
      <c r="B1066" s="15" t="s">
        <v>5614</v>
      </c>
      <c r="C1066" s="1" t="s">
        <v>5615</v>
      </c>
    </row>
    <row r="1067" spans="1:3">
      <c r="A1067" s="15" t="s">
        <v>5616</v>
      </c>
      <c r="B1067" s="15" t="s">
        <v>322</v>
      </c>
      <c r="C1067" s="15" t="s">
        <v>3004</v>
      </c>
    </row>
    <row r="1068" spans="1:3">
      <c r="A1068" s="15" t="s">
        <v>5617</v>
      </c>
      <c r="B1068" s="15" t="s">
        <v>5618</v>
      </c>
      <c r="C1068" s="1" t="s">
        <v>5619</v>
      </c>
    </row>
    <row r="1069" spans="1:3">
      <c r="A1069" s="15" t="s">
        <v>5620</v>
      </c>
      <c r="B1069" s="15" t="s">
        <v>90</v>
      </c>
      <c r="C1069" s="1" t="s">
        <v>5621</v>
      </c>
    </row>
    <row r="1070" spans="1:3">
      <c r="A1070" s="15" t="s">
        <v>5622</v>
      </c>
      <c r="B1070" s="15" t="s">
        <v>33</v>
      </c>
      <c r="C1070" s="1" t="s">
        <v>5623</v>
      </c>
    </row>
    <row r="1071" spans="1:3">
      <c r="A1071" s="15" t="s">
        <v>5624</v>
      </c>
      <c r="B1071" s="15" t="s">
        <v>2377</v>
      </c>
      <c r="C1071" s="1" t="s">
        <v>5625</v>
      </c>
    </row>
    <row r="1072" spans="1:3">
      <c r="A1072" s="15" t="s">
        <v>5626</v>
      </c>
      <c r="B1072" s="15" t="s">
        <v>5373</v>
      </c>
      <c r="C1072" s="1" t="s">
        <v>5627</v>
      </c>
    </row>
    <row r="1073" spans="1:3">
      <c r="A1073" s="15" t="s">
        <v>5628</v>
      </c>
      <c r="B1073" s="15" t="s">
        <v>3586</v>
      </c>
      <c r="C1073" s="1" t="s">
        <v>5629</v>
      </c>
    </row>
    <row r="1074" spans="1:3">
      <c r="A1074" s="15" t="s">
        <v>5630</v>
      </c>
      <c r="B1074" s="15" t="s">
        <v>4994</v>
      </c>
      <c r="C1074" s="1" t="s">
        <v>3074</v>
      </c>
    </row>
    <row r="1075" spans="1:3">
      <c r="A1075" s="15" t="s">
        <v>5631</v>
      </c>
      <c r="B1075" s="15" t="s">
        <v>3197</v>
      </c>
      <c r="C1075" s="15" t="s">
        <v>5632</v>
      </c>
    </row>
    <row r="1076" spans="1:3">
      <c r="A1076" s="15" t="s">
        <v>5633</v>
      </c>
      <c r="B1076" s="15" t="s">
        <v>322</v>
      </c>
      <c r="C1076" s="15" t="s">
        <v>5634</v>
      </c>
    </row>
    <row r="1077" spans="1:3">
      <c r="A1077" s="15" t="s">
        <v>5635</v>
      </c>
      <c r="B1077" s="15" t="s">
        <v>5636</v>
      </c>
      <c r="C1077" s="15" t="s">
        <v>5637</v>
      </c>
    </row>
    <row r="1078" spans="1:3">
      <c r="A1078" s="15" t="s">
        <v>5638</v>
      </c>
      <c r="B1078" s="15" t="s">
        <v>5566</v>
      </c>
      <c r="C1078" s="15" t="s">
        <v>5639</v>
      </c>
    </row>
    <row r="1079" spans="1:3">
      <c r="A1079" s="15" t="s">
        <v>5640</v>
      </c>
      <c r="B1079" s="15" t="s">
        <v>727</v>
      </c>
      <c r="C1079" s="15" t="s">
        <v>5641</v>
      </c>
    </row>
    <row r="1080" spans="1:3">
      <c r="A1080" s="15" t="s">
        <v>5642</v>
      </c>
      <c r="B1080" s="15" t="s">
        <v>33</v>
      </c>
      <c r="C1080" s="1" t="s">
        <v>94</v>
      </c>
    </row>
    <row r="1081" spans="1:3">
      <c r="A1081" s="15" t="s">
        <v>5643</v>
      </c>
      <c r="B1081" s="15" t="s">
        <v>107</v>
      </c>
      <c r="C1081" s="1" t="s">
        <v>5644</v>
      </c>
    </row>
    <row r="1082" spans="1:3">
      <c r="A1082" s="15" t="s">
        <v>5645</v>
      </c>
      <c r="B1082" s="15" t="s">
        <v>3543</v>
      </c>
      <c r="C1082" s="1" t="s">
        <v>5646</v>
      </c>
    </row>
    <row r="1083" spans="1:3">
      <c r="A1083" s="15" t="s">
        <v>5647</v>
      </c>
      <c r="B1083" s="15" t="s">
        <v>2587</v>
      </c>
      <c r="C1083" s="1" t="s">
        <v>5648</v>
      </c>
    </row>
    <row r="1084" spans="1:3">
      <c r="A1084" s="15" t="s">
        <v>5649</v>
      </c>
      <c r="B1084" s="15" t="s">
        <v>2205</v>
      </c>
      <c r="C1084" s="15" t="s">
        <v>3345</v>
      </c>
    </row>
    <row r="1085" spans="1:3">
      <c r="A1085" s="15" t="s">
        <v>5650</v>
      </c>
      <c r="B1085" s="15" t="s">
        <v>5651</v>
      </c>
      <c r="C1085" s="1" t="s">
        <v>5652</v>
      </c>
    </row>
    <row r="1086" spans="1:3">
      <c r="A1086" s="15" t="s">
        <v>5653</v>
      </c>
      <c r="B1086" s="15" t="s">
        <v>1617</v>
      </c>
      <c r="C1086" s="1" t="s">
        <v>5654</v>
      </c>
    </row>
    <row r="1087" spans="1:3">
      <c r="A1087" s="15" t="s">
        <v>5655</v>
      </c>
      <c r="B1087" s="15" t="s">
        <v>3659</v>
      </c>
      <c r="C1087" s="1" t="s">
        <v>5656</v>
      </c>
    </row>
    <row r="1088" spans="1:3">
      <c r="A1088" s="15" t="s">
        <v>5657</v>
      </c>
      <c r="B1088" s="15" t="s">
        <v>322</v>
      </c>
      <c r="C1088" s="1" t="s">
        <v>5658</v>
      </c>
    </row>
    <row r="1089" spans="1:3">
      <c r="A1089" s="15" t="s">
        <v>5659</v>
      </c>
      <c r="B1089" s="15" t="s">
        <v>5618</v>
      </c>
      <c r="C1089" s="1" t="s">
        <v>5660</v>
      </c>
    </row>
    <row r="1090" spans="1:3">
      <c r="A1090" s="15" t="s">
        <v>5661</v>
      </c>
      <c r="B1090" s="15" t="s">
        <v>152</v>
      </c>
      <c r="C1090" s="1" t="s">
        <v>5662</v>
      </c>
    </row>
    <row r="1091" spans="1:3">
      <c r="A1091" s="15" t="s">
        <v>5663</v>
      </c>
      <c r="B1091" s="15" t="s">
        <v>3787</v>
      </c>
      <c r="C1091" s="1" t="s">
        <v>5664</v>
      </c>
    </row>
    <row r="1092" spans="1:3">
      <c r="A1092" s="15" t="s">
        <v>5665</v>
      </c>
      <c r="B1092" s="15" t="s">
        <v>1289</v>
      </c>
      <c r="C1092" s="1" t="s">
        <v>2981</v>
      </c>
    </row>
    <row r="1093" spans="1:3">
      <c r="A1093" s="15" t="s">
        <v>5666</v>
      </c>
      <c r="B1093" s="15" t="s">
        <v>3586</v>
      </c>
      <c r="C1093" s="15" t="s">
        <v>5667</v>
      </c>
    </row>
    <row r="1094" spans="1:3">
      <c r="A1094" s="15" t="s">
        <v>5668</v>
      </c>
      <c r="B1094" s="15" t="s">
        <v>3010</v>
      </c>
      <c r="C1094" s="15" t="s">
        <v>5669</v>
      </c>
    </row>
    <row r="1095" spans="1:3">
      <c r="A1095" s="15" t="s">
        <v>5670</v>
      </c>
      <c r="B1095" s="15" t="s">
        <v>2418</v>
      </c>
      <c r="C1095" s="15" t="s">
        <v>5671</v>
      </c>
    </row>
    <row r="1096" spans="1:3">
      <c r="A1096" s="15" t="s">
        <v>5672</v>
      </c>
      <c r="B1096" s="15" t="s">
        <v>5460</v>
      </c>
      <c r="C1096" s="1" t="s">
        <v>5673</v>
      </c>
    </row>
    <row r="1097" spans="1:3">
      <c r="A1097" s="15" t="s">
        <v>5674</v>
      </c>
      <c r="B1097" s="15" t="s">
        <v>3099</v>
      </c>
      <c r="C1097" s="1" t="s">
        <v>5675</v>
      </c>
    </row>
    <row r="1098" spans="1:3">
      <c r="A1098" s="15" t="s">
        <v>5676</v>
      </c>
      <c r="B1098" s="15" t="s">
        <v>1289</v>
      </c>
      <c r="C1098" s="1" t="s">
        <v>5677</v>
      </c>
    </row>
    <row r="1099" spans="1:3">
      <c r="A1099" s="15" t="s">
        <v>5678</v>
      </c>
      <c r="B1099" s="15" t="s">
        <v>30</v>
      </c>
      <c r="C1099" s="1" t="s">
        <v>3205</v>
      </c>
    </row>
    <row r="1100" spans="1:3">
      <c r="A1100" s="15" t="s">
        <v>5679</v>
      </c>
      <c r="B1100" s="15" t="s">
        <v>1617</v>
      </c>
      <c r="C1100" s="1" t="s">
        <v>5680</v>
      </c>
    </row>
    <row r="1101" spans="1:3">
      <c r="A1101" s="15" t="s">
        <v>5681</v>
      </c>
      <c r="B1101" s="15" t="s">
        <v>322</v>
      </c>
      <c r="C1101" s="1" t="s">
        <v>5682</v>
      </c>
    </row>
    <row r="1102" spans="1:3">
      <c r="A1102" s="15" t="s">
        <v>5683</v>
      </c>
      <c r="B1102" s="15" t="s">
        <v>30</v>
      </c>
      <c r="C1102" s="1" t="s">
        <v>5684</v>
      </c>
    </row>
    <row r="1103" spans="1:3">
      <c r="A1103" s="15" t="s">
        <v>5685</v>
      </c>
      <c r="B1103" s="15" t="s">
        <v>3486</v>
      </c>
      <c r="C1103" s="1" t="s">
        <v>5686</v>
      </c>
    </row>
    <row r="1104" spans="1:3">
      <c r="A1104" s="15" t="s">
        <v>5687</v>
      </c>
      <c r="B1104" s="15" t="s">
        <v>1811</v>
      </c>
      <c r="C1104" s="1" t="s">
        <v>5688</v>
      </c>
    </row>
    <row r="1105" spans="1:3">
      <c r="A1105" s="15" t="s">
        <v>5689</v>
      </c>
      <c r="B1105" s="15" t="s">
        <v>2939</v>
      </c>
      <c r="C1105" s="1" t="s">
        <v>3115</v>
      </c>
    </row>
    <row r="1106" spans="1:3">
      <c r="A1106" s="15" t="s">
        <v>5690</v>
      </c>
      <c r="B1106" s="15" t="s">
        <v>4994</v>
      </c>
      <c r="C1106" s="1" t="s">
        <v>5691</v>
      </c>
    </row>
    <row r="1107" spans="1:3">
      <c r="A1107" s="15" t="s">
        <v>5692</v>
      </c>
      <c r="B1107" s="15" t="s">
        <v>5693</v>
      </c>
      <c r="C1107" s="15" t="s">
        <v>5694</v>
      </c>
    </row>
    <row r="1108" spans="1:3">
      <c r="A1108" s="15" t="s">
        <v>5695</v>
      </c>
      <c r="B1108" s="15" t="s">
        <v>2587</v>
      </c>
      <c r="C1108" s="1" t="s">
        <v>5648</v>
      </c>
    </row>
    <row r="1109" spans="1:3">
      <c r="A1109" s="15" t="s">
        <v>5696</v>
      </c>
      <c r="B1109" s="15" t="s">
        <v>24</v>
      </c>
      <c r="C1109" s="1" t="s">
        <v>2990</v>
      </c>
    </row>
    <row r="1110" spans="1:3">
      <c r="A1110" s="15" t="s">
        <v>5697</v>
      </c>
      <c r="B1110" s="15" t="s">
        <v>3161</v>
      </c>
      <c r="C1110" s="1" t="s">
        <v>5698</v>
      </c>
    </row>
    <row r="1111" spans="1:3">
      <c r="A1111" s="15" t="s">
        <v>5699</v>
      </c>
      <c r="B1111" s="15" t="s">
        <v>1811</v>
      </c>
      <c r="C1111" s="1" t="s">
        <v>5700</v>
      </c>
    </row>
    <row r="1112" spans="1:3">
      <c r="A1112" s="15" t="s">
        <v>5701</v>
      </c>
      <c r="B1112" s="15" t="s">
        <v>5702</v>
      </c>
      <c r="C1112" s="1" t="s">
        <v>5703</v>
      </c>
    </row>
    <row r="1113" spans="1:3">
      <c r="A1113" s="15" t="s">
        <v>5704</v>
      </c>
      <c r="B1113" s="15" t="s">
        <v>13</v>
      </c>
      <c r="C1113" s="1" t="s">
        <v>5705</v>
      </c>
    </row>
    <row r="1114" spans="1:3">
      <c r="A1114" s="15" t="s">
        <v>5706</v>
      </c>
      <c r="B1114" s="15" t="s">
        <v>2567</v>
      </c>
      <c r="C1114" s="1" t="s">
        <v>5707</v>
      </c>
    </row>
    <row r="1115" spans="1:3">
      <c r="A1115" s="15" t="s">
        <v>5708</v>
      </c>
      <c r="B1115" s="15" t="s">
        <v>4732</v>
      </c>
      <c r="C1115" s="1" t="s">
        <v>5709</v>
      </c>
    </row>
    <row r="1116" spans="1:3">
      <c r="A1116" s="15" t="s">
        <v>5710</v>
      </c>
      <c r="B1116" s="15" t="s">
        <v>30</v>
      </c>
      <c r="C1116" s="1" t="s">
        <v>5711</v>
      </c>
    </row>
    <row r="1117" spans="1:3">
      <c r="A1117" s="15" t="s">
        <v>5712</v>
      </c>
      <c r="B1117" s="15" t="s">
        <v>2791</v>
      </c>
      <c r="C1117" s="1" t="s">
        <v>5713</v>
      </c>
    </row>
    <row r="1118" spans="1:3">
      <c r="A1118" s="15" t="s">
        <v>5714</v>
      </c>
      <c r="B1118" s="15" t="s">
        <v>2574</v>
      </c>
      <c r="C1118" s="1" t="s">
        <v>5715</v>
      </c>
    </row>
    <row r="1119" spans="1:3">
      <c r="A1119" s="15" t="s">
        <v>5716</v>
      </c>
      <c r="B1119" s="15" t="s">
        <v>30</v>
      </c>
      <c r="C1119" s="1" t="s">
        <v>5717</v>
      </c>
    </row>
    <row r="1120" spans="1:3">
      <c r="A1120" s="15" t="s">
        <v>5718</v>
      </c>
      <c r="B1120" s="15" t="s">
        <v>5719</v>
      </c>
      <c r="C1120" s="1" t="s">
        <v>5720</v>
      </c>
    </row>
    <row r="1121" spans="1:3">
      <c r="A1121" s="15" t="s">
        <v>5721</v>
      </c>
      <c r="B1121" s="15" t="s">
        <v>5722</v>
      </c>
      <c r="C1121" s="1" t="s">
        <v>5723</v>
      </c>
    </row>
    <row r="1122" spans="1:3">
      <c r="A1122" s="15" t="s">
        <v>5724</v>
      </c>
      <c r="B1122" s="15" t="s">
        <v>3747</v>
      </c>
      <c r="C1122" s="1" t="s">
        <v>5725</v>
      </c>
    </row>
    <row r="1123" spans="1:3">
      <c r="A1123" s="15" t="s">
        <v>5726</v>
      </c>
      <c r="B1123" s="15" t="s">
        <v>198</v>
      </c>
      <c r="C1123" s="1" t="s">
        <v>5727</v>
      </c>
    </row>
    <row r="1124" spans="1:3">
      <c r="A1124" s="15" t="s">
        <v>5728</v>
      </c>
      <c r="B1124" s="15" t="s">
        <v>168</v>
      </c>
      <c r="C1124" s="15" t="s">
        <v>5729</v>
      </c>
    </row>
    <row r="1125" spans="1:3">
      <c r="A1125" s="15" t="s">
        <v>5730</v>
      </c>
      <c r="B1125" s="15" t="s">
        <v>1254</v>
      </c>
      <c r="C1125" s="15" t="s">
        <v>5731</v>
      </c>
    </row>
    <row r="1126" spans="1:3">
      <c r="A1126" s="15" t="s">
        <v>5732</v>
      </c>
      <c r="B1126" s="15" t="s">
        <v>33</v>
      </c>
      <c r="C1126" s="15" t="s">
        <v>5733</v>
      </c>
    </row>
    <row r="1127" spans="1:3">
      <c r="A1127" s="15" t="s">
        <v>5734</v>
      </c>
      <c r="B1127" s="15" t="s">
        <v>16</v>
      </c>
      <c r="C1127" s="1" t="s">
        <v>5735</v>
      </c>
    </row>
    <row r="1128" spans="1:3">
      <c r="A1128" s="15" t="s">
        <v>5736</v>
      </c>
      <c r="B1128" s="15" t="s">
        <v>1241</v>
      </c>
      <c r="C1128" s="15" t="s">
        <v>5737</v>
      </c>
    </row>
    <row r="1129" spans="1:3">
      <c r="A1129" s="15" t="s">
        <v>5738</v>
      </c>
      <c r="B1129" s="15" t="s">
        <v>16</v>
      </c>
      <c r="C1129" s="15" t="s">
        <v>5739</v>
      </c>
    </row>
    <row r="1130" spans="1:3">
      <c r="A1130" s="15" t="s">
        <v>5740</v>
      </c>
      <c r="B1130" s="15" t="s">
        <v>168</v>
      </c>
      <c r="C1130" s="15" t="s">
        <v>3091</v>
      </c>
    </row>
    <row r="1131" spans="1:3">
      <c r="A1131" s="15" t="s">
        <v>5741</v>
      </c>
      <c r="B1131" s="15" t="s">
        <v>16</v>
      </c>
      <c r="C1131" s="1" t="s">
        <v>5742</v>
      </c>
    </row>
    <row r="1132" spans="1:3">
      <c r="A1132" s="15" t="s">
        <v>5743</v>
      </c>
      <c r="B1132" s="15" t="s">
        <v>30</v>
      </c>
      <c r="C1132" s="1" t="s">
        <v>3223</v>
      </c>
    </row>
    <row r="1133" spans="1:3">
      <c r="A1133" s="15" t="s">
        <v>5744</v>
      </c>
      <c r="B1133" s="15" t="s">
        <v>201</v>
      </c>
      <c r="C1133" s="1" t="s">
        <v>3282</v>
      </c>
    </row>
    <row r="1134" spans="1:3">
      <c r="A1134" s="15" t="s">
        <v>5745</v>
      </c>
      <c r="B1134" s="15" t="s">
        <v>16</v>
      </c>
      <c r="C1134" s="1" t="s">
        <v>5746</v>
      </c>
    </row>
    <row r="1135" spans="1:3">
      <c r="A1135" s="15" t="s">
        <v>5747</v>
      </c>
      <c r="B1135" s="15" t="s">
        <v>4447</v>
      </c>
      <c r="C1135" s="1" t="s">
        <v>5748</v>
      </c>
    </row>
    <row r="1136" spans="1:3">
      <c r="A1136" s="15" t="s">
        <v>5749</v>
      </c>
      <c r="B1136" s="15" t="s">
        <v>2178</v>
      </c>
      <c r="C1136" s="1" t="s">
        <v>5750</v>
      </c>
    </row>
    <row r="1137" spans="1:3">
      <c r="A1137" s="15" t="s">
        <v>5751</v>
      </c>
      <c r="B1137" s="15" t="s">
        <v>3543</v>
      </c>
      <c r="C1137" s="1" t="s">
        <v>3548</v>
      </c>
    </row>
    <row r="1138" spans="1:3">
      <c r="A1138" s="15" t="s">
        <v>5752</v>
      </c>
      <c r="B1138" s="15" t="s">
        <v>4313</v>
      </c>
      <c r="C1138" s="1" t="s">
        <v>5753</v>
      </c>
    </row>
    <row r="1139" spans="1:3">
      <c r="A1139" s="15" t="s">
        <v>5754</v>
      </c>
      <c r="B1139" s="15" t="s">
        <v>3790</v>
      </c>
      <c r="C1139" s="1" t="s">
        <v>5755</v>
      </c>
    </row>
    <row r="1140" spans="1:3">
      <c r="A1140" s="15" t="s">
        <v>5756</v>
      </c>
      <c r="B1140" s="15" t="s">
        <v>201</v>
      </c>
      <c r="C1140" s="1" t="s">
        <v>5757</v>
      </c>
    </row>
    <row r="1141" spans="1:3">
      <c r="A1141" s="15" t="s">
        <v>5758</v>
      </c>
      <c r="B1141" s="15" t="s">
        <v>4244</v>
      </c>
      <c r="C1141" s="1" t="s">
        <v>3334</v>
      </c>
    </row>
    <row r="1142" spans="1:3">
      <c r="A1142" s="15" t="s">
        <v>5759</v>
      </c>
      <c r="B1142" s="15" t="s">
        <v>3132</v>
      </c>
      <c r="C1142" s="1" t="s">
        <v>3133</v>
      </c>
    </row>
    <row r="1143" spans="1:3">
      <c r="A1143" s="15" t="s">
        <v>5760</v>
      </c>
      <c r="B1143" s="15" t="s">
        <v>3608</v>
      </c>
      <c r="C1143" s="1" t="s">
        <v>5580</v>
      </c>
    </row>
    <row r="1144" spans="1:3">
      <c r="A1144" s="15" t="s">
        <v>5761</v>
      </c>
      <c r="B1144" s="15" t="s">
        <v>201</v>
      </c>
      <c r="C1144" s="1" t="s">
        <v>3492</v>
      </c>
    </row>
    <row r="1145" spans="1:3">
      <c r="A1145" s="15" t="s">
        <v>5762</v>
      </c>
      <c r="B1145" s="15" t="s">
        <v>3099</v>
      </c>
      <c r="C1145" s="1" t="s">
        <v>5763</v>
      </c>
    </row>
    <row r="1146" spans="1:3">
      <c r="A1146" s="15" t="s">
        <v>5764</v>
      </c>
      <c r="B1146" s="15" t="s">
        <v>3112</v>
      </c>
      <c r="C1146" s="1" t="s">
        <v>5765</v>
      </c>
    </row>
    <row r="1147" spans="1:3">
      <c r="A1147" s="15" t="s">
        <v>5766</v>
      </c>
      <c r="B1147" s="15" t="s">
        <v>322</v>
      </c>
      <c r="C1147" s="1" t="s">
        <v>5767</v>
      </c>
    </row>
    <row r="1148" spans="1:3">
      <c r="A1148" s="15" t="s">
        <v>5768</v>
      </c>
      <c r="B1148" s="15" t="s">
        <v>3341</v>
      </c>
      <c r="C1148" s="1" t="s">
        <v>5769</v>
      </c>
    </row>
    <row r="1149" spans="1:3">
      <c r="A1149" s="15" t="s">
        <v>5770</v>
      </c>
      <c r="B1149" s="15" t="s">
        <v>3204</v>
      </c>
      <c r="C1149" s="1" t="s">
        <v>3205</v>
      </c>
    </row>
    <row r="1150" spans="1:3">
      <c r="A1150" s="15" t="s">
        <v>5771</v>
      </c>
      <c r="B1150" s="15" t="s">
        <v>3790</v>
      </c>
      <c r="C1150" s="15" t="s">
        <v>5772</v>
      </c>
    </row>
    <row r="1151" spans="1:3">
      <c r="A1151" s="15" t="s">
        <v>5773</v>
      </c>
      <c r="B1151" s="15" t="s">
        <v>4077</v>
      </c>
      <c r="C1151" s="15" t="s">
        <v>3031</v>
      </c>
    </row>
    <row r="1152" spans="1:3">
      <c r="A1152" s="15" t="s">
        <v>5774</v>
      </c>
      <c r="B1152" s="15" t="s">
        <v>30</v>
      </c>
      <c r="C1152" s="1" t="s">
        <v>5775</v>
      </c>
    </row>
    <row r="1153" spans="1:3">
      <c r="A1153" s="15" t="s">
        <v>5776</v>
      </c>
      <c r="B1153" s="15" t="s">
        <v>4447</v>
      </c>
      <c r="C1153" s="1" t="s">
        <v>5777</v>
      </c>
    </row>
    <row r="1154" spans="1:3">
      <c r="A1154" s="15" t="s">
        <v>5778</v>
      </c>
      <c r="B1154" s="15" t="s">
        <v>322</v>
      </c>
      <c r="C1154" s="1" t="s">
        <v>5779</v>
      </c>
    </row>
    <row r="1155" spans="1:3">
      <c r="A1155" s="15" t="s">
        <v>5780</v>
      </c>
      <c r="B1155" s="15" t="s">
        <v>3543</v>
      </c>
      <c r="C1155" s="1" t="s">
        <v>5781</v>
      </c>
    </row>
    <row r="1156" spans="1:3">
      <c r="A1156" s="15" t="s">
        <v>5782</v>
      </c>
      <c r="B1156" s="15" t="s">
        <v>5783</v>
      </c>
      <c r="C1156" s="1" t="s">
        <v>5784</v>
      </c>
    </row>
    <row r="1157" spans="1:3">
      <c r="A1157" s="15" t="s">
        <v>5785</v>
      </c>
      <c r="B1157" s="15" t="s">
        <v>2941</v>
      </c>
      <c r="C1157" s="1" t="s">
        <v>5786</v>
      </c>
    </row>
    <row r="1158" spans="1:3">
      <c r="A1158" s="15" t="s">
        <v>5787</v>
      </c>
      <c r="B1158" s="15" t="s">
        <v>1811</v>
      </c>
      <c r="C1158" s="1" t="s">
        <v>5788</v>
      </c>
    </row>
    <row r="1159" spans="1:3">
      <c r="A1159" s="15" t="s">
        <v>5789</v>
      </c>
      <c r="B1159" s="15" t="s">
        <v>3998</v>
      </c>
      <c r="C1159" s="15" t="s">
        <v>5790</v>
      </c>
    </row>
    <row r="1160" spans="1:3">
      <c r="A1160" s="15" t="s">
        <v>5791</v>
      </c>
      <c r="B1160" s="15" t="s">
        <v>253</v>
      </c>
      <c r="C1160" s="1" t="s">
        <v>5792</v>
      </c>
    </row>
    <row r="1161" spans="1:3">
      <c r="A1161" s="15" t="s">
        <v>5793</v>
      </c>
      <c r="B1161" s="15" t="s">
        <v>5794</v>
      </c>
      <c r="C1161" s="15" t="s">
        <v>5795</v>
      </c>
    </row>
    <row r="1162" spans="1:3">
      <c r="A1162" s="15" t="s">
        <v>5796</v>
      </c>
      <c r="B1162" s="15" t="s">
        <v>3543</v>
      </c>
      <c r="C1162" s="15" t="s">
        <v>3104</v>
      </c>
    </row>
    <row r="1163" spans="1:3">
      <c r="A1163" s="15" t="s">
        <v>5797</v>
      </c>
      <c r="B1163" s="15" t="s">
        <v>3112</v>
      </c>
      <c r="C1163" s="1" t="s">
        <v>5765</v>
      </c>
    </row>
    <row r="1164" spans="1:3">
      <c r="A1164" s="15" t="s">
        <v>5798</v>
      </c>
      <c r="B1164" s="15" t="s">
        <v>5799</v>
      </c>
      <c r="C1164" s="1" t="s">
        <v>5800</v>
      </c>
    </row>
    <row r="1165" spans="1:3">
      <c r="A1165" s="15" t="s">
        <v>5801</v>
      </c>
      <c r="B1165" s="15" t="s">
        <v>741</v>
      </c>
      <c r="C1165" s="1" t="s">
        <v>5802</v>
      </c>
    </row>
    <row r="1166" spans="1:3">
      <c r="A1166" s="15" t="s">
        <v>5803</v>
      </c>
      <c r="B1166" s="15" t="s">
        <v>3543</v>
      </c>
      <c r="C1166" s="1" t="s">
        <v>5804</v>
      </c>
    </row>
    <row r="1167" spans="1:3">
      <c r="A1167" s="15" t="s">
        <v>5805</v>
      </c>
      <c r="B1167" s="15" t="s">
        <v>30</v>
      </c>
      <c r="C1167" s="15" t="s">
        <v>5806</v>
      </c>
    </row>
    <row r="1168" spans="1:3">
      <c r="A1168" s="15" t="s">
        <v>5807</v>
      </c>
      <c r="B1168" s="15" t="s">
        <v>230</v>
      </c>
      <c r="C1168" s="1" t="s">
        <v>5808</v>
      </c>
    </row>
    <row r="1169" spans="1:3">
      <c r="A1169" s="15" t="s">
        <v>5809</v>
      </c>
      <c r="B1169" s="15" t="s">
        <v>90</v>
      </c>
      <c r="C1169" s="15" t="s">
        <v>5810</v>
      </c>
    </row>
    <row r="1170" spans="1:3">
      <c r="A1170" s="15" t="s">
        <v>5811</v>
      </c>
      <c r="B1170" s="15" t="s">
        <v>2226</v>
      </c>
      <c r="C1170" s="1" t="s">
        <v>5812</v>
      </c>
    </row>
    <row r="1171" spans="1:3">
      <c r="A1171" s="15" t="s">
        <v>5813</v>
      </c>
      <c r="B1171" s="15" t="s">
        <v>16</v>
      </c>
      <c r="C1171" s="1" t="s">
        <v>5814</v>
      </c>
    </row>
    <row r="1172" spans="1:3">
      <c r="A1172" s="15" t="s">
        <v>5815</v>
      </c>
      <c r="B1172" s="15" t="s">
        <v>141</v>
      </c>
      <c r="C1172" s="1" t="s">
        <v>158</v>
      </c>
    </row>
    <row r="1173" spans="1:3">
      <c r="A1173" s="15" t="s">
        <v>5816</v>
      </c>
      <c r="B1173" s="15" t="s">
        <v>3858</v>
      </c>
      <c r="C1173" s="1" t="s">
        <v>5817</v>
      </c>
    </row>
    <row r="1174" spans="1:3">
      <c r="A1174" s="15" t="s">
        <v>5818</v>
      </c>
      <c r="B1174" s="15" t="s">
        <v>4962</v>
      </c>
      <c r="C1174" s="1" t="s">
        <v>5819</v>
      </c>
    </row>
    <row r="1175" spans="1:3">
      <c r="A1175" s="15" t="s">
        <v>5820</v>
      </c>
      <c r="B1175" s="15" t="s">
        <v>3116</v>
      </c>
      <c r="C1175" s="1" t="s">
        <v>3117</v>
      </c>
    </row>
    <row r="1176" spans="1:3">
      <c r="A1176" s="15" t="s">
        <v>5821</v>
      </c>
      <c r="B1176" s="15" t="s">
        <v>3201</v>
      </c>
      <c r="C1176" s="1" t="s">
        <v>5822</v>
      </c>
    </row>
    <row r="1177" spans="1:3">
      <c r="A1177" s="15" t="s">
        <v>5823</v>
      </c>
      <c r="B1177" s="15" t="s">
        <v>5824</v>
      </c>
      <c r="C1177" s="1" t="s">
        <v>5825</v>
      </c>
    </row>
    <row r="1178" spans="1:3">
      <c r="A1178" s="15" t="s">
        <v>5826</v>
      </c>
      <c r="B1178" s="15" t="s">
        <v>3486</v>
      </c>
      <c r="C1178" s="1" t="s">
        <v>3487</v>
      </c>
    </row>
    <row r="1179" spans="1:3">
      <c r="A1179" s="15" t="s">
        <v>5827</v>
      </c>
      <c r="B1179" s="15" t="s">
        <v>2927</v>
      </c>
      <c r="C1179" s="1" t="s">
        <v>5828</v>
      </c>
    </row>
    <row r="1180" spans="1:3">
      <c r="A1180" s="15" t="s">
        <v>5829</v>
      </c>
      <c r="B1180" s="15" t="s">
        <v>198</v>
      </c>
      <c r="C1180" s="1" t="s">
        <v>5830</v>
      </c>
    </row>
    <row r="1181" spans="1:3">
      <c r="A1181" s="15" t="s">
        <v>5831</v>
      </c>
      <c r="B1181" s="15" t="s">
        <v>2738</v>
      </c>
      <c r="C1181" s="1" t="s">
        <v>5832</v>
      </c>
    </row>
    <row r="1182" spans="1:3">
      <c r="A1182" s="15" t="s">
        <v>5833</v>
      </c>
      <c r="B1182" s="15" t="s">
        <v>16</v>
      </c>
      <c r="C1182" s="1" t="s">
        <v>5834</v>
      </c>
    </row>
    <row r="1183" spans="1:3">
      <c r="A1183" s="15" t="s">
        <v>5835</v>
      </c>
      <c r="B1183" s="15" t="s">
        <v>3132</v>
      </c>
      <c r="C1183" s="1" t="s">
        <v>3392</v>
      </c>
    </row>
    <row r="1184" spans="1:3">
      <c r="A1184" s="15" t="s">
        <v>5836</v>
      </c>
      <c r="B1184" s="15" t="s">
        <v>24</v>
      </c>
      <c r="C1184" s="15" t="s">
        <v>5837</v>
      </c>
    </row>
    <row r="1185" spans="1:3">
      <c r="A1185" s="15" t="s">
        <v>5838</v>
      </c>
      <c r="B1185" s="15" t="s">
        <v>16</v>
      </c>
      <c r="C1185" s="1" t="s">
        <v>5839</v>
      </c>
    </row>
    <row r="1186" spans="1:3">
      <c r="A1186" s="15" t="s">
        <v>5840</v>
      </c>
      <c r="B1186" s="15" t="s">
        <v>2377</v>
      </c>
      <c r="C1186" s="1" t="s">
        <v>5841</v>
      </c>
    </row>
    <row r="1187" spans="1:3">
      <c r="A1187" s="15" t="s">
        <v>5842</v>
      </c>
      <c r="B1187" s="15" t="s">
        <v>5043</v>
      </c>
      <c r="C1187" s="1" t="s">
        <v>5843</v>
      </c>
    </row>
    <row r="1188" spans="1:3">
      <c r="A1188" s="15" t="s">
        <v>5844</v>
      </c>
      <c r="B1188" s="15" t="s">
        <v>16</v>
      </c>
      <c r="C1188" s="1" t="s">
        <v>5845</v>
      </c>
    </row>
    <row r="1189" spans="1:3">
      <c r="A1189" s="15" t="s">
        <v>5846</v>
      </c>
      <c r="B1189" s="15" t="s">
        <v>198</v>
      </c>
      <c r="C1189" s="1" t="s">
        <v>5847</v>
      </c>
    </row>
    <row r="1190" spans="1:3">
      <c r="A1190" s="15" t="s">
        <v>5848</v>
      </c>
      <c r="B1190" s="15" t="s">
        <v>5849</v>
      </c>
      <c r="C1190" s="1" t="s">
        <v>3254</v>
      </c>
    </row>
    <row r="1191" spans="1:3">
      <c r="A1191" s="15" t="s">
        <v>5850</v>
      </c>
      <c r="B1191" s="15" t="s">
        <v>2587</v>
      </c>
      <c r="C1191" s="1" t="s">
        <v>5851</v>
      </c>
    </row>
    <row r="1192" spans="1:3">
      <c r="A1192" s="15" t="s">
        <v>5852</v>
      </c>
      <c r="B1192" s="15" t="s">
        <v>107</v>
      </c>
      <c r="C1192" s="1" t="s">
        <v>108</v>
      </c>
    </row>
    <row r="1193" spans="1:3">
      <c r="A1193" s="15" t="s">
        <v>5853</v>
      </c>
      <c r="B1193" s="15" t="s">
        <v>198</v>
      </c>
      <c r="C1193" s="1" t="s">
        <v>5854</v>
      </c>
    </row>
    <row r="1194" spans="1:3">
      <c r="A1194" s="15" t="s">
        <v>5855</v>
      </c>
      <c r="B1194" s="15" t="s">
        <v>1617</v>
      </c>
      <c r="C1194" s="1" t="s">
        <v>5856</v>
      </c>
    </row>
    <row r="1195" spans="1:3">
      <c r="A1195" s="15" t="s">
        <v>5857</v>
      </c>
      <c r="B1195" s="15" t="s">
        <v>30</v>
      </c>
      <c r="C1195" s="1" t="s">
        <v>5858</v>
      </c>
    </row>
    <row r="1196" spans="1:3">
      <c r="A1196" s="15" t="s">
        <v>5859</v>
      </c>
      <c r="B1196" s="15" t="s">
        <v>1415</v>
      </c>
      <c r="C1196" s="1" t="s">
        <v>5860</v>
      </c>
    </row>
    <row r="1197" spans="1:3">
      <c r="A1197" s="15" t="s">
        <v>5861</v>
      </c>
      <c r="B1197" s="15" t="s">
        <v>5862</v>
      </c>
      <c r="C1197" s="1" t="s">
        <v>5863</v>
      </c>
    </row>
    <row r="1198" spans="1:3">
      <c r="A1198" s="15" t="s">
        <v>5864</v>
      </c>
      <c r="B1198" s="15" t="s">
        <v>5865</v>
      </c>
      <c r="C1198" s="1" t="s">
        <v>5866</v>
      </c>
    </row>
    <row r="1199" spans="1:3">
      <c r="A1199" s="15" t="s">
        <v>5867</v>
      </c>
      <c r="B1199" s="15" t="s">
        <v>201</v>
      </c>
      <c r="C1199" s="1" t="s">
        <v>3282</v>
      </c>
    </row>
    <row r="1200" spans="1:3">
      <c r="A1200" s="15" t="s">
        <v>5868</v>
      </c>
      <c r="B1200" s="15" t="s">
        <v>5869</v>
      </c>
      <c r="C1200" s="1" t="s">
        <v>5870</v>
      </c>
    </row>
    <row r="1201" spans="1:3">
      <c r="A1201" s="15" t="s">
        <v>5871</v>
      </c>
      <c r="B1201" s="15" t="s">
        <v>3787</v>
      </c>
      <c r="C1201" s="1" t="s">
        <v>5872</v>
      </c>
    </row>
    <row r="1202" spans="1:3">
      <c r="A1202" s="15" t="s">
        <v>5873</v>
      </c>
      <c r="B1202" s="15" t="s">
        <v>2574</v>
      </c>
      <c r="C1202" s="1" t="s">
        <v>5874</v>
      </c>
    </row>
    <row r="1203" spans="1:3">
      <c r="A1203" s="15" t="s">
        <v>5875</v>
      </c>
      <c r="B1203" s="15" t="s">
        <v>5876</v>
      </c>
      <c r="C1203" s="15" t="s">
        <v>5877</v>
      </c>
    </row>
    <row r="1204" spans="1:3">
      <c r="A1204" s="15" t="s">
        <v>5878</v>
      </c>
      <c r="B1204" s="15" t="s">
        <v>3201</v>
      </c>
      <c r="C1204" s="1" t="s">
        <v>5879</v>
      </c>
    </row>
    <row r="1205" spans="1:3">
      <c r="A1205" s="15" t="s">
        <v>5880</v>
      </c>
      <c r="B1205" s="15" t="s">
        <v>5460</v>
      </c>
      <c r="C1205" s="1" t="s">
        <v>5881</v>
      </c>
    </row>
    <row r="1206" spans="1:3">
      <c r="A1206" s="15" t="s">
        <v>5882</v>
      </c>
      <c r="B1206" s="15" t="s">
        <v>30</v>
      </c>
      <c r="C1206" s="1" t="s">
        <v>3298</v>
      </c>
    </row>
    <row r="1207" spans="1:3">
      <c r="A1207" s="15" t="s">
        <v>5883</v>
      </c>
      <c r="B1207" s="15" t="s">
        <v>107</v>
      </c>
      <c r="C1207" s="1" t="s">
        <v>108</v>
      </c>
    </row>
    <row r="1208" spans="1:3">
      <c r="A1208" s="15" t="s">
        <v>5884</v>
      </c>
      <c r="B1208" s="15" t="s">
        <v>5885</v>
      </c>
      <c r="C1208" s="1" t="s">
        <v>5886</v>
      </c>
    </row>
    <row r="1209" spans="1:3">
      <c r="A1209" s="15" t="s">
        <v>5887</v>
      </c>
      <c r="B1209" s="15" t="s">
        <v>1254</v>
      </c>
      <c r="C1209" s="1" t="s">
        <v>5888</v>
      </c>
    </row>
    <row r="1210" spans="1:3">
      <c r="A1210" s="15" t="s">
        <v>5889</v>
      </c>
      <c r="B1210" s="15" t="s">
        <v>5618</v>
      </c>
      <c r="C1210" s="1" t="s">
        <v>5890</v>
      </c>
    </row>
    <row r="1211" spans="1:3">
      <c r="A1211" s="15" t="s">
        <v>5891</v>
      </c>
      <c r="B1211" s="15" t="s">
        <v>3161</v>
      </c>
      <c r="C1211" s="1" t="s">
        <v>5892</v>
      </c>
    </row>
    <row r="1212" spans="1:3">
      <c r="A1212" s="15" t="s">
        <v>5893</v>
      </c>
      <c r="B1212" s="15" t="s">
        <v>198</v>
      </c>
      <c r="C1212" s="1" t="s">
        <v>5894</v>
      </c>
    </row>
    <row r="1213" spans="1:3">
      <c r="A1213" s="15" t="s">
        <v>5895</v>
      </c>
      <c r="B1213" s="15" t="s">
        <v>5896</v>
      </c>
      <c r="C1213" s="1" t="s">
        <v>5897</v>
      </c>
    </row>
    <row r="1214" spans="1:3">
      <c r="A1214" s="15" t="s">
        <v>5898</v>
      </c>
      <c r="B1214" s="15" t="s">
        <v>2587</v>
      </c>
      <c r="C1214" s="1" t="s">
        <v>5851</v>
      </c>
    </row>
    <row r="1215" spans="1:3">
      <c r="A1215" s="15" t="s">
        <v>5899</v>
      </c>
      <c r="B1215" s="15" t="s">
        <v>16</v>
      </c>
      <c r="C1215" s="1" t="s">
        <v>5900</v>
      </c>
    </row>
    <row r="1216" spans="1:3">
      <c r="A1216" s="15" t="s">
        <v>5901</v>
      </c>
      <c r="B1216" s="15" t="s">
        <v>3532</v>
      </c>
      <c r="C1216" s="15" t="s">
        <v>5902</v>
      </c>
    </row>
    <row r="1217" spans="1:3">
      <c r="A1217" s="15" t="s">
        <v>5903</v>
      </c>
      <c r="B1217" s="15" t="s">
        <v>3066</v>
      </c>
      <c r="C1217" s="1" t="s">
        <v>5904</v>
      </c>
    </row>
    <row r="1218" spans="1:3">
      <c r="A1218" s="15" t="s">
        <v>5905</v>
      </c>
      <c r="B1218" s="15" t="s">
        <v>5896</v>
      </c>
      <c r="C1218" s="1" t="s">
        <v>5906</v>
      </c>
    </row>
    <row r="1219" spans="1:3">
      <c r="A1219" s="15" t="s">
        <v>5907</v>
      </c>
      <c r="B1219" s="15" t="s">
        <v>5908</v>
      </c>
      <c r="C1219" s="1" t="s">
        <v>5909</v>
      </c>
    </row>
    <row r="1220" spans="1:3">
      <c r="A1220" s="15" t="s">
        <v>5910</v>
      </c>
      <c r="B1220" s="15" t="s">
        <v>3747</v>
      </c>
      <c r="C1220" s="1" t="s">
        <v>5911</v>
      </c>
    </row>
    <row r="1221" spans="1:3">
      <c r="A1221" s="15" t="s">
        <v>5912</v>
      </c>
      <c r="B1221" s="15" t="s">
        <v>5913</v>
      </c>
      <c r="C1221" s="15" t="s">
        <v>5914</v>
      </c>
    </row>
    <row r="1222" spans="1:3">
      <c r="A1222" s="15" t="s">
        <v>5915</v>
      </c>
      <c r="B1222" s="15" t="s">
        <v>205</v>
      </c>
      <c r="C1222" s="15" t="s">
        <v>5916</v>
      </c>
    </row>
    <row r="1223" spans="1:3">
      <c r="A1223" s="15" t="s">
        <v>5917</v>
      </c>
      <c r="B1223" s="15" t="s">
        <v>1415</v>
      </c>
      <c r="C1223" s="1" t="s">
        <v>5860</v>
      </c>
    </row>
    <row r="1224" spans="1:3">
      <c r="A1224" s="15" t="s">
        <v>5918</v>
      </c>
      <c r="B1224" s="15" t="s">
        <v>3201</v>
      </c>
      <c r="C1224" s="1" t="s">
        <v>5919</v>
      </c>
    </row>
    <row r="1225" spans="1:3">
      <c r="A1225" s="15" t="s">
        <v>5920</v>
      </c>
      <c r="B1225" s="15" t="s">
        <v>5921</v>
      </c>
      <c r="C1225" s="1" t="s">
        <v>5922</v>
      </c>
    </row>
    <row r="1226" spans="1:3">
      <c r="A1226" s="15" t="s">
        <v>5923</v>
      </c>
      <c r="B1226" s="15" t="s">
        <v>3543</v>
      </c>
      <c r="C1226" s="1" t="s">
        <v>5924</v>
      </c>
    </row>
    <row r="1227" spans="1:3">
      <c r="A1227" s="15" t="s">
        <v>5925</v>
      </c>
      <c r="B1227" s="15" t="s">
        <v>5926</v>
      </c>
      <c r="C1227" s="1" t="s">
        <v>5927</v>
      </c>
    </row>
    <row r="1228" spans="1:3">
      <c r="A1228" s="15" t="s">
        <v>5928</v>
      </c>
      <c r="B1228" s="15" t="s">
        <v>5929</v>
      </c>
      <c r="C1228" s="1" t="s">
        <v>5930</v>
      </c>
    </row>
    <row r="1229" spans="1:3">
      <c r="A1229" s="15" t="s">
        <v>5931</v>
      </c>
      <c r="B1229" s="15" t="s">
        <v>3144</v>
      </c>
      <c r="C1229" s="15" t="s">
        <v>3145</v>
      </c>
    </row>
    <row r="1230" spans="1:3">
      <c r="A1230" s="15" t="s">
        <v>5932</v>
      </c>
      <c r="B1230" s="15" t="s">
        <v>3201</v>
      </c>
      <c r="C1230" s="1" t="s">
        <v>5933</v>
      </c>
    </row>
    <row r="1231" spans="1:3">
      <c r="A1231" s="15" t="s">
        <v>5934</v>
      </c>
      <c r="B1231" s="15" t="s">
        <v>2790</v>
      </c>
      <c r="C1231" s="15" t="s">
        <v>5935</v>
      </c>
    </row>
    <row r="1232" spans="1:3">
      <c r="A1232" s="15" t="s">
        <v>5936</v>
      </c>
      <c r="B1232" s="15" t="s">
        <v>3858</v>
      </c>
      <c r="C1232" s="15" t="s">
        <v>5937</v>
      </c>
    </row>
    <row r="1233" spans="1:3">
      <c r="A1233" s="15" t="s">
        <v>5938</v>
      </c>
      <c r="B1233" s="15" t="s">
        <v>118</v>
      </c>
      <c r="C1233" s="1" t="s">
        <v>5939</v>
      </c>
    </row>
    <row r="1234" spans="1:3">
      <c r="A1234" s="15" t="s">
        <v>5940</v>
      </c>
      <c r="B1234" s="15" t="s">
        <v>16</v>
      </c>
      <c r="C1234" s="1" t="s">
        <v>5941</v>
      </c>
    </row>
    <row r="1235" spans="1:3">
      <c r="A1235" s="15" t="s">
        <v>5942</v>
      </c>
      <c r="B1235" s="15" t="s">
        <v>3543</v>
      </c>
      <c r="C1235" s="1" t="s">
        <v>5943</v>
      </c>
    </row>
    <row r="1236" spans="1:3">
      <c r="A1236" s="15" t="s">
        <v>5944</v>
      </c>
      <c r="B1236" s="15" t="s">
        <v>198</v>
      </c>
      <c r="C1236" s="1" t="s">
        <v>5945</v>
      </c>
    </row>
    <row r="1237" spans="1:3">
      <c r="A1237" s="15" t="s">
        <v>5946</v>
      </c>
      <c r="B1237" s="15" t="s">
        <v>5947</v>
      </c>
      <c r="C1237" s="1" t="s">
        <v>5948</v>
      </c>
    </row>
    <row r="1238" spans="1:3">
      <c r="A1238" s="15" t="s">
        <v>5949</v>
      </c>
      <c r="B1238" s="15" t="s">
        <v>205</v>
      </c>
      <c r="C1238" s="1" t="s">
        <v>5950</v>
      </c>
    </row>
    <row r="1239" spans="1:3">
      <c r="A1239" s="15" t="s">
        <v>5951</v>
      </c>
      <c r="B1239" s="15" t="s">
        <v>3163</v>
      </c>
      <c r="C1239" s="1" t="s">
        <v>3164</v>
      </c>
    </row>
    <row r="1240" spans="1:3">
      <c r="A1240" s="15" t="s">
        <v>5952</v>
      </c>
      <c r="B1240" s="15" t="s">
        <v>1463</v>
      </c>
      <c r="C1240" s="1" t="s">
        <v>5953</v>
      </c>
    </row>
    <row r="1241" spans="1:3">
      <c r="A1241" s="15" t="s">
        <v>5954</v>
      </c>
      <c r="B1241" s="15" t="s">
        <v>2418</v>
      </c>
      <c r="C1241" s="1" t="s">
        <v>2559</v>
      </c>
    </row>
    <row r="1242" spans="1:3">
      <c r="A1242" s="15" t="s">
        <v>5955</v>
      </c>
      <c r="B1242" s="15" t="s">
        <v>3586</v>
      </c>
      <c r="C1242" s="1" t="s">
        <v>5956</v>
      </c>
    </row>
    <row r="1243" spans="1:3">
      <c r="A1243" s="15" t="s">
        <v>5957</v>
      </c>
      <c r="B1243" s="15" t="s">
        <v>3228</v>
      </c>
      <c r="C1243" s="1" t="s">
        <v>5958</v>
      </c>
    </row>
    <row r="1244" spans="1:3">
      <c r="A1244" s="15" t="s">
        <v>5959</v>
      </c>
      <c r="B1244" s="15" t="s">
        <v>5475</v>
      </c>
      <c r="C1244" s="1" t="s">
        <v>5960</v>
      </c>
    </row>
    <row r="1245" spans="1:3">
      <c r="A1245" s="15" t="s">
        <v>5961</v>
      </c>
      <c r="B1245" s="15" t="s">
        <v>5962</v>
      </c>
      <c r="C1245" s="1" t="s">
        <v>5407</v>
      </c>
    </row>
    <row r="1246" spans="1:3">
      <c r="A1246" s="15" t="s">
        <v>5963</v>
      </c>
      <c r="B1246" s="15" t="s">
        <v>5964</v>
      </c>
      <c r="C1246" s="1" t="s">
        <v>5965</v>
      </c>
    </row>
    <row r="1247" spans="1:3">
      <c r="A1247" s="15" t="s">
        <v>5966</v>
      </c>
      <c r="B1247" s="15" t="s">
        <v>322</v>
      </c>
      <c r="C1247" s="1" t="s">
        <v>5967</v>
      </c>
    </row>
    <row r="1248" spans="1:3">
      <c r="A1248" s="15" t="s">
        <v>5968</v>
      </c>
      <c r="B1248" s="15" t="s">
        <v>168</v>
      </c>
      <c r="C1248" s="1" t="s">
        <v>5969</v>
      </c>
    </row>
    <row r="1249" spans="1:3">
      <c r="A1249" s="15" t="s">
        <v>5970</v>
      </c>
      <c r="B1249" s="15" t="s">
        <v>5971</v>
      </c>
      <c r="C1249" s="1" t="s">
        <v>5972</v>
      </c>
    </row>
    <row r="1250" spans="1:3">
      <c r="A1250" s="15" t="s">
        <v>5973</v>
      </c>
      <c r="B1250" s="15" t="s">
        <v>128</v>
      </c>
      <c r="C1250" s="1" t="s">
        <v>5974</v>
      </c>
    </row>
    <row r="1251" spans="1:3">
      <c r="A1251" s="15" t="s">
        <v>5975</v>
      </c>
      <c r="B1251" s="15" t="s">
        <v>3106</v>
      </c>
      <c r="C1251" s="1" t="s">
        <v>5976</v>
      </c>
    </row>
    <row r="1252" spans="1:3">
      <c r="A1252" s="15" t="s">
        <v>5977</v>
      </c>
      <c r="B1252" s="15" t="s">
        <v>5978</v>
      </c>
      <c r="C1252" s="1" t="s">
        <v>5979</v>
      </c>
    </row>
    <row r="1253" spans="1:3">
      <c r="A1253" s="15" t="s">
        <v>5980</v>
      </c>
      <c r="B1253" s="15" t="s">
        <v>1951</v>
      </c>
      <c r="C1253" s="1" t="s">
        <v>3093</v>
      </c>
    </row>
    <row r="1254" spans="1:3">
      <c r="A1254" s="15" t="s">
        <v>5981</v>
      </c>
      <c r="B1254" s="15" t="s">
        <v>1289</v>
      </c>
      <c r="C1254" s="1" t="s">
        <v>3111</v>
      </c>
    </row>
    <row r="1255" spans="1:3">
      <c r="A1255" s="15" t="s">
        <v>5982</v>
      </c>
      <c r="B1255" s="15" t="s">
        <v>30</v>
      </c>
      <c r="C1255" s="1" t="s">
        <v>5983</v>
      </c>
    </row>
    <row r="1256" spans="1:3">
      <c r="A1256" s="15" t="s">
        <v>5984</v>
      </c>
      <c r="B1256" s="15" t="s">
        <v>3010</v>
      </c>
      <c r="C1256" s="1" t="s">
        <v>5985</v>
      </c>
    </row>
    <row r="1257" spans="1:3">
      <c r="A1257" s="15" t="s">
        <v>5986</v>
      </c>
      <c r="B1257" s="15" t="s">
        <v>141</v>
      </c>
      <c r="C1257" s="1" t="s">
        <v>5987</v>
      </c>
    </row>
    <row r="1258" spans="1:3">
      <c r="A1258" s="15" t="s">
        <v>5988</v>
      </c>
      <c r="B1258" s="15" t="s">
        <v>3132</v>
      </c>
      <c r="C1258" s="1" t="s">
        <v>5989</v>
      </c>
    </row>
    <row r="1259" spans="1:3">
      <c r="A1259" s="15" t="s">
        <v>5990</v>
      </c>
      <c r="B1259" s="15" t="s">
        <v>3562</v>
      </c>
      <c r="C1259" s="1" t="s">
        <v>5991</v>
      </c>
    </row>
    <row r="1260" spans="1:3">
      <c r="A1260" s="15" t="s">
        <v>5992</v>
      </c>
      <c r="B1260" s="15" t="s">
        <v>191</v>
      </c>
      <c r="C1260" s="1" t="s">
        <v>5993</v>
      </c>
    </row>
    <row r="1261" spans="1:3">
      <c r="A1261" s="15" t="s">
        <v>5994</v>
      </c>
      <c r="B1261" s="15" t="s">
        <v>3364</v>
      </c>
      <c r="C1261" s="1" t="s">
        <v>5995</v>
      </c>
    </row>
    <row r="1262" spans="1:3">
      <c r="A1262" s="15" t="s">
        <v>5996</v>
      </c>
      <c r="B1262" s="15" t="s">
        <v>3173</v>
      </c>
      <c r="C1262" s="1" t="s">
        <v>5997</v>
      </c>
    </row>
    <row r="1263" spans="1:3">
      <c r="A1263" s="15" t="s">
        <v>5998</v>
      </c>
      <c r="B1263" s="15" t="s">
        <v>3201</v>
      </c>
      <c r="C1263" s="1" t="s">
        <v>5999</v>
      </c>
    </row>
    <row r="1264" spans="1:3">
      <c r="A1264" s="15" t="s">
        <v>6000</v>
      </c>
      <c r="B1264" s="15" t="s">
        <v>4994</v>
      </c>
      <c r="C1264" s="15" t="s">
        <v>3248</v>
      </c>
    </row>
    <row r="1265" spans="1:3">
      <c r="A1265" s="15" t="s">
        <v>6001</v>
      </c>
      <c r="B1265" s="15" t="s">
        <v>6002</v>
      </c>
      <c r="C1265" s="15" t="s">
        <v>6003</v>
      </c>
    </row>
    <row r="1266" spans="1:3">
      <c r="A1266" s="15" t="s">
        <v>6004</v>
      </c>
      <c r="B1266" s="15" t="s">
        <v>2927</v>
      </c>
      <c r="C1266" s="1" t="s">
        <v>6005</v>
      </c>
    </row>
    <row r="1267" spans="1:3">
      <c r="A1267" s="15" t="s">
        <v>6006</v>
      </c>
      <c r="B1267" s="15" t="s">
        <v>727</v>
      </c>
      <c r="C1267" s="1" t="s">
        <v>6007</v>
      </c>
    </row>
    <row r="1268" spans="1:3">
      <c r="A1268" s="15" t="s">
        <v>6008</v>
      </c>
      <c r="B1268" s="15" t="s">
        <v>90</v>
      </c>
      <c r="C1268" s="1" t="s">
        <v>5995</v>
      </c>
    </row>
    <row r="1269" spans="1:3">
      <c r="A1269" s="15" t="s">
        <v>6009</v>
      </c>
      <c r="B1269" s="15" t="s">
        <v>6002</v>
      </c>
      <c r="C1269" s="15" t="s">
        <v>6010</v>
      </c>
    </row>
    <row r="1270" spans="1:3">
      <c r="A1270" s="15" t="s">
        <v>6011</v>
      </c>
      <c r="B1270" s="15" t="s">
        <v>234</v>
      </c>
      <c r="C1270" s="15" t="s">
        <v>6012</v>
      </c>
    </row>
    <row r="1271" spans="1:3">
      <c r="A1271" s="15" t="s">
        <v>6013</v>
      </c>
      <c r="B1271" s="15" t="s">
        <v>141</v>
      </c>
      <c r="C1271" s="1" t="s">
        <v>3102</v>
      </c>
    </row>
    <row r="1272" spans="1:3">
      <c r="A1272" s="15" t="s">
        <v>6014</v>
      </c>
      <c r="B1272" s="15" t="s">
        <v>4732</v>
      </c>
      <c r="C1272" s="1" t="s">
        <v>6015</v>
      </c>
    </row>
    <row r="1273" spans="1:3">
      <c r="A1273" s="15" t="s">
        <v>6016</v>
      </c>
      <c r="B1273" s="15" t="s">
        <v>75</v>
      </c>
      <c r="C1273" s="1" t="s">
        <v>6017</v>
      </c>
    </row>
    <row r="1274" spans="1:3">
      <c r="A1274" s="15" t="s">
        <v>6018</v>
      </c>
      <c r="B1274" s="15" t="s">
        <v>5929</v>
      </c>
      <c r="C1274" s="1" t="s">
        <v>6019</v>
      </c>
    </row>
    <row r="1275" spans="1:3">
      <c r="A1275" s="15" t="s">
        <v>6020</v>
      </c>
      <c r="B1275" s="15" t="s">
        <v>500</v>
      </c>
      <c r="C1275" s="1" t="s">
        <v>6021</v>
      </c>
    </row>
    <row r="1276" spans="1:3">
      <c r="A1276" s="15" t="s">
        <v>6022</v>
      </c>
      <c r="B1276" s="15" t="s">
        <v>3586</v>
      </c>
      <c r="C1276" s="1" t="s">
        <v>6023</v>
      </c>
    </row>
    <row r="1277" spans="1:3">
      <c r="A1277" s="15" t="s">
        <v>6024</v>
      </c>
      <c r="B1277" s="15" t="s">
        <v>152</v>
      </c>
      <c r="C1277" s="1" t="s">
        <v>6025</v>
      </c>
    </row>
    <row r="1278" spans="1:3">
      <c r="A1278" s="15" t="s">
        <v>6026</v>
      </c>
      <c r="B1278" s="15" t="s">
        <v>3112</v>
      </c>
      <c r="C1278" s="1" t="s">
        <v>6027</v>
      </c>
    </row>
    <row r="1279" spans="1:3">
      <c r="A1279" s="15" t="s">
        <v>6028</v>
      </c>
      <c r="B1279" s="15" t="s">
        <v>4318</v>
      </c>
      <c r="C1279" s="1" t="s">
        <v>6029</v>
      </c>
    </row>
    <row r="1280" spans="1:3">
      <c r="A1280" s="15" t="s">
        <v>6030</v>
      </c>
      <c r="B1280" s="15" t="s">
        <v>3543</v>
      </c>
      <c r="C1280" s="1" t="s">
        <v>6031</v>
      </c>
    </row>
    <row r="1281" spans="1:3">
      <c r="A1281" s="15" t="s">
        <v>6032</v>
      </c>
      <c r="B1281" s="15" t="s">
        <v>152</v>
      </c>
      <c r="C1281" s="1" t="s">
        <v>6033</v>
      </c>
    </row>
    <row r="1282" spans="1:3">
      <c r="A1282" s="15" t="s">
        <v>6034</v>
      </c>
      <c r="B1282" s="15" t="s">
        <v>1706</v>
      </c>
      <c r="C1282" s="1" t="s">
        <v>6035</v>
      </c>
    </row>
    <row r="1283" spans="1:3">
      <c r="A1283" s="15" t="s">
        <v>6036</v>
      </c>
      <c r="B1283" s="15" t="s">
        <v>3170</v>
      </c>
      <c r="C1283" s="15" t="s">
        <v>3171</v>
      </c>
    </row>
    <row r="1284" spans="1:3">
      <c r="A1284" s="15" t="s">
        <v>6037</v>
      </c>
      <c r="B1284" s="15" t="s">
        <v>3998</v>
      </c>
      <c r="C1284" s="1" t="s">
        <v>6038</v>
      </c>
    </row>
    <row r="1285" spans="1:3">
      <c r="A1285" s="15" t="s">
        <v>6039</v>
      </c>
      <c r="B1285" s="15" t="s">
        <v>198</v>
      </c>
      <c r="C1285" s="1" t="s">
        <v>6040</v>
      </c>
    </row>
    <row r="1286" spans="1:3">
      <c r="A1286" s="15" t="s">
        <v>6041</v>
      </c>
      <c r="B1286" s="15" t="s">
        <v>3201</v>
      </c>
      <c r="C1286" s="1" t="s">
        <v>6042</v>
      </c>
    </row>
    <row r="1287" spans="1:3">
      <c r="A1287" s="15" t="s">
        <v>6043</v>
      </c>
      <c r="B1287" s="15" t="s">
        <v>2418</v>
      </c>
      <c r="C1287" s="1" t="s">
        <v>6044</v>
      </c>
    </row>
    <row r="1288" spans="1:3">
      <c r="A1288" s="15" t="s">
        <v>6045</v>
      </c>
      <c r="B1288" s="15" t="s">
        <v>3096</v>
      </c>
      <c r="C1288" s="1" t="s">
        <v>6046</v>
      </c>
    </row>
    <row r="1289" spans="1:3">
      <c r="A1289" s="15" t="s">
        <v>6047</v>
      </c>
      <c r="B1289" s="15" t="s">
        <v>198</v>
      </c>
      <c r="C1289" s="1" t="s">
        <v>3495</v>
      </c>
    </row>
    <row r="1290" spans="1:3">
      <c r="A1290" s="15" t="s">
        <v>6048</v>
      </c>
      <c r="B1290" s="15" t="s">
        <v>6049</v>
      </c>
      <c r="C1290" s="1" t="s">
        <v>6050</v>
      </c>
    </row>
    <row r="1291" spans="1:3">
      <c r="A1291" s="15" t="s">
        <v>6051</v>
      </c>
      <c r="B1291" s="15" t="s">
        <v>3543</v>
      </c>
      <c r="C1291" s="1" t="s">
        <v>6052</v>
      </c>
    </row>
    <row r="1292" spans="1:3">
      <c r="A1292" s="15" t="s">
        <v>6053</v>
      </c>
      <c r="B1292" s="15" t="s">
        <v>4962</v>
      </c>
      <c r="C1292" s="1" t="s">
        <v>6054</v>
      </c>
    </row>
    <row r="1293" spans="1:3">
      <c r="A1293" s="15" t="s">
        <v>6055</v>
      </c>
      <c r="B1293" s="15" t="s">
        <v>5106</v>
      </c>
      <c r="C1293" s="1" t="s">
        <v>6056</v>
      </c>
    </row>
    <row r="1294" spans="1:3">
      <c r="A1294" s="15" t="s">
        <v>6057</v>
      </c>
      <c r="B1294" s="15" t="s">
        <v>3201</v>
      </c>
      <c r="C1294" s="1" t="s">
        <v>6058</v>
      </c>
    </row>
    <row r="1295" spans="1:3">
      <c r="A1295" s="15" t="s">
        <v>6059</v>
      </c>
      <c r="B1295" s="15" t="s">
        <v>6060</v>
      </c>
      <c r="C1295" s="1" t="s">
        <v>6061</v>
      </c>
    </row>
    <row r="1296" spans="1:3">
      <c r="A1296" s="15" t="s">
        <v>6062</v>
      </c>
      <c r="B1296" s="15" t="s">
        <v>5614</v>
      </c>
      <c r="C1296" s="1" t="s">
        <v>6063</v>
      </c>
    </row>
    <row r="1297" spans="1:3">
      <c r="A1297" s="15" t="s">
        <v>6064</v>
      </c>
      <c r="B1297" s="15" t="s">
        <v>6065</v>
      </c>
      <c r="C1297" s="1" t="s">
        <v>6066</v>
      </c>
    </row>
    <row r="1298" spans="1:3">
      <c r="A1298" s="15" t="s">
        <v>6067</v>
      </c>
      <c r="B1298" s="15" t="s">
        <v>45</v>
      </c>
      <c r="C1298" s="1" t="s">
        <v>6068</v>
      </c>
    </row>
    <row r="1299" spans="1:3">
      <c r="A1299" s="15" t="s">
        <v>6069</v>
      </c>
      <c r="B1299" s="15" t="s">
        <v>322</v>
      </c>
      <c r="C1299" s="1" t="s">
        <v>6070</v>
      </c>
    </row>
    <row r="1300" spans="1:3">
      <c r="A1300" s="15" t="s">
        <v>6071</v>
      </c>
      <c r="B1300" s="15" t="s">
        <v>6072</v>
      </c>
      <c r="C1300" s="1" t="s">
        <v>6073</v>
      </c>
    </row>
    <row r="1301" spans="1:3">
      <c r="A1301" s="15" t="s">
        <v>6074</v>
      </c>
      <c r="B1301" s="15" t="s">
        <v>168</v>
      </c>
      <c r="C1301" s="1" t="s">
        <v>6075</v>
      </c>
    </row>
    <row r="1302" spans="1:3">
      <c r="A1302" s="15" t="s">
        <v>6076</v>
      </c>
      <c r="B1302" s="15" t="s">
        <v>1429</v>
      </c>
      <c r="C1302" s="15" t="s">
        <v>6077</v>
      </c>
    </row>
    <row r="1303" spans="1:3">
      <c r="A1303" s="15" t="s">
        <v>6078</v>
      </c>
      <c r="B1303" s="15" t="s">
        <v>2574</v>
      </c>
      <c r="C1303" s="15" t="s">
        <v>6079</v>
      </c>
    </row>
    <row r="1304" spans="1:3">
      <c r="A1304" s="15" t="s">
        <v>6080</v>
      </c>
      <c r="B1304" s="15" t="s">
        <v>75</v>
      </c>
      <c r="C1304" s="15" t="s">
        <v>6081</v>
      </c>
    </row>
    <row r="1305" spans="1:3">
      <c r="A1305" s="15" t="s">
        <v>6082</v>
      </c>
      <c r="B1305" s="15" t="s">
        <v>322</v>
      </c>
      <c r="C1305" s="15" t="s">
        <v>6083</v>
      </c>
    </row>
    <row r="1306" spans="1:3">
      <c r="A1306" s="15" t="s">
        <v>6084</v>
      </c>
      <c r="B1306" s="15" t="s">
        <v>3522</v>
      </c>
      <c r="C1306" s="15" t="s">
        <v>6085</v>
      </c>
    </row>
    <row r="1307" spans="1:3">
      <c r="A1307" s="15" t="s">
        <v>6086</v>
      </c>
      <c r="B1307" s="15" t="s">
        <v>6087</v>
      </c>
      <c r="C1307" s="1" t="s">
        <v>6088</v>
      </c>
    </row>
    <row r="1308" spans="1:3">
      <c r="A1308" s="15" t="s">
        <v>6089</v>
      </c>
      <c r="B1308" s="15" t="s">
        <v>6090</v>
      </c>
      <c r="C1308" s="1" t="s">
        <v>4824</v>
      </c>
    </row>
    <row r="1309" spans="1:3">
      <c r="A1309" s="15" t="s">
        <v>6091</v>
      </c>
      <c r="B1309" s="15" t="s">
        <v>45</v>
      </c>
      <c r="C1309" s="1" t="s">
        <v>6092</v>
      </c>
    </row>
    <row r="1310" spans="1:3">
      <c r="A1310" s="15" t="s">
        <v>6093</v>
      </c>
      <c r="B1310" s="15" t="s">
        <v>322</v>
      </c>
      <c r="C1310" s="1" t="s">
        <v>6094</v>
      </c>
    </row>
    <row r="1311" spans="1:3">
      <c r="A1311" s="15" t="s">
        <v>6095</v>
      </c>
      <c r="B1311" s="15" t="s">
        <v>30</v>
      </c>
      <c r="C1311" s="1" t="s">
        <v>6096</v>
      </c>
    </row>
    <row r="1312" spans="1:3">
      <c r="A1312" s="15" t="s">
        <v>6097</v>
      </c>
      <c r="B1312" s="15" t="s">
        <v>3790</v>
      </c>
      <c r="C1312" s="1" t="s">
        <v>6098</v>
      </c>
    </row>
    <row r="1313" spans="1:3">
      <c r="A1313" s="15" t="s">
        <v>6099</v>
      </c>
      <c r="B1313" s="15" t="s">
        <v>24</v>
      </c>
      <c r="C1313" s="1" t="s">
        <v>3233</v>
      </c>
    </row>
    <row r="1314" spans="1:3">
      <c r="A1314" s="15" t="s">
        <v>6100</v>
      </c>
      <c r="B1314" s="15" t="s">
        <v>2468</v>
      </c>
      <c r="C1314" s="1" t="s">
        <v>6101</v>
      </c>
    </row>
    <row r="1315" spans="1:3">
      <c r="A1315" s="15" t="s">
        <v>6102</v>
      </c>
      <c r="B1315" s="15" t="s">
        <v>30</v>
      </c>
      <c r="C1315" s="1" t="s">
        <v>6103</v>
      </c>
    </row>
    <row r="1316" spans="1:3">
      <c r="A1316" s="15" t="s">
        <v>6104</v>
      </c>
      <c r="B1316" s="15" t="s">
        <v>6105</v>
      </c>
      <c r="C1316" s="1" t="s">
        <v>6106</v>
      </c>
    </row>
    <row r="1317" spans="1:3">
      <c r="A1317" s="15" t="s">
        <v>6107</v>
      </c>
      <c r="B1317" s="15" t="s">
        <v>16</v>
      </c>
      <c r="C1317" s="1" t="s">
        <v>6108</v>
      </c>
    </row>
    <row r="1318" spans="1:3">
      <c r="A1318" s="15" t="s">
        <v>6109</v>
      </c>
      <c r="B1318" s="15" t="s">
        <v>2377</v>
      </c>
      <c r="C1318" s="1" t="s">
        <v>6110</v>
      </c>
    </row>
    <row r="1319" spans="1:3">
      <c r="A1319" s="15" t="s">
        <v>6111</v>
      </c>
      <c r="B1319" s="15" t="s">
        <v>75</v>
      </c>
      <c r="C1319" s="1" t="s">
        <v>76</v>
      </c>
    </row>
    <row r="1320" spans="1:3">
      <c r="A1320" s="15" t="s">
        <v>6112</v>
      </c>
      <c r="B1320" s="15" t="s">
        <v>3858</v>
      </c>
      <c r="C1320" s="1" t="s">
        <v>6113</v>
      </c>
    </row>
    <row r="1321" spans="1:3">
      <c r="A1321" s="15" t="s">
        <v>6114</v>
      </c>
      <c r="B1321" s="15" t="s">
        <v>168</v>
      </c>
      <c r="C1321" s="1" t="s">
        <v>6115</v>
      </c>
    </row>
    <row r="1322" spans="1:3">
      <c r="A1322" s="15" t="s">
        <v>6116</v>
      </c>
      <c r="B1322" s="15" t="s">
        <v>2927</v>
      </c>
      <c r="C1322" s="1" t="s">
        <v>6117</v>
      </c>
    </row>
    <row r="1323" spans="1:3">
      <c r="A1323" s="15" t="s">
        <v>6118</v>
      </c>
      <c r="B1323" s="15" t="s">
        <v>3159</v>
      </c>
      <c r="C1323" s="1" t="s">
        <v>6119</v>
      </c>
    </row>
    <row r="1324" spans="1:3">
      <c r="A1324" s="15" t="s">
        <v>6120</v>
      </c>
      <c r="B1324" s="15" t="s">
        <v>3112</v>
      </c>
      <c r="C1324" s="1" t="s">
        <v>6121</v>
      </c>
    </row>
    <row r="1325" spans="1:3">
      <c r="A1325" s="15" t="s">
        <v>6122</v>
      </c>
      <c r="B1325" s="15" t="s">
        <v>1227</v>
      </c>
      <c r="C1325" s="15" t="s">
        <v>6123</v>
      </c>
    </row>
    <row r="1326" spans="1:3">
      <c r="A1326" s="15" t="s">
        <v>6124</v>
      </c>
      <c r="B1326" s="15" t="s">
        <v>5223</v>
      </c>
      <c r="C1326" s="1" t="s">
        <v>6125</v>
      </c>
    </row>
    <row r="1327" spans="1:3">
      <c r="A1327" s="15" t="s">
        <v>6126</v>
      </c>
      <c r="B1327" s="15" t="s">
        <v>2226</v>
      </c>
      <c r="C1327" s="1" t="s">
        <v>3211</v>
      </c>
    </row>
    <row r="1328" spans="1:3">
      <c r="A1328" s="15" t="s">
        <v>6127</v>
      </c>
      <c r="B1328" s="15" t="s">
        <v>6128</v>
      </c>
      <c r="C1328" s="1" t="s">
        <v>6129</v>
      </c>
    </row>
    <row r="1329" spans="1:3">
      <c r="A1329" s="15" t="s">
        <v>6130</v>
      </c>
      <c r="B1329" s="15" t="s">
        <v>30</v>
      </c>
      <c r="C1329" s="1" t="s">
        <v>6131</v>
      </c>
    </row>
    <row r="1330" spans="1:3">
      <c r="A1330" s="15" t="s">
        <v>6132</v>
      </c>
      <c r="B1330" s="15" t="s">
        <v>6133</v>
      </c>
      <c r="C1330" s="1" t="s">
        <v>6134</v>
      </c>
    </row>
    <row r="1331" spans="1:3">
      <c r="A1331" s="15" t="s">
        <v>6135</v>
      </c>
      <c r="B1331" s="15" t="s">
        <v>6136</v>
      </c>
      <c r="C1331" s="15" t="s">
        <v>6137</v>
      </c>
    </row>
    <row r="1332" spans="1:3">
      <c r="A1332" s="15" t="s">
        <v>6138</v>
      </c>
      <c r="B1332" s="15" t="s">
        <v>3858</v>
      </c>
      <c r="C1332" s="15" t="s">
        <v>6139</v>
      </c>
    </row>
    <row r="1333" spans="1:3">
      <c r="A1333" s="15" t="s">
        <v>6140</v>
      </c>
      <c r="B1333" s="15" t="s">
        <v>6141</v>
      </c>
      <c r="C1333" s="1" t="s">
        <v>6142</v>
      </c>
    </row>
    <row r="1334" spans="1:3">
      <c r="A1334" s="15" t="s">
        <v>6143</v>
      </c>
      <c r="B1334" s="15" t="s">
        <v>13</v>
      </c>
      <c r="C1334" s="1" t="s">
        <v>6144</v>
      </c>
    </row>
    <row r="1335" spans="1:3">
      <c r="A1335" s="15" t="s">
        <v>6145</v>
      </c>
      <c r="B1335" s="15" t="s">
        <v>1951</v>
      </c>
      <c r="C1335" s="15" t="s">
        <v>6146</v>
      </c>
    </row>
    <row r="1336" spans="1:3">
      <c r="A1336" s="15" t="s">
        <v>6147</v>
      </c>
      <c r="B1336" s="15" t="s">
        <v>3486</v>
      </c>
      <c r="C1336" s="1" t="s">
        <v>6148</v>
      </c>
    </row>
    <row r="1337" spans="1:3">
      <c r="A1337" s="15" t="s">
        <v>6149</v>
      </c>
      <c r="B1337" s="15" t="s">
        <v>2798</v>
      </c>
      <c r="C1337" s="1" t="s">
        <v>6150</v>
      </c>
    </row>
    <row r="1338" spans="1:3">
      <c r="A1338" s="15" t="s">
        <v>6151</v>
      </c>
      <c r="B1338" s="15" t="s">
        <v>1756</v>
      </c>
      <c r="C1338" s="1" t="s">
        <v>6152</v>
      </c>
    </row>
    <row r="1339" spans="1:3">
      <c r="A1339" s="15" t="s">
        <v>6153</v>
      </c>
      <c r="B1339" s="15" t="s">
        <v>1077</v>
      </c>
      <c r="C1339" s="15" t="s">
        <v>6154</v>
      </c>
    </row>
    <row r="1340" spans="1:3">
      <c r="A1340" s="15" t="s">
        <v>6155</v>
      </c>
      <c r="B1340" s="15" t="s">
        <v>3543</v>
      </c>
      <c r="C1340" s="1" t="s">
        <v>6156</v>
      </c>
    </row>
    <row r="1341" spans="1:3">
      <c r="A1341" s="15" t="s">
        <v>6157</v>
      </c>
      <c r="B1341" s="15" t="s">
        <v>6158</v>
      </c>
      <c r="C1341" s="1" t="s">
        <v>6159</v>
      </c>
    </row>
    <row r="1342" spans="1:3">
      <c r="A1342" s="15" t="s">
        <v>6160</v>
      </c>
      <c r="B1342" s="15" t="s">
        <v>727</v>
      </c>
      <c r="C1342" s="1" t="s">
        <v>6161</v>
      </c>
    </row>
    <row r="1343" spans="1:3">
      <c r="A1343" s="15" t="s">
        <v>6162</v>
      </c>
      <c r="B1343" s="15" t="s">
        <v>198</v>
      </c>
      <c r="C1343" s="1" t="s">
        <v>6163</v>
      </c>
    </row>
    <row r="1344" spans="1:3">
      <c r="A1344" s="15" t="s">
        <v>6164</v>
      </c>
      <c r="B1344" s="15" t="s">
        <v>5722</v>
      </c>
      <c r="C1344" s="1" t="s">
        <v>6165</v>
      </c>
    </row>
    <row r="1345" spans="1:3">
      <c r="A1345" s="15" t="s">
        <v>6166</v>
      </c>
      <c r="B1345" s="15" t="s">
        <v>3543</v>
      </c>
      <c r="C1345" s="1" t="s">
        <v>6167</v>
      </c>
    </row>
    <row r="1346" spans="1:3">
      <c r="A1346" s="15" t="s">
        <v>6168</v>
      </c>
      <c r="B1346" s="15" t="s">
        <v>2377</v>
      </c>
      <c r="C1346" s="1" t="s">
        <v>6169</v>
      </c>
    </row>
    <row r="1347" spans="1:3">
      <c r="A1347" s="15" t="s">
        <v>6170</v>
      </c>
      <c r="B1347" s="15" t="s">
        <v>4313</v>
      </c>
      <c r="C1347" s="1" t="s">
        <v>6171</v>
      </c>
    </row>
    <row r="1348" spans="1:3">
      <c r="A1348" s="15" t="s">
        <v>6172</v>
      </c>
      <c r="B1348" s="15" t="s">
        <v>3161</v>
      </c>
      <c r="C1348" s="1" t="s">
        <v>2343</v>
      </c>
    </row>
    <row r="1349" spans="1:3">
      <c r="A1349" s="15" t="s">
        <v>6173</v>
      </c>
      <c r="B1349" s="15" t="s">
        <v>322</v>
      </c>
      <c r="C1349" s="1" t="s">
        <v>6174</v>
      </c>
    </row>
    <row r="1350" spans="1:3">
      <c r="A1350" s="15" t="s">
        <v>6175</v>
      </c>
      <c r="B1350" s="15" t="s">
        <v>90</v>
      </c>
      <c r="C1350" s="1" t="s">
        <v>6176</v>
      </c>
    </row>
    <row r="1351" spans="1:3">
      <c r="A1351" s="15" t="s">
        <v>6177</v>
      </c>
      <c r="B1351" s="15" t="s">
        <v>45</v>
      </c>
      <c r="C1351" s="1" t="s">
        <v>6178</v>
      </c>
    </row>
    <row r="1352" spans="1:3">
      <c r="A1352" s="15" t="s">
        <v>6179</v>
      </c>
      <c r="B1352" s="15" t="s">
        <v>30</v>
      </c>
      <c r="C1352" s="1" t="s">
        <v>6180</v>
      </c>
    </row>
    <row r="1353" spans="1:3">
      <c r="A1353" s="15" t="s">
        <v>6181</v>
      </c>
      <c r="B1353" s="15" t="s">
        <v>6182</v>
      </c>
      <c r="C1353" s="15" t="s">
        <v>6183</v>
      </c>
    </row>
    <row r="1354" spans="1:3">
      <c r="A1354" s="15" t="s">
        <v>6184</v>
      </c>
      <c r="B1354" s="15" t="s">
        <v>195</v>
      </c>
      <c r="C1354" s="15" t="s">
        <v>6185</v>
      </c>
    </row>
    <row r="1355" spans="1:3">
      <c r="A1355" s="15" t="s">
        <v>6186</v>
      </c>
      <c r="B1355" s="15" t="s">
        <v>3217</v>
      </c>
      <c r="C1355" s="15" t="s">
        <v>3218</v>
      </c>
    </row>
    <row r="1356" spans="1:3">
      <c r="A1356" s="15" t="s">
        <v>6187</v>
      </c>
      <c r="B1356" s="15" t="s">
        <v>3486</v>
      </c>
      <c r="C1356" s="1" t="s">
        <v>6188</v>
      </c>
    </row>
    <row r="1357" spans="1:3">
      <c r="A1357" s="15" t="s">
        <v>6189</v>
      </c>
      <c r="B1357" s="15" t="s">
        <v>6190</v>
      </c>
      <c r="C1357" s="1" t="s">
        <v>6191</v>
      </c>
    </row>
    <row r="1358" spans="1:3">
      <c r="A1358" s="15" t="s">
        <v>6192</v>
      </c>
      <c r="B1358" s="15" t="s">
        <v>3863</v>
      </c>
      <c r="C1358" s="1" t="s">
        <v>6193</v>
      </c>
    </row>
    <row r="1359" spans="1:3">
      <c r="A1359" s="15" t="s">
        <v>6194</v>
      </c>
      <c r="B1359" s="15" t="s">
        <v>6195</v>
      </c>
      <c r="C1359" s="1" t="s">
        <v>6196</v>
      </c>
    </row>
    <row r="1360" spans="1:3">
      <c r="A1360" s="15" t="s">
        <v>6197</v>
      </c>
      <c r="B1360" s="15" t="s">
        <v>6198</v>
      </c>
      <c r="C1360" s="1" t="s">
        <v>6199</v>
      </c>
    </row>
    <row r="1361" spans="1:3">
      <c r="A1361" s="15" t="s">
        <v>6200</v>
      </c>
      <c r="B1361" s="15" t="s">
        <v>5460</v>
      </c>
      <c r="C1361" s="15" t="s">
        <v>6201</v>
      </c>
    </row>
    <row r="1362" spans="1:3">
      <c r="A1362" s="15" t="s">
        <v>6202</v>
      </c>
      <c r="B1362" s="15" t="s">
        <v>1254</v>
      </c>
      <c r="C1362" s="15" t="s">
        <v>6203</v>
      </c>
    </row>
    <row r="1363" spans="1:3">
      <c r="A1363" s="15" t="s">
        <v>6204</v>
      </c>
      <c r="B1363" s="15" t="s">
        <v>201</v>
      </c>
      <c r="C1363" s="1" t="s">
        <v>6205</v>
      </c>
    </row>
    <row r="1364" spans="1:3">
      <c r="A1364" s="15" t="s">
        <v>6206</v>
      </c>
      <c r="B1364" s="15" t="s">
        <v>118</v>
      </c>
      <c r="C1364" s="15" t="s">
        <v>6207</v>
      </c>
    </row>
    <row r="1365" spans="1:3">
      <c r="A1365" s="15" t="s">
        <v>6208</v>
      </c>
      <c r="B1365" s="15" t="s">
        <v>5199</v>
      </c>
      <c r="C1365" s="1" t="s">
        <v>6209</v>
      </c>
    </row>
    <row r="1366" spans="1:3">
      <c r="A1366" s="15" t="s">
        <v>6210</v>
      </c>
      <c r="B1366" s="15" t="s">
        <v>65</v>
      </c>
      <c r="C1366" s="1" t="s">
        <v>6211</v>
      </c>
    </row>
    <row r="1367" spans="1:3">
      <c r="A1367" s="15" t="s">
        <v>6212</v>
      </c>
      <c r="B1367" s="15" t="s">
        <v>3228</v>
      </c>
      <c r="C1367" s="1" t="s">
        <v>3229</v>
      </c>
    </row>
    <row r="1368" spans="1:3">
      <c r="A1368" s="15" t="s">
        <v>6213</v>
      </c>
      <c r="B1368" s="15" t="s">
        <v>2226</v>
      </c>
      <c r="C1368" s="1" t="s">
        <v>3211</v>
      </c>
    </row>
    <row r="1369" spans="1:3">
      <c r="A1369" s="15" t="s">
        <v>6214</v>
      </c>
      <c r="B1369" s="15" t="s">
        <v>22</v>
      </c>
      <c r="C1369" s="15" t="s">
        <v>2893</v>
      </c>
    </row>
    <row r="1370" spans="1:3">
      <c r="A1370" s="15" t="s">
        <v>6215</v>
      </c>
      <c r="B1370" s="15" t="s">
        <v>6216</v>
      </c>
      <c r="C1370" s="1" t="s">
        <v>6217</v>
      </c>
    </row>
    <row r="1371" spans="1:3">
      <c r="A1371" s="15" t="s">
        <v>6218</v>
      </c>
      <c r="B1371" s="15" t="s">
        <v>3790</v>
      </c>
      <c r="C1371" s="1" t="s">
        <v>6219</v>
      </c>
    </row>
    <row r="1372" spans="1:3">
      <c r="A1372" s="15" t="s">
        <v>6220</v>
      </c>
      <c r="B1372" s="15" t="s">
        <v>3124</v>
      </c>
      <c r="C1372" s="15" t="s">
        <v>3125</v>
      </c>
    </row>
    <row r="1373" spans="1:3">
      <c r="A1373" s="15" t="s">
        <v>6221</v>
      </c>
      <c r="B1373" s="15" t="s">
        <v>3486</v>
      </c>
      <c r="C1373" s="15" t="s">
        <v>6222</v>
      </c>
    </row>
    <row r="1374" spans="1:3">
      <c r="A1374" s="15" t="s">
        <v>6223</v>
      </c>
      <c r="B1374" s="15" t="s">
        <v>9</v>
      </c>
      <c r="C1374" s="15" t="s">
        <v>3321</v>
      </c>
    </row>
    <row r="1375" spans="1:3">
      <c r="A1375" s="15" t="s">
        <v>6224</v>
      </c>
      <c r="B1375" s="15" t="s">
        <v>3543</v>
      </c>
      <c r="C1375" s="15" t="s">
        <v>6225</v>
      </c>
    </row>
    <row r="1376" spans="1:3">
      <c r="A1376" s="15" t="s">
        <v>6226</v>
      </c>
      <c r="B1376" s="15" t="s">
        <v>5964</v>
      </c>
      <c r="C1376" s="15" t="s">
        <v>6227</v>
      </c>
    </row>
    <row r="1377" spans="1:3">
      <c r="A1377" s="15" t="s">
        <v>6228</v>
      </c>
      <c r="B1377" s="15" t="s">
        <v>5178</v>
      </c>
      <c r="C1377" s="1" t="s">
        <v>6229</v>
      </c>
    </row>
    <row r="1378" spans="1:3">
      <c r="A1378" s="15" t="s">
        <v>6230</v>
      </c>
      <c r="B1378" s="15" t="s">
        <v>3543</v>
      </c>
      <c r="C1378" s="15" t="s">
        <v>6231</v>
      </c>
    </row>
    <row r="1379" spans="1:3">
      <c r="A1379" s="15" t="s">
        <v>6232</v>
      </c>
      <c r="B1379" s="15" t="s">
        <v>3116</v>
      </c>
      <c r="C1379" s="15" t="s">
        <v>3221</v>
      </c>
    </row>
    <row r="1380" spans="1:3">
      <c r="A1380" s="15" t="s">
        <v>6233</v>
      </c>
      <c r="B1380" s="15" t="s">
        <v>6158</v>
      </c>
      <c r="C1380" s="1" t="s">
        <v>6234</v>
      </c>
    </row>
    <row r="1381" spans="1:3">
      <c r="A1381" s="15" t="s">
        <v>6235</v>
      </c>
      <c r="B1381" s="15" t="s">
        <v>9</v>
      </c>
      <c r="C1381" s="15" t="s">
        <v>10</v>
      </c>
    </row>
    <row r="1382" spans="1:3">
      <c r="A1382" s="15" t="s">
        <v>6236</v>
      </c>
      <c r="B1382" s="15" t="s">
        <v>3543</v>
      </c>
      <c r="C1382" s="15" t="s">
        <v>6237</v>
      </c>
    </row>
    <row r="1383" spans="1:3">
      <c r="A1383" s="15" t="s">
        <v>6238</v>
      </c>
      <c r="B1383" s="15" t="s">
        <v>4244</v>
      </c>
      <c r="C1383" s="15" t="s">
        <v>3152</v>
      </c>
    </row>
    <row r="1384" spans="1:3">
      <c r="A1384" s="15" t="s">
        <v>6239</v>
      </c>
      <c r="B1384" s="15" t="s">
        <v>9</v>
      </c>
      <c r="C1384" s="1" t="s">
        <v>10</v>
      </c>
    </row>
    <row r="1385" spans="1:3">
      <c r="A1385" s="15" t="s">
        <v>6240</v>
      </c>
      <c r="B1385" s="15" t="s">
        <v>6241</v>
      </c>
      <c r="C1385" s="1" t="s">
        <v>6242</v>
      </c>
    </row>
    <row r="1386" spans="1:3">
      <c r="A1386" s="15" t="s">
        <v>6243</v>
      </c>
      <c r="B1386" s="15" t="s">
        <v>30</v>
      </c>
      <c r="C1386" s="15" t="s">
        <v>6244</v>
      </c>
    </row>
    <row r="1387" spans="1:3">
      <c r="A1387" s="15" t="s">
        <v>6245</v>
      </c>
      <c r="B1387" s="15" t="s">
        <v>322</v>
      </c>
      <c r="C1387" s="15" t="s">
        <v>6246</v>
      </c>
    </row>
    <row r="1388" spans="1:3">
      <c r="A1388" s="15" t="s">
        <v>6247</v>
      </c>
      <c r="B1388" s="15" t="s">
        <v>3790</v>
      </c>
      <c r="C1388" s="15" t="s">
        <v>6248</v>
      </c>
    </row>
    <row r="1389" spans="1:3">
      <c r="A1389" s="15" t="s">
        <v>6249</v>
      </c>
      <c r="B1389" s="15" t="s">
        <v>2939</v>
      </c>
      <c r="C1389" s="15" t="s">
        <v>6250</v>
      </c>
    </row>
    <row r="1390" spans="1:3">
      <c r="A1390" s="15" t="s">
        <v>6251</v>
      </c>
      <c r="B1390" s="15" t="s">
        <v>5964</v>
      </c>
      <c r="C1390" s="15" t="s">
        <v>6252</v>
      </c>
    </row>
    <row r="1391" spans="1:3">
      <c r="A1391" s="15" t="s">
        <v>6253</v>
      </c>
      <c r="B1391" s="15" t="s">
        <v>2927</v>
      </c>
      <c r="C1391" s="1" t="s">
        <v>6254</v>
      </c>
    </row>
    <row r="1392" spans="1:3">
      <c r="A1392" s="15" t="s">
        <v>6255</v>
      </c>
      <c r="B1392" s="15" t="s">
        <v>90</v>
      </c>
      <c r="C1392" s="1" t="s">
        <v>6256</v>
      </c>
    </row>
    <row r="1393" spans="1:3">
      <c r="A1393" s="15" t="s">
        <v>6257</v>
      </c>
      <c r="B1393" s="15" t="s">
        <v>30</v>
      </c>
      <c r="C1393" s="15" t="s">
        <v>3410</v>
      </c>
    </row>
    <row r="1394" spans="1:3">
      <c r="A1394" s="15" t="s">
        <v>6258</v>
      </c>
      <c r="B1394" s="15" t="s">
        <v>4977</v>
      </c>
      <c r="C1394" s="15" t="s">
        <v>6259</v>
      </c>
    </row>
    <row r="1395" spans="1:3">
      <c r="A1395" s="15" t="s">
        <v>6260</v>
      </c>
      <c r="B1395" s="15" t="s">
        <v>322</v>
      </c>
      <c r="C1395" s="1" t="s">
        <v>6261</v>
      </c>
    </row>
    <row r="1396" spans="1:3">
      <c r="A1396" s="15" t="s">
        <v>6262</v>
      </c>
      <c r="B1396" s="15" t="s">
        <v>263</v>
      </c>
      <c r="C1396" s="1" t="s">
        <v>3227</v>
      </c>
    </row>
    <row r="1397" spans="1:3">
      <c r="A1397" s="15" t="s">
        <v>6263</v>
      </c>
      <c r="B1397" s="15" t="s">
        <v>30</v>
      </c>
      <c r="C1397" s="1" t="s">
        <v>6180</v>
      </c>
    </row>
    <row r="1398" spans="1:3">
      <c r="A1398" s="15" t="s">
        <v>6264</v>
      </c>
      <c r="B1398" s="15" t="s">
        <v>3787</v>
      </c>
      <c r="C1398" s="15" t="s">
        <v>6265</v>
      </c>
    </row>
    <row r="1399" spans="1:3">
      <c r="A1399" s="15" t="s">
        <v>6266</v>
      </c>
      <c r="B1399" s="15" t="s">
        <v>195</v>
      </c>
      <c r="C1399" s="1" t="s">
        <v>3409</v>
      </c>
    </row>
    <row r="1400" spans="1:3">
      <c r="A1400" s="15" t="s">
        <v>6267</v>
      </c>
      <c r="B1400" s="15" t="s">
        <v>5406</v>
      </c>
      <c r="C1400" s="1" t="s">
        <v>6268</v>
      </c>
    </row>
    <row r="1401" spans="1:3">
      <c r="A1401" s="15" t="s">
        <v>6269</v>
      </c>
      <c r="B1401" s="15" t="s">
        <v>198</v>
      </c>
      <c r="C1401" s="1" t="s">
        <v>3260</v>
      </c>
    </row>
    <row r="1402" spans="1:3">
      <c r="A1402" s="15" t="s">
        <v>6270</v>
      </c>
      <c r="B1402" s="15" t="s">
        <v>5929</v>
      </c>
      <c r="C1402" s="1" t="s">
        <v>6271</v>
      </c>
    </row>
    <row r="1403" spans="1:3">
      <c r="A1403" s="15" t="s">
        <v>6272</v>
      </c>
      <c r="B1403" s="15" t="s">
        <v>3787</v>
      </c>
      <c r="C1403" s="15" t="s">
        <v>6273</v>
      </c>
    </row>
    <row r="1404" spans="1:3">
      <c r="A1404" s="15" t="s">
        <v>6274</v>
      </c>
      <c r="B1404" s="15" t="s">
        <v>24</v>
      </c>
      <c r="C1404" s="1" t="s">
        <v>3233</v>
      </c>
    </row>
    <row r="1405" spans="1:3">
      <c r="A1405" s="15" t="s">
        <v>6275</v>
      </c>
      <c r="B1405" s="15" t="s">
        <v>3543</v>
      </c>
      <c r="C1405" s="15" t="s">
        <v>6276</v>
      </c>
    </row>
    <row r="1406" spans="1:3">
      <c r="A1406" s="15" t="s">
        <v>6277</v>
      </c>
      <c r="B1406" s="15" t="s">
        <v>3197</v>
      </c>
      <c r="C1406" s="15" t="s">
        <v>6278</v>
      </c>
    </row>
    <row r="1407" spans="1:3">
      <c r="A1407" s="15" t="s">
        <v>6279</v>
      </c>
      <c r="B1407" s="15" t="s">
        <v>3154</v>
      </c>
      <c r="C1407" s="15" t="s">
        <v>3155</v>
      </c>
    </row>
    <row r="1408" spans="1:3">
      <c r="A1408" s="15" t="s">
        <v>6280</v>
      </c>
      <c r="B1408" s="15" t="s">
        <v>3459</v>
      </c>
      <c r="C1408" s="15" t="s">
        <v>3460</v>
      </c>
    </row>
    <row r="1409" spans="1:3">
      <c r="A1409" s="15" t="s">
        <v>6281</v>
      </c>
      <c r="B1409" s="15" t="s">
        <v>6282</v>
      </c>
      <c r="C1409" s="15" t="s">
        <v>6283</v>
      </c>
    </row>
    <row r="1410" spans="1:3">
      <c r="A1410" s="15" t="s">
        <v>6284</v>
      </c>
      <c r="B1410" s="15" t="s">
        <v>6285</v>
      </c>
      <c r="C1410" s="1" t="s">
        <v>6286</v>
      </c>
    </row>
    <row r="1411" spans="1:3">
      <c r="A1411" s="15" t="s">
        <v>6287</v>
      </c>
      <c r="B1411" s="15" t="s">
        <v>143</v>
      </c>
      <c r="C1411" s="1" t="s">
        <v>6288</v>
      </c>
    </row>
    <row r="1412" spans="1:3">
      <c r="A1412" s="15" t="s">
        <v>6289</v>
      </c>
      <c r="B1412" s="15" t="s">
        <v>33</v>
      </c>
      <c r="C1412" s="1" t="s">
        <v>6290</v>
      </c>
    </row>
    <row r="1413" spans="1:3">
      <c r="A1413" s="15" t="s">
        <v>6291</v>
      </c>
      <c r="B1413" s="15" t="s">
        <v>3112</v>
      </c>
      <c r="C1413" s="1" t="s">
        <v>6292</v>
      </c>
    </row>
    <row r="1414" spans="1:3">
      <c r="A1414" s="15" t="s">
        <v>6293</v>
      </c>
      <c r="B1414" s="15" t="s">
        <v>2468</v>
      </c>
      <c r="C1414" s="1" t="s">
        <v>6294</v>
      </c>
    </row>
    <row r="1415" spans="1:3">
      <c r="A1415" s="15" t="s">
        <v>6295</v>
      </c>
      <c r="B1415" s="15" t="s">
        <v>3543</v>
      </c>
      <c r="C1415" s="1" t="s">
        <v>6296</v>
      </c>
    </row>
    <row r="1416" spans="1:3">
      <c r="A1416" s="15" t="s">
        <v>6297</v>
      </c>
      <c r="B1416" s="15" t="s">
        <v>16</v>
      </c>
      <c r="C1416" s="15" t="s">
        <v>6298</v>
      </c>
    </row>
    <row r="1417" spans="1:3">
      <c r="A1417" s="15" t="s">
        <v>6299</v>
      </c>
      <c r="B1417" s="15" t="s">
        <v>6300</v>
      </c>
      <c r="C1417" s="1" t="s">
        <v>6301</v>
      </c>
    </row>
    <row r="1418" spans="1:3">
      <c r="A1418" s="15" t="s">
        <v>6302</v>
      </c>
      <c r="B1418" s="15" t="s">
        <v>3627</v>
      </c>
      <c r="C1418" s="1" t="s">
        <v>6303</v>
      </c>
    </row>
    <row r="1419" spans="1:3">
      <c r="A1419" s="15" t="s">
        <v>6304</v>
      </c>
      <c r="B1419" s="15" t="s">
        <v>3790</v>
      </c>
      <c r="C1419" s="1" t="s">
        <v>6305</v>
      </c>
    </row>
    <row r="1420" spans="1:3">
      <c r="A1420" s="15" t="s">
        <v>6306</v>
      </c>
      <c r="B1420" s="15" t="s">
        <v>1463</v>
      </c>
      <c r="C1420" s="15" t="s">
        <v>3417</v>
      </c>
    </row>
    <row r="1421" spans="1:3">
      <c r="A1421" s="15" t="s">
        <v>6307</v>
      </c>
      <c r="B1421" s="15" t="s">
        <v>30</v>
      </c>
      <c r="C1421" s="15" t="s">
        <v>6308</v>
      </c>
    </row>
    <row r="1422" spans="1:3">
      <c r="A1422" s="15" t="s">
        <v>6309</v>
      </c>
      <c r="B1422" s="15" t="s">
        <v>5466</v>
      </c>
      <c r="C1422" s="1" t="s">
        <v>6310</v>
      </c>
    </row>
    <row r="1423" spans="1:3">
      <c r="A1423" s="15" t="s">
        <v>6311</v>
      </c>
      <c r="B1423" s="15" t="s">
        <v>5862</v>
      </c>
      <c r="C1423" s="1" t="s">
        <v>6312</v>
      </c>
    </row>
    <row r="1424" spans="1:3">
      <c r="A1424" s="15" t="s">
        <v>6313</v>
      </c>
      <c r="B1424" s="15" t="s">
        <v>322</v>
      </c>
      <c r="C1424" s="1" t="s">
        <v>6314</v>
      </c>
    </row>
    <row r="1425" spans="1:3">
      <c r="A1425" s="15" t="s">
        <v>6315</v>
      </c>
      <c r="B1425" s="15" t="s">
        <v>118</v>
      </c>
      <c r="C1425" s="15" t="s">
        <v>6316</v>
      </c>
    </row>
    <row r="1426" spans="1:3">
      <c r="A1426" s="15" t="s">
        <v>6317</v>
      </c>
      <c r="B1426" s="15" t="s">
        <v>2967</v>
      </c>
      <c r="C1426" s="1" t="s">
        <v>6318</v>
      </c>
    </row>
    <row r="1427" spans="1:3">
      <c r="A1427" s="15" t="s">
        <v>6319</v>
      </c>
      <c r="B1427" s="15" t="s">
        <v>6320</v>
      </c>
      <c r="C1427" s="1" t="s">
        <v>43</v>
      </c>
    </row>
    <row r="1428" spans="1:3">
      <c r="A1428" s="15" t="s">
        <v>6321</v>
      </c>
      <c r="B1428" s="15" t="s">
        <v>3659</v>
      </c>
      <c r="C1428" s="1" t="s">
        <v>6322</v>
      </c>
    </row>
    <row r="1429" spans="1:3">
      <c r="A1429" s="15" t="s">
        <v>6323</v>
      </c>
      <c r="B1429" s="15" t="s">
        <v>4994</v>
      </c>
      <c r="C1429" s="1" t="s">
        <v>2950</v>
      </c>
    </row>
    <row r="1430" spans="1:3">
      <c r="A1430" s="15" t="s">
        <v>6324</v>
      </c>
      <c r="B1430" s="15" t="s">
        <v>30</v>
      </c>
      <c r="C1430" s="15" t="s">
        <v>3410</v>
      </c>
    </row>
    <row r="1431" spans="1:3">
      <c r="A1431" s="15" t="s">
        <v>6325</v>
      </c>
      <c r="B1431" s="15" t="s">
        <v>6326</v>
      </c>
      <c r="C1431" s="1" t="s">
        <v>6327</v>
      </c>
    </row>
    <row r="1432" spans="1:3">
      <c r="A1432" s="15" t="s">
        <v>6328</v>
      </c>
      <c r="B1432" s="15" t="s">
        <v>163</v>
      </c>
      <c r="C1432" s="1" t="s">
        <v>164</v>
      </c>
    </row>
    <row r="1433" spans="1:3">
      <c r="A1433" s="15" t="s">
        <v>6329</v>
      </c>
      <c r="B1433" s="15" t="s">
        <v>198</v>
      </c>
      <c r="C1433" s="1" t="s">
        <v>6330</v>
      </c>
    </row>
    <row r="1434" spans="1:3">
      <c r="A1434" s="15" t="s">
        <v>6331</v>
      </c>
      <c r="B1434" s="15" t="s">
        <v>6332</v>
      </c>
      <c r="C1434" s="1" t="s">
        <v>3286</v>
      </c>
    </row>
    <row r="1435" spans="1:3">
      <c r="A1435" s="15" t="s">
        <v>6333</v>
      </c>
      <c r="B1435" s="15" t="s">
        <v>3486</v>
      </c>
      <c r="C1435" s="1" t="s">
        <v>6334</v>
      </c>
    </row>
    <row r="1436" spans="1:3">
      <c r="A1436" s="15" t="s">
        <v>6335</v>
      </c>
      <c r="B1436" s="15" t="s">
        <v>198</v>
      </c>
      <c r="C1436" s="1" t="s">
        <v>6336</v>
      </c>
    </row>
    <row r="1437" spans="1:3">
      <c r="A1437" s="15" t="s">
        <v>6337</v>
      </c>
      <c r="B1437" s="15" t="s">
        <v>1202</v>
      </c>
      <c r="C1437" s="1" t="s">
        <v>6338</v>
      </c>
    </row>
    <row r="1438" spans="1:3">
      <c r="A1438" s="15" t="s">
        <v>6339</v>
      </c>
      <c r="B1438" s="15" t="s">
        <v>322</v>
      </c>
      <c r="C1438" s="1" t="s">
        <v>6340</v>
      </c>
    </row>
    <row r="1439" spans="1:3">
      <c r="A1439" s="15" t="s">
        <v>6341</v>
      </c>
      <c r="B1439" s="15" t="s">
        <v>6342</v>
      </c>
      <c r="C1439" s="1" t="s">
        <v>6343</v>
      </c>
    </row>
    <row r="1440" spans="1:3">
      <c r="A1440" s="15" t="s">
        <v>6344</v>
      </c>
      <c r="B1440" s="15" t="s">
        <v>3173</v>
      </c>
      <c r="C1440" s="1" t="s">
        <v>6345</v>
      </c>
    </row>
    <row r="1441" spans="1:3">
      <c r="A1441" s="15" t="s">
        <v>6346</v>
      </c>
      <c r="B1441" s="15" t="s">
        <v>3154</v>
      </c>
      <c r="C1441" s="1" t="s">
        <v>6347</v>
      </c>
    </row>
    <row r="1442" spans="1:3">
      <c r="A1442" s="15" t="s">
        <v>6348</v>
      </c>
      <c r="B1442" s="15" t="s">
        <v>3594</v>
      </c>
      <c r="C1442" s="1" t="s">
        <v>6349</v>
      </c>
    </row>
    <row r="1443" spans="1:3">
      <c r="A1443" s="15" t="s">
        <v>6350</v>
      </c>
      <c r="B1443" s="15" t="s">
        <v>3197</v>
      </c>
      <c r="C1443" s="1" t="s">
        <v>6351</v>
      </c>
    </row>
    <row r="1444" spans="1:3">
      <c r="A1444" s="15" t="s">
        <v>6352</v>
      </c>
      <c r="B1444" s="15" t="s">
        <v>5618</v>
      </c>
      <c r="C1444" s="1" t="s">
        <v>6353</v>
      </c>
    </row>
    <row r="1445" spans="1:3">
      <c r="A1445" s="15" t="s">
        <v>6354</v>
      </c>
      <c r="B1445" s="15" t="s">
        <v>6355</v>
      </c>
      <c r="C1445" s="1" t="s">
        <v>6356</v>
      </c>
    </row>
    <row r="1446" spans="1:3">
      <c r="A1446" s="15" t="s">
        <v>6357</v>
      </c>
      <c r="B1446" s="15" t="s">
        <v>6358</v>
      </c>
      <c r="C1446" s="1" t="s">
        <v>6359</v>
      </c>
    </row>
    <row r="1447" spans="1:3">
      <c r="A1447" s="15" t="s">
        <v>6360</v>
      </c>
      <c r="B1447" s="15" t="s">
        <v>6141</v>
      </c>
      <c r="C1447" s="1" t="s">
        <v>6361</v>
      </c>
    </row>
    <row r="1448" spans="1:3">
      <c r="A1448" s="15" t="s">
        <v>6362</v>
      </c>
      <c r="B1448" s="15" t="s">
        <v>6363</v>
      </c>
      <c r="C1448" s="1" t="s">
        <v>6364</v>
      </c>
    </row>
    <row r="1449" spans="1:3">
      <c r="A1449" s="15" t="s">
        <v>6365</v>
      </c>
      <c r="B1449" s="15" t="s">
        <v>1429</v>
      </c>
      <c r="C1449" s="1" t="s">
        <v>6366</v>
      </c>
    </row>
    <row r="1450" spans="1:3">
      <c r="A1450" s="15" t="s">
        <v>6367</v>
      </c>
      <c r="B1450" s="15" t="s">
        <v>6368</v>
      </c>
      <c r="C1450" s="1" t="s">
        <v>6369</v>
      </c>
    </row>
    <row r="1451" spans="1:3">
      <c r="A1451" s="15" t="s">
        <v>6370</v>
      </c>
      <c r="B1451" s="15" t="s">
        <v>6371</v>
      </c>
      <c r="C1451" s="1" t="s">
        <v>6372</v>
      </c>
    </row>
    <row r="1452" spans="1:3">
      <c r="A1452" s="15" t="s">
        <v>6373</v>
      </c>
      <c r="B1452" s="15" t="s">
        <v>3367</v>
      </c>
      <c r="C1452" s="1" t="s">
        <v>6374</v>
      </c>
    </row>
    <row r="1453" spans="1:3">
      <c r="A1453" s="15" t="s">
        <v>6375</v>
      </c>
      <c r="B1453" s="15" t="s">
        <v>4355</v>
      </c>
      <c r="C1453" s="1" t="s">
        <v>6376</v>
      </c>
    </row>
    <row r="1454" spans="1:3">
      <c r="A1454" s="15" t="s">
        <v>6377</v>
      </c>
      <c r="B1454" s="15" t="s">
        <v>161</v>
      </c>
      <c r="C1454" s="1" t="s">
        <v>6378</v>
      </c>
    </row>
    <row r="1455" spans="1:3">
      <c r="A1455" s="15" t="s">
        <v>6379</v>
      </c>
      <c r="B1455" s="15" t="s">
        <v>3586</v>
      </c>
      <c r="C1455" s="15" t="s">
        <v>6380</v>
      </c>
    </row>
    <row r="1456" spans="1:3">
      <c r="A1456" s="15" t="s">
        <v>6381</v>
      </c>
      <c r="B1456" s="15" t="s">
        <v>3173</v>
      </c>
      <c r="C1456" s="15" t="s">
        <v>6382</v>
      </c>
    </row>
    <row r="1457" spans="1:3">
      <c r="A1457" s="15" t="s">
        <v>6383</v>
      </c>
      <c r="B1457" s="15" t="s">
        <v>271</v>
      </c>
      <c r="C1457" s="15" t="s">
        <v>3186</v>
      </c>
    </row>
    <row r="1458" spans="1:3">
      <c r="A1458" s="15" t="s">
        <v>6384</v>
      </c>
      <c r="B1458" s="15" t="s">
        <v>5475</v>
      </c>
      <c r="C1458" s="1" t="s">
        <v>6385</v>
      </c>
    </row>
    <row r="1459" spans="1:3">
      <c r="A1459" s="15" t="s">
        <v>6386</v>
      </c>
      <c r="B1459" s="15" t="s">
        <v>195</v>
      </c>
      <c r="C1459" s="15" t="s">
        <v>233</v>
      </c>
    </row>
    <row r="1460" spans="1:3">
      <c r="A1460" s="15" t="s">
        <v>6387</v>
      </c>
      <c r="B1460" s="15" t="s">
        <v>30</v>
      </c>
      <c r="C1460" s="1" t="s">
        <v>6388</v>
      </c>
    </row>
    <row r="1461" spans="1:3">
      <c r="A1461" s="15" t="s">
        <v>6389</v>
      </c>
      <c r="B1461" s="15" t="s">
        <v>198</v>
      </c>
      <c r="C1461" s="15" t="s">
        <v>6390</v>
      </c>
    </row>
    <row r="1462" spans="1:3">
      <c r="A1462" s="15" t="s">
        <v>6391</v>
      </c>
      <c r="B1462" s="15" t="s">
        <v>3170</v>
      </c>
      <c r="C1462" s="15" t="s">
        <v>3317</v>
      </c>
    </row>
    <row r="1463" spans="1:3">
      <c r="A1463" s="15" t="s">
        <v>6392</v>
      </c>
      <c r="B1463" s="15" t="s">
        <v>4994</v>
      </c>
      <c r="C1463" s="1" t="s">
        <v>6393</v>
      </c>
    </row>
    <row r="1464" spans="1:3">
      <c r="A1464" s="15" t="s">
        <v>6394</v>
      </c>
      <c r="B1464" s="15" t="s">
        <v>6395</v>
      </c>
      <c r="C1464" s="1" t="s">
        <v>6396</v>
      </c>
    </row>
    <row r="1465" spans="1:3">
      <c r="A1465" s="15" t="s">
        <v>6397</v>
      </c>
      <c r="B1465" s="15" t="s">
        <v>4612</v>
      </c>
      <c r="C1465" s="15" t="s">
        <v>6398</v>
      </c>
    </row>
    <row r="1466" spans="1:3">
      <c r="A1466" s="15" t="s">
        <v>6399</v>
      </c>
      <c r="B1466" s="15" t="s">
        <v>201</v>
      </c>
      <c r="C1466" s="15" t="s">
        <v>3489</v>
      </c>
    </row>
    <row r="1467" spans="1:3">
      <c r="A1467" s="15" t="s">
        <v>6400</v>
      </c>
      <c r="B1467" s="15" t="s">
        <v>2998</v>
      </c>
      <c r="C1467" s="1" t="s">
        <v>6401</v>
      </c>
    </row>
    <row r="1468" spans="1:3">
      <c r="A1468" s="15" t="s">
        <v>6402</v>
      </c>
      <c r="B1468" s="15" t="s">
        <v>45</v>
      </c>
      <c r="C1468" s="15" t="s">
        <v>6403</v>
      </c>
    </row>
    <row r="1469" spans="1:3">
      <c r="A1469" s="15" t="s">
        <v>6404</v>
      </c>
      <c r="B1469" s="15" t="s">
        <v>3256</v>
      </c>
      <c r="C1469" s="15" t="s">
        <v>6405</v>
      </c>
    </row>
    <row r="1470" spans="1:3">
      <c r="A1470" s="15" t="s">
        <v>6406</v>
      </c>
      <c r="B1470" s="15" t="s">
        <v>322</v>
      </c>
      <c r="C1470" s="1" t="s">
        <v>6407</v>
      </c>
    </row>
    <row r="1471" spans="1:3">
      <c r="A1471" s="15" t="s">
        <v>6408</v>
      </c>
      <c r="B1471" s="15" t="s">
        <v>6409</v>
      </c>
      <c r="C1471" s="1" t="s">
        <v>6410</v>
      </c>
    </row>
    <row r="1472" spans="1:3">
      <c r="A1472" s="15" t="s">
        <v>6411</v>
      </c>
      <c r="B1472" s="15" t="s">
        <v>24</v>
      </c>
      <c r="C1472" s="1" t="s">
        <v>3168</v>
      </c>
    </row>
    <row r="1473" spans="1:3">
      <c r="A1473" s="15" t="s">
        <v>6412</v>
      </c>
      <c r="B1473" s="15" t="s">
        <v>322</v>
      </c>
      <c r="C1473" s="1" t="s">
        <v>6413</v>
      </c>
    </row>
    <row r="1474" spans="1:3">
      <c r="A1474" s="15" t="s">
        <v>6414</v>
      </c>
      <c r="B1474" s="15" t="s">
        <v>3231</v>
      </c>
      <c r="C1474" s="1" t="s">
        <v>6415</v>
      </c>
    </row>
    <row r="1475" spans="1:3">
      <c r="A1475" s="15" t="s">
        <v>6416</v>
      </c>
      <c r="B1475" s="15" t="s">
        <v>500</v>
      </c>
      <c r="C1475" s="1" t="s">
        <v>6417</v>
      </c>
    </row>
    <row r="1476" spans="1:3">
      <c r="A1476" s="15" t="s">
        <v>6418</v>
      </c>
      <c r="B1476" s="15" t="s">
        <v>30</v>
      </c>
      <c r="C1476" s="1" t="s">
        <v>3250</v>
      </c>
    </row>
    <row r="1477" spans="1:3">
      <c r="A1477" s="15" t="s">
        <v>6419</v>
      </c>
      <c r="B1477" s="15" t="s">
        <v>3272</v>
      </c>
      <c r="C1477" s="1" t="s">
        <v>6420</v>
      </c>
    </row>
    <row r="1478" spans="1:3">
      <c r="A1478" s="15" t="s">
        <v>6421</v>
      </c>
      <c r="B1478" s="15" t="s">
        <v>727</v>
      </c>
      <c r="C1478" s="1" t="s">
        <v>6422</v>
      </c>
    </row>
    <row r="1479" spans="1:3">
      <c r="A1479" s="15" t="s">
        <v>6423</v>
      </c>
      <c r="B1479" s="15" t="s">
        <v>3747</v>
      </c>
      <c r="C1479" s="1" t="s">
        <v>6424</v>
      </c>
    </row>
    <row r="1480" spans="1:3">
      <c r="A1480" s="15" t="s">
        <v>6425</v>
      </c>
      <c r="B1480" s="15" t="s">
        <v>322</v>
      </c>
      <c r="C1480" s="1" t="s">
        <v>6426</v>
      </c>
    </row>
    <row r="1481" spans="1:3">
      <c r="A1481" s="15" t="s">
        <v>6427</v>
      </c>
      <c r="B1481" s="15" t="s">
        <v>2998</v>
      </c>
      <c r="C1481" s="1" t="s">
        <v>6428</v>
      </c>
    </row>
    <row r="1482" spans="1:3">
      <c r="A1482" s="15" t="s">
        <v>6429</v>
      </c>
      <c r="B1482" s="15" t="s">
        <v>3519</v>
      </c>
      <c r="C1482" s="1" t="s">
        <v>6430</v>
      </c>
    </row>
    <row r="1483" spans="1:3">
      <c r="A1483" s="15" t="s">
        <v>6431</v>
      </c>
      <c r="B1483" s="15" t="s">
        <v>6432</v>
      </c>
      <c r="C1483" s="1" t="s">
        <v>6433</v>
      </c>
    </row>
    <row r="1484" spans="1:3">
      <c r="A1484" s="15" t="s">
        <v>6434</v>
      </c>
      <c r="B1484" s="15" t="s">
        <v>3659</v>
      </c>
      <c r="C1484" s="1" t="s">
        <v>6435</v>
      </c>
    </row>
    <row r="1485" spans="1:3">
      <c r="A1485" s="15" t="s">
        <v>6436</v>
      </c>
      <c r="B1485" s="15" t="s">
        <v>5971</v>
      </c>
      <c r="C1485" s="1" t="s">
        <v>6437</v>
      </c>
    </row>
    <row r="1486" spans="1:3">
      <c r="A1486" s="15" t="s">
        <v>6438</v>
      </c>
      <c r="B1486" s="15" t="s">
        <v>5964</v>
      </c>
      <c r="C1486" s="1" t="s">
        <v>6439</v>
      </c>
    </row>
    <row r="1487" spans="1:3">
      <c r="A1487" s="15" t="s">
        <v>6440</v>
      </c>
      <c r="B1487" s="15" t="s">
        <v>33</v>
      </c>
      <c r="C1487" s="1" t="s">
        <v>3399</v>
      </c>
    </row>
    <row r="1488" spans="1:3">
      <c r="A1488" s="15" t="s">
        <v>6441</v>
      </c>
      <c r="B1488" s="15" t="s">
        <v>2377</v>
      </c>
      <c r="C1488" s="1" t="s">
        <v>6442</v>
      </c>
    </row>
    <row r="1489" spans="1:3">
      <c r="A1489" s="15" t="s">
        <v>6443</v>
      </c>
      <c r="B1489" s="15" t="s">
        <v>500</v>
      </c>
      <c r="C1489" s="1" t="s">
        <v>6444</v>
      </c>
    </row>
    <row r="1490" spans="1:3">
      <c r="A1490" s="15" t="s">
        <v>6445</v>
      </c>
      <c r="B1490" s="15" t="s">
        <v>2587</v>
      </c>
      <c r="C1490" s="1" t="s">
        <v>5648</v>
      </c>
    </row>
    <row r="1491" spans="1:3">
      <c r="A1491" s="15" t="s">
        <v>6446</v>
      </c>
      <c r="B1491" s="15" t="s">
        <v>45</v>
      </c>
      <c r="C1491" s="1" t="s">
        <v>3192</v>
      </c>
    </row>
    <row r="1492" spans="1:3">
      <c r="A1492" s="15" t="s">
        <v>6447</v>
      </c>
      <c r="B1492" s="15" t="s">
        <v>3364</v>
      </c>
      <c r="C1492" s="1" t="s">
        <v>6448</v>
      </c>
    </row>
    <row r="1493" spans="1:3">
      <c r="A1493" s="15" t="s">
        <v>6449</v>
      </c>
      <c r="B1493" s="15" t="s">
        <v>2377</v>
      </c>
      <c r="C1493" s="1" t="s">
        <v>6450</v>
      </c>
    </row>
    <row r="1494" spans="1:3">
      <c r="A1494" s="15" t="s">
        <v>6451</v>
      </c>
      <c r="B1494" s="15" t="s">
        <v>3543</v>
      </c>
      <c r="C1494" s="1" t="s">
        <v>6452</v>
      </c>
    </row>
    <row r="1495" spans="1:3">
      <c r="A1495" s="15" t="s">
        <v>6453</v>
      </c>
      <c r="B1495" s="15" t="s">
        <v>322</v>
      </c>
      <c r="C1495" s="1" t="s">
        <v>6454</v>
      </c>
    </row>
    <row r="1496" spans="1:3">
      <c r="A1496" s="15" t="s">
        <v>6455</v>
      </c>
      <c r="B1496" s="15" t="s">
        <v>3267</v>
      </c>
      <c r="C1496" s="1" t="s">
        <v>3268</v>
      </c>
    </row>
    <row r="1497" spans="1:3">
      <c r="A1497" s="15" t="s">
        <v>6456</v>
      </c>
      <c r="B1497" s="15" t="s">
        <v>198</v>
      </c>
      <c r="C1497" s="1" t="s">
        <v>6457</v>
      </c>
    </row>
    <row r="1498" spans="1:3">
      <c r="A1498" s="15" t="s">
        <v>6458</v>
      </c>
      <c r="B1498" s="15" t="s">
        <v>230</v>
      </c>
      <c r="C1498" s="1" t="s">
        <v>6459</v>
      </c>
    </row>
    <row r="1499" spans="1:3">
      <c r="A1499" s="15" t="s">
        <v>6460</v>
      </c>
      <c r="B1499" s="15" t="s">
        <v>3790</v>
      </c>
      <c r="C1499" s="1" t="s">
        <v>6461</v>
      </c>
    </row>
    <row r="1500" spans="1:3">
      <c r="A1500" s="15" t="s">
        <v>6462</v>
      </c>
      <c r="B1500" s="15" t="s">
        <v>3543</v>
      </c>
      <c r="C1500" s="1" t="s">
        <v>6463</v>
      </c>
    </row>
    <row r="1501" spans="1:3">
      <c r="A1501" s="15" t="s">
        <v>6464</v>
      </c>
      <c r="B1501" s="15" t="s">
        <v>500</v>
      </c>
      <c r="C1501" s="1" t="s">
        <v>6465</v>
      </c>
    </row>
    <row r="1502" spans="1:3">
      <c r="A1502" s="15" t="s">
        <v>6466</v>
      </c>
      <c r="B1502" s="15" t="s">
        <v>24</v>
      </c>
      <c r="C1502" s="1" t="s">
        <v>6467</v>
      </c>
    </row>
    <row r="1503" spans="1:3">
      <c r="A1503" s="15" t="s">
        <v>6468</v>
      </c>
      <c r="B1503" s="15" t="s">
        <v>191</v>
      </c>
      <c r="C1503" s="1" t="s">
        <v>6469</v>
      </c>
    </row>
    <row r="1504" spans="1:3">
      <c r="A1504" s="15" t="s">
        <v>6470</v>
      </c>
      <c r="B1504" s="15" t="s">
        <v>3290</v>
      </c>
      <c r="C1504" s="15" t="s">
        <v>3291</v>
      </c>
    </row>
    <row r="1505" spans="1:3">
      <c r="A1505" s="15" t="s">
        <v>6471</v>
      </c>
      <c r="B1505" s="15" t="s">
        <v>3543</v>
      </c>
      <c r="C1505" s="1" t="s">
        <v>3475</v>
      </c>
    </row>
    <row r="1506" spans="1:3">
      <c r="A1506" s="15" t="s">
        <v>6472</v>
      </c>
      <c r="B1506" s="15" t="s">
        <v>6473</v>
      </c>
      <c r="C1506" s="1" t="s">
        <v>6474</v>
      </c>
    </row>
    <row r="1507" spans="1:3">
      <c r="A1507" s="15" t="s">
        <v>6475</v>
      </c>
      <c r="B1507" s="15" t="s">
        <v>118</v>
      </c>
      <c r="C1507" s="15" t="s">
        <v>6476</v>
      </c>
    </row>
    <row r="1508" spans="1:3">
      <c r="A1508" s="15" t="s">
        <v>6477</v>
      </c>
      <c r="B1508" s="15" t="s">
        <v>150</v>
      </c>
      <c r="C1508" s="31" t="s">
        <v>6478</v>
      </c>
    </row>
    <row r="1509" spans="1:3">
      <c r="A1509" s="15" t="s">
        <v>6479</v>
      </c>
      <c r="B1509" s="15" t="s">
        <v>4994</v>
      </c>
      <c r="C1509" s="1" t="s">
        <v>3363</v>
      </c>
    </row>
    <row r="1510" spans="1:3">
      <c r="A1510" s="15" t="s">
        <v>6480</v>
      </c>
      <c r="B1510" s="15" t="s">
        <v>6481</v>
      </c>
      <c r="C1510" s="1" t="s">
        <v>6482</v>
      </c>
    </row>
    <row r="1511" spans="1:3">
      <c r="A1511" s="15" t="s">
        <v>6483</v>
      </c>
      <c r="B1511" s="15" t="s">
        <v>201</v>
      </c>
      <c r="C1511" s="1" t="s">
        <v>6484</v>
      </c>
    </row>
    <row r="1512" spans="1:3">
      <c r="A1512" s="15" t="s">
        <v>6485</v>
      </c>
      <c r="B1512" s="15" t="s">
        <v>5418</v>
      </c>
      <c r="C1512" s="1" t="s">
        <v>6486</v>
      </c>
    </row>
    <row r="1513" spans="1:3">
      <c r="A1513" s="15" t="s">
        <v>6487</v>
      </c>
      <c r="B1513" s="15" t="s">
        <v>4999</v>
      </c>
      <c r="C1513" s="1" t="s">
        <v>6488</v>
      </c>
    </row>
    <row r="1514" spans="1:3">
      <c r="A1514" s="15" t="s">
        <v>6489</v>
      </c>
      <c r="B1514" s="15" t="s">
        <v>198</v>
      </c>
      <c r="C1514" s="1" t="s">
        <v>6490</v>
      </c>
    </row>
    <row r="1515" spans="1:3">
      <c r="A1515" s="15" t="s">
        <v>6491</v>
      </c>
      <c r="B1515" s="15" t="s">
        <v>2983</v>
      </c>
      <c r="C1515" s="1" t="s">
        <v>3262</v>
      </c>
    </row>
    <row r="1516" spans="1:3">
      <c r="A1516" s="15" t="s">
        <v>6492</v>
      </c>
      <c r="B1516" s="15" t="s">
        <v>6493</v>
      </c>
      <c r="C1516" s="1" t="s">
        <v>6494</v>
      </c>
    </row>
    <row r="1517" spans="1:3">
      <c r="A1517" s="15" t="s">
        <v>6495</v>
      </c>
      <c r="B1517" s="15" t="s">
        <v>3339</v>
      </c>
      <c r="C1517" s="1" t="s">
        <v>6496</v>
      </c>
    </row>
    <row r="1518" spans="1:3">
      <c r="A1518" s="15" t="s">
        <v>6497</v>
      </c>
      <c r="B1518" s="15" t="s">
        <v>6498</v>
      </c>
      <c r="C1518" s="1" t="s">
        <v>6499</v>
      </c>
    </row>
    <row r="1519" spans="1:3">
      <c r="A1519" s="15" t="s">
        <v>6500</v>
      </c>
      <c r="B1519" s="15" t="s">
        <v>3685</v>
      </c>
      <c r="C1519" s="1" t="s">
        <v>6501</v>
      </c>
    </row>
    <row r="1520" spans="1:3">
      <c r="A1520" s="15" t="s">
        <v>6502</v>
      </c>
      <c r="B1520" s="15" t="s">
        <v>3790</v>
      </c>
      <c r="C1520" s="1" t="s">
        <v>6503</v>
      </c>
    </row>
    <row r="1521" spans="1:3">
      <c r="A1521" s="15" t="s">
        <v>6504</v>
      </c>
      <c r="B1521" s="15" t="s">
        <v>24</v>
      </c>
      <c r="C1521" s="1" t="s">
        <v>25</v>
      </c>
    </row>
    <row r="1522" spans="1:3">
      <c r="A1522" s="15" t="s">
        <v>6505</v>
      </c>
      <c r="B1522" s="15" t="s">
        <v>2377</v>
      </c>
      <c r="C1522" s="1" t="s">
        <v>6506</v>
      </c>
    </row>
    <row r="1523" spans="1:3">
      <c r="A1523" s="15" t="s">
        <v>6507</v>
      </c>
      <c r="B1523" s="15" t="s">
        <v>3060</v>
      </c>
      <c r="C1523" s="1" t="s">
        <v>6508</v>
      </c>
    </row>
    <row r="1524" spans="1:3">
      <c r="A1524" s="15" t="s">
        <v>6509</v>
      </c>
      <c r="B1524" s="15" t="s">
        <v>1227</v>
      </c>
      <c r="C1524" s="1" t="s">
        <v>6510</v>
      </c>
    </row>
    <row r="1525" spans="1:3">
      <c r="A1525" s="15" t="s">
        <v>6511</v>
      </c>
      <c r="B1525" s="15" t="s">
        <v>6512</v>
      </c>
      <c r="C1525" s="1" t="s">
        <v>6513</v>
      </c>
    </row>
    <row r="1526" spans="1:3">
      <c r="A1526" s="15" t="s">
        <v>6514</v>
      </c>
      <c r="B1526" s="15" t="s">
        <v>4355</v>
      </c>
      <c r="C1526" s="1" t="s">
        <v>6515</v>
      </c>
    </row>
    <row r="1527" spans="1:3">
      <c r="A1527" s="15" t="s">
        <v>6516</v>
      </c>
      <c r="B1527" s="15" t="s">
        <v>6517</v>
      </c>
      <c r="C1527" s="1" t="s">
        <v>6518</v>
      </c>
    </row>
    <row r="1528" spans="1:3">
      <c r="A1528" s="15" t="s">
        <v>6519</v>
      </c>
      <c r="B1528" s="15" t="s">
        <v>168</v>
      </c>
      <c r="C1528" s="1" t="s">
        <v>6520</v>
      </c>
    </row>
    <row r="1529" spans="1:3">
      <c r="A1529" s="15" t="s">
        <v>6521</v>
      </c>
      <c r="B1529" s="15" t="s">
        <v>2200</v>
      </c>
      <c r="C1529" s="1" t="s">
        <v>6522</v>
      </c>
    </row>
    <row r="1530" spans="1:3">
      <c r="A1530" s="15" t="s">
        <v>6523</v>
      </c>
      <c r="B1530" s="15" t="s">
        <v>4962</v>
      </c>
      <c r="C1530" s="1" t="s">
        <v>6524</v>
      </c>
    </row>
    <row r="1531" spans="1:3">
      <c r="A1531" s="52" t="s">
        <v>6525</v>
      </c>
      <c r="B1531" s="52" t="s">
        <v>727</v>
      </c>
      <c r="C1531" s="51" t="s">
        <v>6526</v>
      </c>
    </row>
    <row r="1532" spans="1:3">
      <c r="A1532" s="150" t="s">
        <v>6527</v>
      </c>
      <c r="B1532" s="150" t="s">
        <v>45</v>
      </c>
      <c r="C1532" s="151" t="s">
        <v>6528</v>
      </c>
    </row>
    <row r="1533" spans="1:3">
      <c r="A1533" s="152" t="s">
        <v>6529</v>
      </c>
      <c r="B1533" s="152" t="s">
        <v>90</v>
      </c>
      <c r="C1533" s="153" t="s">
        <v>6530</v>
      </c>
    </row>
    <row r="1534" spans="1:3">
      <c r="A1534" s="52" t="s">
        <v>6531</v>
      </c>
      <c r="B1534" s="52" t="s">
        <v>198</v>
      </c>
      <c r="C1534" s="51" t="s">
        <v>6532</v>
      </c>
    </row>
    <row r="1535" spans="1:3">
      <c r="A1535" s="52" t="s">
        <v>6533</v>
      </c>
      <c r="B1535" s="52" t="s">
        <v>5246</v>
      </c>
      <c r="C1535" s="51" t="s">
        <v>6534</v>
      </c>
    </row>
    <row r="1536" spans="1:3">
      <c r="A1536" s="52" t="s">
        <v>6535</v>
      </c>
      <c r="B1536" s="52" t="s">
        <v>1811</v>
      </c>
      <c r="C1536" s="51" t="s">
        <v>6536</v>
      </c>
    </row>
    <row r="1537" spans="1:3">
      <c r="A1537" s="52" t="s">
        <v>6537</v>
      </c>
      <c r="B1537" s="52" t="s">
        <v>6538</v>
      </c>
      <c r="C1537" s="51" t="s">
        <v>6539</v>
      </c>
    </row>
    <row r="1538" spans="1:3">
      <c r="A1538" s="15" t="s">
        <v>6540</v>
      </c>
      <c r="B1538" s="15" t="s">
        <v>322</v>
      </c>
      <c r="C1538" s="1" t="s">
        <v>6541</v>
      </c>
    </row>
    <row r="1539" spans="1:3">
      <c r="A1539" s="15" t="s">
        <v>6542</v>
      </c>
      <c r="B1539" s="15" t="s">
        <v>147</v>
      </c>
      <c r="C1539" s="1" t="s">
        <v>148</v>
      </c>
    </row>
    <row r="1540" spans="1:3">
      <c r="A1540" s="15" t="s">
        <v>6543</v>
      </c>
      <c r="B1540" s="15" t="s">
        <v>4090</v>
      </c>
      <c r="C1540" s="1" t="s">
        <v>6544</v>
      </c>
    </row>
    <row r="1541" spans="1:3">
      <c r="A1541" s="15" t="s">
        <v>6545</v>
      </c>
      <c r="B1541" s="15" t="s">
        <v>6409</v>
      </c>
      <c r="C1541" s="1" t="s">
        <v>6546</v>
      </c>
    </row>
    <row r="1542" spans="1:3">
      <c r="A1542" s="15" t="s">
        <v>6547</v>
      </c>
      <c r="B1542" s="15" t="s">
        <v>3543</v>
      </c>
      <c r="C1542" s="1" t="s">
        <v>6548</v>
      </c>
    </row>
    <row r="1543" spans="1:3">
      <c r="A1543" s="15" t="s">
        <v>6549</v>
      </c>
      <c r="B1543" s="15" t="s">
        <v>3486</v>
      </c>
      <c r="C1543" s="1" t="s">
        <v>6550</v>
      </c>
    </row>
    <row r="1544" spans="1:3">
      <c r="A1544" s="15" t="s">
        <v>6551</v>
      </c>
      <c r="B1544" s="15" t="s">
        <v>198</v>
      </c>
      <c r="C1544" s="1" t="s">
        <v>6552</v>
      </c>
    </row>
    <row r="1545" spans="1:3">
      <c r="A1545" s="15" t="s">
        <v>6553</v>
      </c>
      <c r="B1545" s="15" t="s">
        <v>4318</v>
      </c>
      <c r="C1545" s="1" t="s">
        <v>6554</v>
      </c>
    </row>
    <row r="1546" spans="1:3">
      <c r="A1546" s="15" t="s">
        <v>6555</v>
      </c>
      <c r="B1546" s="15" t="s">
        <v>3486</v>
      </c>
      <c r="C1546" s="1" t="s">
        <v>6556</v>
      </c>
    </row>
    <row r="1547" spans="1:3">
      <c r="A1547" s="15" t="s">
        <v>6557</v>
      </c>
      <c r="B1547" s="15" t="s">
        <v>3099</v>
      </c>
      <c r="C1547" s="1" t="s">
        <v>6558</v>
      </c>
    </row>
    <row r="1548" spans="1:3">
      <c r="A1548" s="15" t="s">
        <v>6559</v>
      </c>
      <c r="B1548" s="15" t="s">
        <v>227</v>
      </c>
      <c r="C1548" s="1" t="s">
        <v>3419</v>
      </c>
    </row>
    <row r="1549" spans="1:3">
      <c r="A1549" s="15" t="s">
        <v>6560</v>
      </c>
      <c r="B1549" s="15" t="s">
        <v>3112</v>
      </c>
      <c r="C1549" s="1" t="s">
        <v>6561</v>
      </c>
    </row>
    <row r="1550" spans="1:3">
      <c r="A1550" s="15" t="s">
        <v>6562</v>
      </c>
      <c r="B1550" s="15" t="s">
        <v>500</v>
      </c>
      <c r="C1550" s="1" t="s">
        <v>6563</v>
      </c>
    </row>
    <row r="1551" spans="1:3">
      <c r="A1551" s="15" t="s">
        <v>6564</v>
      </c>
      <c r="B1551" s="15" t="s">
        <v>2574</v>
      </c>
      <c r="C1551" s="1" t="s">
        <v>3301</v>
      </c>
    </row>
    <row r="1552" spans="1:3">
      <c r="A1552" s="15" t="s">
        <v>6565</v>
      </c>
      <c r="B1552" s="15" t="s">
        <v>16</v>
      </c>
      <c r="C1552" s="1" t="s">
        <v>3280</v>
      </c>
    </row>
    <row r="1553" spans="1:3">
      <c r="A1553" s="15" t="s">
        <v>6566</v>
      </c>
      <c r="B1553" s="15" t="s">
        <v>2377</v>
      </c>
      <c r="C1553" s="15" t="s">
        <v>3238</v>
      </c>
    </row>
    <row r="1554" spans="1:3">
      <c r="A1554" s="15" t="s">
        <v>6567</v>
      </c>
      <c r="B1554" s="15" t="s">
        <v>6568</v>
      </c>
      <c r="C1554" s="1" t="s">
        <v>6569</v>
      </c>
    </row>
    <row r="1555" spans="1:3">
      <c r="A1555" s="15" t="s">
        <v>6570</v>
      </c>
      <c r="B1555" s="15" t="s">
        <v>6571</v>
      </c>
      <c r="C1555" s="1" t="s">
        <v>6572</v>
      </c>
    </row>
    <row r="1556" spans="1:3">
      <c r="A1556" s="15" t="s">
        <v>6573</v>
      </c>
      <c r="B1556" s="15" t="s">
        <v>6087</v>
      </c>
      <c r="C1556" s="1" t="s">
        <v>6574</v>
      </c>
    </row>
    <row r="1557" spans="1:3">
      <c r="A1557" s="15" t="s">
        <v>6575</v>
      </c>
      <c r="B1557" s="15" t="s">
        <v>6576</v>
      </c>
      <c r="C1557" s="15" t="s">
        <v>6577</v>
      </c>
    </row>
    <row r="1558" spans="1:3">
      <c r="A1558" s="15" t="s">
        <v>6578</v>
      </c>
      <c r="B1558" s="15" t="s">
        <v>230</v>
      </c>
      <c r="C1558" s="1" t="s">
        <v>3491</v>
      </c>
    </row>
    <row r="1559" spans="1:3">
      <c r="A1559" s="15" t="s">
        <v>6579</v>
      </c>
      <c r="B1559" s="15" t="s">
        <v>43</v>
      </c>
      <c r="C1559" s="1" t="s">
        <v>3353</v>
      </c>
    </row>
    <row r="1560" spans="1:3">
      <c r="A1560" s="15" t="s">
        <v>6580</v>
      </c>
      <c r="B1560" s="15" t="s">
        <v>4612</v>
      </c>
      <c r="C1560" s="1" t="s">
        <v>6581</v>
      </c>
    </row>
    <row r="1561" spans="1:3">
      <c r="A1561" s="15" t="s">
        <v>6582</v>
      </c>
      <c r="B1561" s="15" t="s">
        <v>6538</v>
      </c>
      <c r="C1561" s="1" t="s">
        <v>6583</v>
      </c>
    </row>
    <row r="1562" spans="1:3">
      <c r="A1562" s="15" t="s">
        <v>6584</v>
      </c>
      <c r="B1562" s="15" t="s">
        <v>6585</v>
      </c>
      <c r="C1562" s="1" t="s">
        <v>6586</v>
      </c>
    </row>
    <row r="1563" spans="1:3">
      <c r="A1563" s="15" t="s">
        <v>6587</v>
      </c>
      <c r="B1563" s="15" t="s">
        <v>267</v>
      </c>
      <c r="C1563" s="1" t="s">
        <v>6588</v>
      </c>
    </row>
    <row r="1564" spans="1:3">
      <c r="A1564" s="15" t="s">
        <v>6589</v>
      </c>
      <c r="B1564" s="15" t="s">
        <v>6538</v>
      </c>
      <c r="C1564" s="1" t="s">
        <v>6590</v>
      </c>
    </row>
    <row r="1565" spans="1:3">
      <c r="A1565" s="15" t="s">
        <v>6591</v>
      </c>
      <c r="B1565" s="15" t="s">
        <v>3532</v>
      </c>
      <c r="C1565" s="1" t="s">
        <v>6592</v>
      </c>
    </row>
    <row r="1566" spans="1:3">
      <c r="A1566" s="15" t="s">
        <v>6593</v>
      </c>
      <c r="B1566" s="15" t="s">
        <v>6594</v>
      </c>
      <c r="C1566" s="1" t="s">
        <v>6595</v>
      </c>
    </row>
    <row r="1567" spans="1:3">
      <c r="A1567" s="15" t="s">
        <v>6596</v>
      </c>
      <c r="B1567" s="15" t="s">
        <v>85</v>
      </c>
      <c r="C1567" s="1" t="s">
        <v>6597</v>
      </c>
    </row>
    <row r="1568" spans="1:3">
      <c r="A1568" s="15" t="s">
        <v>6598</v>
      </c>
      <c r="B1568" s="15" t="s">
        <v>30</v>
      </c>
      <c r="C1568" s="1" t="s">
        <v>6599</v>
      </c>
    </row>
    <row r="1569" spans="1:3">
      <c r="A1569" s="15" t="s">
        <v>6600</v>
      </c>
      <c r="B1569" s="15" t="s">
        <v>2983</v>
      </c>
      <c r="C1569" s="1" t="s">
        <v>6601</v>
      </c>
    </row>
    <row r="1570" spans="1:3">
      <c r="A1570" s="15" t="s">
        <v>6602</v>
      </c>
      <c r="B1570" s="15" t="s">
        <v>3341</v>
      </c>
      <c r="C1570" s="1" t="s">
        <v>6603</v>
      </c>
    </row>
    <row r="1571" spans="1:3">
      <c r="A1571" s="15" t="s">
        <v>6604</v>
      </c>
      <c r="B1571" s="15" t="s">
        <v>3355</v>
      </c>
      <c r="C1571" s="1" t="s">
        <v>6605</v>
      </c>
    </row>
    <row r="1572" spans="1:3">
      <c r="A1572" s="15" t="s">
        <v>6606</v>
      </c>
      <c r="B1572" s="15" t="s">
        <v>3439</v>
      </c>
      <c r="C1572" s="1" t="s">
        <v>6607</v>
      </c>
    </row>
    <row r="1573" spans="1:3">
      <c r="A1573" s="15" t="s">
        <v>6608</v>
      </c>
      <c r="B1573" s="15" t="s">
        <v>2829</v>
      </c>
      <c r="C1573" s="1" t="s">
        <v>6609</v>
      </c>
    </row>
    <row r="1574" spans="1:3">
      <c r="A1574" s="15" t="s">
        <v>6610</v>
      </c>
      <c r="B1574" s="15" t="s">
        <v>2377</v>
      </c>
      <c r="C1574" s="1" t="s">
        <v>6611</v>
      </c>
    </row>
    <row r="1575" spans="1:3">
      <c r="A1575" s="15" t="s">
        <v>6612</v>
      </c>
      <c r="B1575" s="15" t="s">
        <v>189</v>
      </c>
      <c r="C1575" s="1" t="s">
        <v>3325</v>
      </c>
    </row>
    <row r="1576" spans="1:3">
      <c r="A1576" s="15" t="s">
        <v>6613</v>
      </c>
      <c r="B1576" s="15" t="s">
        <v>6614</v>
      </c>
      <c r="C1576" s="1" t="s">
        <v>6615</v>
      </c>
    </row>
    <row r="1577" spans="1:3">
      <c r="A1577" s="15" t="s">
        <v>6616</v>
      </c>
      <c r="B1577" s="15" t="s">
        <v>3341</v>
      </c>
      <c r="C1577" s="1" t="s">
        <v>6617</v>
      </c>
    </row>
    <row r="1578" spans="1:3" ht="15">
      <c r="A1578" s="15" t="s">
        <v>6618</v>
      </c>
      <c r="B1578" s="15" t="s">
        <v>2715</v>
      </c>
      <c r="C1578" s="154" t="s">
        <v>6619</v>
      </c>
    </row>
    <row r="1579" spans="1:3">
      <c r="A1579" s="15" t="s">
        <v>6620</v>
      </c>
      <c r="B1579" s="15" t="s">
        <v>30</v>
      </c>
      <c r="C1579" s="1" t="s">
        <v>4490</v>
      </c>
    </row>
    <row r="1580" spans="1:3">
      <c r="A1580" s="15" t="s">
        <v>6621</v>
      </c>
      <c r="B1580" s="15" t="s">
        <v>19</v>
      </c>
      <c r="C1580" s="1" t="s">
        <v>20</v>
      </c>
    </row>
    <row r="1581" spans="1:3">
      <c r="A1581" s="15" t="s">
        <v>6622</v>
      </c>
      <c r="B1581" s="15" t="s">
        <v>3790</v>
      </c>
      <c r="C1581" s="1" t="s">
        <v>6623</v>
      </c>
    </row>
    <row r="1582" spans="1:3">
      <c r="A1582" s="15" t="s">
        <v>6624</v>
      </c>
      <c r="B1582" s="224">
        <v>3411</v>
      </c>
      <c r="C1582" s="1" t="s">
        <v>137</v>
      </c>
    </row>
    <row r="1583" spans="1:3">
      <c r="A1583" s="15" t="s">
        <v>6625</v>
      </c>
      <c r="B1583" s="15" t="s">
        <v>198</v>
      </c>
      <c r="C1583" s="1" t="s">
        <v>3483</v>
      </c>
    </row>
    <row r="1584" spans="1:3">
      <c r="A1584" s="15" t="s">
        <v>6626</v>
      </c>
      <c r="B1584" s="15" t="s">
        <v>152</v>
      </c>
      <c r="C1584" s="1" t="s">
        <v>6627</v>
      </c>
    </row>
    <row r="1585" spans="1:3">
      <c r="A1585" s="15" t="s">
        <v>6628</v>
      </c>
      <c r="B1585" s="15" t="s">
        <v>171</v>
      </c>
      <c r="C1585" s="1" t="s">
        <v>6629</v>
      </c>
    </row>
    <row r="1586" spans="1:3">
      <c r="A1586" s="15" t="s">
        <v>6630</v>
      </c>
      <c r="B1586" s="15" t="s">
        <v>30</v>
      </c>
      <c r="C1586" s="1" t="s">
        <v>6631</v>
      </c>
    </row>
    <row r="1587" spans="1:3">
      <c r="A1587" s="15" t="s">
        <v>6632</v>
      </c>
      <c r="B1587" s="15" t="s">
        <v>6633</v>
      </c>
      <c r="C1587" s="1" t="s">
        <v>6634</v>
      </c>
    </row>
    <row r="1588" spans="1:3">
      <c r="A1588" s="15" t="s">
        <v>6635</v>
      </c>
      <c r="B1588" s="15" t="s">
        <v>1191</v>
      </c>
      <c r="C1588" s="1" t="s">
        <v>6636</v>
      </c>
    </row>
    <row r="1589" spans="1:3">
      <c r="A1589" s="15" t="s">
        <v>6637</v>
      </c>
      <c r="B1589" s="224">
        <v>3411</v>
      </c>
      <c r="C1589" s="1" t="s">
        <v>6638</v>
      </c>
    </row>
    <row r="1590" spans="1:3" ht="15">
      <c r="A1590" s="15" t="s">
        <v>6639</v>
      </c>
      <c r="B1590" s="15" t="s">
        <v>3471</v>
      </c>
      <c r="C1590" s="155" t="s">
        <v>3472</v>
      </c>
    </row>
    <row r="1591" spans="1:3">
      <c r="A1591" s="15" t="s">
        <v>6640</v>
      </c>
      <c r="B1591" s="15" t="s">
        <v>6641</v>
      </c>
      <c r="C1591" s="1" t="s">
        <v>6642</v>
      </c>
    </row>
    <row r="1592" spans="1:3">
      <c r="A1592" s="15" t="s">
        <v>6643</v>
      </c>
      <c r="B1592" s="15" t="s">
        <v>261</v>
      </c>
      <c r="C1592" s="1" t="s">
        <v>262</v>
      </c>
    </row>
    <row r="1593" spans="1:3">
      <c r="A1593" s="15" t="s">
        <v>6644</v>
      </c>
      <c r="B1593" s="15" t="s">
        <v>5475</v>
      </c>
      <c r="C1593" s="1" t="s">
        <v>6645</v>
      </c>
    </row>
    <row r="1594" spans="1:3">
      <c r="A1594" s="15" t="s">
        <v>6646</v>
      </c>
      <c r="B1594" s="15" t="s">
        <v>1617</v>
      </c>
      <c r="C1594" s="156" t="s">
        <v>6647</v>
      </c>
    </row>
    <row r="1595" spans="1:3">
      <c r="A1595" s="15" t="s">
        <v>6648</v>
      </c>
      <c r="B1595" s="15" t="s">
        <v>966</v>
      </c>
      <c r="C1595" s="1" t="s">
        <v>6649</v>
      </c>
    </row>
    <row r="1596" spans="1:3">
      <c r="A1596" s="15" t="s">
        <v>6650</v>
      </c>
      <c r="B1596" s="15" t="s">
        <v>6651</v>
      </c>
      <c r="C1596" s="1" t="s">
        <v>6652</v>
      </c>
    </row>
    <row r="1597" spans="1:3">
      <c r="A1597" s="15" t="s">
        <v>6653</v>
      </c>
      <c r="B1597" s="15" t="s">
        <v>2850</v>
      </c>
      <c r="C1597" s="1" t="s">
        <v>6654</v>
      </c>
    </row>
    <row r="1598" spans="1:3">
      <c r="A1598" s="15" t="s">
        <v>6655</v>
      </c>
      <c r="B1598" s="15" t="s">
        <v>30</v>
      </c>
      <c r="C1598" s="1" t="s">
        <v>6656</v>
      </c>
    </row>
    <row r="1599" spans="1:3">
      <c r="A1599" s="15" t="s">
        <v>6657</v>
      </c>
      <c r="B1599" s="15" t="s">
        <v>198</v>
      </c>
      <c r="C1599" s="1" t="s">
        <v>6658</v>
      </c>
    </row>
    <row r="1600" spans="1:3">
      <c r="A1600" s="15" t="s">
        <v>6659</v>
      </c>
      <c r="B1600" s="15" t="s">
        <v>6660</v>
      </c>
      <c r="C1600" s="1" t="s">
        <v>6661</v>
      </c>
    </row>
    <row r="1601" spans="1:3">
      <c r="A1601" s="15" t="s">
        <v>6662</v>
      </c>
      <c r="B1601" s="15" t="s">
        <v>3341</v>
      </c>
      <c r="C1601" s="1" t="s">
        <v>3464</v>
      </c>
    </row>
    <row r="1602" spans="1:3">
      <c r="A1602" s="15" t="s">
        <v>6663</v>
      </c>
      <c r="B1602" s="15" t="s">
        <v>6664</v>
      </c>
      <c r="C1602" s="1" t="s">
        <v>6665</v>
      </c>
    </row>
    <row r="1603" spans="1:3">
      <c r="A1603" s="15" t="s">
        <v>6666</v>
      </c>
      <c r="B1603" s="15" t="s">
        <v>30</v>
      </c>
      <c r="C1603" s="1" t="s">
        <v>6667</v>
      </c>
    </row>
    <row r="1604" spans="1:3">
      <c r="A1604" s="15" t="s">
        <v>6668</v>
      </c>
      <c r="B1604" s="15" t="s">
        <v>16</v>
      </c>
      <c r="C1604" s="1" t="s">
        <v>3436</v>
      </c>
    </row>
    <row r="1605" spans="1:3">
      <c r="A1605" s="15" t="s">
        <v>6669</v>
      </c>
      <c r="B1605" s="15" t="s">
        <v>5577</v>
      </c>
      <c r="C1605" s="1" t="s">
        <v>6670</v>
      </c>
    </row>
    <row r="1606" spans="1:3">
      <c r="A1606" s="15" t="s">
        <v>6671</v>
      </c>
      <c r="B1606" s="15" t="s">
        <v>6672</v>
      </c>
      <c r="C1606" s="1" t="s">
        <v>6673</v>
      </c>
    </row>
    <row r="1607" spans="1:3">
      <c r="A1607" s="15" t="s">
        <v>6674</v>
      </c>
      <c r="B1607" s="15" t="s">
        <v>6675</v>
      </c>
      <c r="C1607" s="1" t="s">
        <v>6676</v>
      </c>
    </row>
    <row r="1608" spans="1:3">
      <c r="A1608" s="15" t="s">
        <v>6677</v>
      </c>
      <c r="B1608" s="15" t="s">
        <v>822</v>
      </c>
      <c r="C1608" s="1" t="s">
        <v>3255</v>
      </c>
    </row>
    <row r="1609" spans="1:3">
      <c r="A1609" s="15" t="s">
        <v>6678</v>
      </c>
      <c r="B1609" s="15" t="s">
        <v>3396</v>
      </c>
      <c r="C1609" s="1" t="s">
        <v>6679</v>
      </c>
    </row>
    <row r="1610" spans="1:3">
      <c r="A1610" s="15" t="s">
        <v>6680</v>
      </c>
      <c r="B1610" s="15" t="s">
        <v>30</v>
      </c>
      <c r="C1610" s="1" t="s">
        <v>6681</v>
      </c>
    </row>
    <row r="1611" spans="1:3">
      <c r="A1611" s="15" t="s">
        <v>6682</v>
      </c>
      <c r="B1611" s="15" t="s">
        <v>3247</v>
      </c>
      <c r="C1611" s="1" t="s">
        <v>6683</v>
      </c>
    </row>
    <row r="1612" spans="1:3">
      <c r="A1612" s="15" t="s">
        <v>6684</v>
      </c>
      <c r="B1612" s="15" t="s">
        <v>6685</v>
      </c>
      <c r="C1612" s="1" t="s">
        <v>6686</v>
      </c>
    </row>
    <row r="1613" spans="1:3">
      <c r="A1613" s="15" t="s">
        <v>6687</v>
      </c>
      <c r="B1613" s="15" t="s">
        <v>150</v>
      </c>
      <c r="C1613" s="1" t="s">
        <v>6688</v>
      </c>
    </row>
    <row r="1614" spans="1:3">
      <c r="A1614" s="15" t="s">
        <v>6689</v>
      </c>
      <c r="B1614" s="15" t="s">
        <v>16</v>
      </c>
      <c r="C1614" s="1" t="s">
        <v>6690</v>
      </c>
    </row>
    <row r="1615" spans="1:3">
      <c r="A1615" s="15" t="s">
        <v>6691</v>
      </c>
      <c r="B1615" s="15" t="s">
        <v>6692</v>
      </c>
      <c r="C1615" s="1" t="s">
        <v>6693</v>
      </c>
    </row>
    <row r="1616" spans="1:3">
      <c r="A1616" s="15" t="s">
        <v>6694</v>
      </c>
      <c r="B1616" s="15" t="s">
        <v>6695</v>
      </c>
      <c r="C1616" s="1" t="s">
        <v>6696</v>
      </c>
    </row>
    <row r="1617" spans="1:3">
      <c r="A1617" s="15" t="s">
        <v>6697</v>
      </c>
      <c r="B1617" s="15" t="s">
        <v>6698</v>
      </c>
      <c r="C1617" s="1" t="s">
        <v>6699</v>
      </c>
    </row>
    <row r="1618" spans="1:3">
      <c r="A1618" s="15" t="s">
        <v>6700</v>
      </c>
      <c r="B1618" s="15" t="s">
        <v>6701</v>
      </c>
      <c r="C1618" s="1" t="s">
        <v>6702</v>
      </c>
    </row>
    <row r="1619" spans="1:3">
      <c r="A1619" s="15" t="s">
        <v>6703</v>
      </c>
      <c r="B1619" s="15" t="s">
        <v>6704</v>
      </c>
      <c r="C1619" s="1" t="s">
        <v>6705</v>
      </c>
    </row>
    <row r="1620" spans="1:3">
      <c r="A1620" s="15" t="s">
        <v>6706</v>
      </c>
      <c r="B1620" s="15" t="s">
        <v>3486</v>
      </c>
      <c r="C1620" s="1" t="s">
        <v>6707</v>
      </c>
    </row>
    <row r="1621" spans="1:3">
      <c r="A1621" s="15" t="s">
        <v>6708</v>
      </c>
      <c r="B1621" s="15" t="s">
        <v>1694</v>
      </c>
      <c r="C1621" s="1" t="s">
        <v>6709</v>
      </c>
    </row>
    <row r="1622" spans="1:3">
      <c r="A1622" s="15" t="s">
        <v>6710</v>
      </c>
      <c r="B1622" s="15" t="s">
        <v>6241</v>
      </c>
      <c r="C1622" s="1" t="s">
        <v>6711</v>
      </c>
    </row>
    <row r="1623" spans="1:3">
      <c r="A1623" s="15" t="s">
        <v>6712</v>
      </c>
      <c r="B1623" s="15" t="s">
        <v>6713</v>
      </c>
      <c r="C1623" s="1" t="s">
        <v>6714</v>
      </c>
    </row>
    <row r="1624" spans="1:3">
      <c r="A1624" s="15" t="s">
        <v>6715</v>
      </c>
      <c r="B1624" s="15" t="s">
        <v>6716</v>
      </c>
      <c r="C1624" s="1" t="s">
        <v>6717</v>
      </c>
    </row>
    <row r="1625" spans="1:3">
      <c r="A1625" s="15" t="s">
        <v>6718</v>
      </c>
      <c r="B1625" s="15" t="s">
        <v>6719</v>
      </c>
      <c r="C1625" s="1" t="s">
        <v>3449</v>
      </c>
    </row>
    <row r="1626" spans="1:3">
      <c r="A1626" s="15" t="s">
        <v>6720</v>
      </c>
      <c r="B1626" s="15" t="s">
        <v>3377</v>
      </c>
      <c r="C1626" s="1" t="s">
        <v>6721</v>
      </c>
    </row>
    <row r="1627" spans="1:3">
      <c r="A1627" s="15" t="s">
        <v>6722</v>
      </c>
      <c r="B1627" s="15" t="s">
        <v>168</v>
      </c>
      <c r="C1627" s="1" t="s">
        <v>6723</v>
      </c>
    </row>
    <row r="1628" spans="1:3">
      <c r="A1628" s="15" t="s">
        <v>6724</v>
      </c>
      <c r="B1628" s="15" t="s">
        <v>6576</v>
      </c>
      <c r="C1628" s="1" t="s">
        <v>6725</v>
      </c>
    </row>
    <row r="1629" spans="1:3">
      <c r="A1629" s="15" t="s">
        <v>6726</v>
      </c>
      <c r="B1629" s="15" t="s">
        <v>16</v>
      </c>
      <c r="C1629" s="1" t="s">
        <v>3436</v>
      </c>
    </row>
    <row r="1630" spans="1:3">
      <c r="A1630" s="15" t="s">
        <v>6727</v>
      </c>
      <c r="B1630" s="15" t="s">
        <v>30</v>
      </c>
      <c r="C1630" s="1" t="s">
        <v>6728</v>
      </c>
    </row>
    <row r="1631" spans="1:3">
      <c r="A1631" s="15" t="s">
        <v>6729</v>
      </c>
      <c r="B1631" s="15" t="s">
        <v>6576</v>
      </c>
      <c r="C1631" s="1" t="s">
        <v>6730</v>
      </c>
    </row>
    <row r="1632" spans="1:3">
      <c r="A1632" s="15" t="s">
        <v>6731</v>
      </c>
      <c r="B1632" s="15" t="s">
        <v>6732</v>
      </c>
      <c r="C1632" s="1" t="s">
        <v>115</v>
      </c>
    </row>
    <row r="1633" spans="1:3">
      <c r="A1633" s="15" t="s">
        <v>6733</v>
      </c>
      <c r="B1633" s="15" t="s">
        <v>3038</v>
      </c>
      <c r="C1633" s="1" t="s">
        <v>6734</v>
      </c>
    </row>
    <row r="1634" spans="1:3">
      <c r="A1634" s="15" t="s">
        <v>6735</v>
      </c>
      <c r="B1634" s="15" t="s">
        <v>35</v>
      </c>
      <c r="C1634" s="1" t="s">
        <v>36</v>
      </c>
    </row>
    <row r="1635" spans="1:3">
      <c r="A1635" s="15" t="s">
        <v>6736</v>
      </c>
      <c r="B1635" s="15" t="s">
        <v>6576</v>
      </c>
      <c r="C1635" s="1" t="s">
        <v>6737</v>
      </c>
    </row>
    <row r="1636" spans="1:3">
      <c r="A1636" s="15" t="s">
        <v>6738</v>
      </c>
      <c r="B1636" s="15" t="s">
        <v>3486</v>
      </c>
      <c r="C1636" s="1" t="s">
        <v>6739</v>
      </c>
    </row>
    <row r="1637" spans="1:3">
      <c r="A1637" s="15" t="s">
        <v>6740</v>
      </c>
      <c r="B1637" s="15" t="s">
        <v>2803</v>
      </c>
      <c r="C1637" s="1" t="s">
        <v>3359</v>
      </c>
    </row>
    <row r="1638" spans="1:3">
      <c r="A1638" s="15" t="s">
        <v>6741</v>
      </c>
      <c r="B1638" s="15" t="s">
        <v>227</v>
      </c>
      <c r="C1638" s="1" t="s">
        <v>3452</v>
      </c>
    </row>
    <row r="1639" spans="1:3">
      <c r="A1639" s="15" t="s">
        <v>6742</v>
      </c>
      <c r="B1639" s="15" t="s">
        <v>75</v>
      </c>
      <c r="C1639" s="1" t="s">
        <v>281</v>
      </c>
    </row>
    <row r="1640" spans="1:3">
      <c r="A1640" s="15" t="s">
        <v>6743</v>
      </c>
      <c r="B1640" s="15" t="s">
        <v>4318</v>
      </c>
      <c r="C1640" s="1" t="s">
        <v>2876</v>
      </c>
    </row>
    <row r="1641" spans="1:3">
      <c r="A1641" s="15" t="s">
        <v>6744</v>
      </c>
      <c r="B1641" s="15" t="s">
        <v>6633</v>
      </c>
      <c r="C1641" s="1" t="s">
        <v>6745</v>
      </c>
    </row>
    <row r="1642" spans="1:3">
      <c r="A1642" s="15" t="s">
        <v>6746</v>
      </c>
      <c r="B1642" s="15" t="s">
        <v>6747</v>
      </c>
      <c r="C1642" s="1" t="s">
        <v>6748</v>
      </c>
    </row>
    <row r="1643" spans="1:3">
      <c r="A1643" s="15" t="s">
        <v>6749</v>
      </c>
      <c r="B1643" s="15" t="s">
        <v>2742</v>
      </c>
      <c r="C1643" s="1" t="s">
        <v>6750</v>
      </c>
    </row>
    <row r="1644" spans="1:3">
      <c r="A1644" s="15" t="s">
        <v>6751</v>
      </c>
      <c r="B1644" s="15" t="s">
        <v>6752</v>
      </c>
      <c r="C1644" s="1" t="s">
        <v>6753</v>
      </c>
    </row>
    <row r="1645" spans="1:3">
      <c r="A1645" s="15" t="s">
        <v>6754</v>
      </c>
      <c r="B1645" s="15" t="s">
        <v>3998</v>
      </c>
      <c r="C1645" s="1" t="s">
        <v>6755</v>
      </c>
    </row>
    <row r="1646" spans="1:3">
      <c r="A1646" s="15" t="s">
        <v>6756</v>
      </c>
      <c r="B1646" s="15" t="s">
        <v>6757</v>
      </c>
      <c r="C1646" s="1" t="s">
        <v>6758</v>
      </c>
    </row>
    <row r="1647" spans="1:3">
      <c r="A1647" s="15" t="s">
        <v>6759</v>
      </c>
      <c r="B1647" s="15" t="s">
        <v>50</v>
      </c>
      <c r="C1647" s="1" t="s">
        <v>129</v>
      </c>
    </row>
    <row r="1648" spans="1:3">
      <c r="A1648" s="15" t="s">
        <v>6760</v>
      </c>
      <c r="B1648" s="15" t="s">
        <v>6761</v>
      </c>
      <c r="C1648" s="1" t="s">
        <v>3336</v>
      </c>
    </row>
    <row r="1649" spans="1:3">
      <c r="A1649" s="15" t="s">
        <v>6762</v>
      </c>
      <c r="B1649" s="15" t="s">
        <v>145</v>
      </c>
      <c r="C1649" s="1" t="s">
        <v>6763</v>
      </c>
    </row>
    <row r="1650" spans="1:3">
      <c r="A1650" s="15" t="s">
        <v>6764</v>
      </c>
      <c r="B1650" s="15" t="s">
        <v>6716</v>
      </c>
      <c r="C1650" s="1" t="s">
        <v>6765</v>
      </c>
    </row>
    <row r="1651" spans="1:3">
      <c r="A1651" s="15" t="s">
        <v>6766</v>
      </c>
      <c r="B1651" s="15" t="s">
        <v>118</v>
      </c>
      <c r="C1651" s="1" t="s">
        <v>6767</v>
      </c>
    </row>
    <row r="1652" spans="1:3">
      <c r="A1652" s="15" t="s">
        <v>6768</v>
      </c>
      <c r="B1652" s="15" t="s">
        <v>50</v>
      </c>
      <c r="C1652" s="1" t="s">
        <v>6769</v>
      </c>
    </row>
    <row r="1653" spans="1:3">
      <c r="A1653" s="15" t="s">
        <v>6770</v>
      </c>
      <c r="B1653" s="15" t="s">
        <v>6771</v>
      </c>
      <c r="C1653" s="1" t="s">
        <v>6772</v>
      </c>
    </row>
    <row r="1654" spans="1:3">
      <c r="A1654" s="15" t="s">
        <v>6773</v>
      </c>
      <c r="B1654" s="15" t="s">
        <v>3383</v>
      </c>
      <c r="C1654" s="1" t="s">
        <v>6774</v>
      </c>
    </row>
    <row r="1655" spans="1:3">
      <c r="A1655" s="15" t="s">
        <v>6775</v>
      </c>
      <c r="B1655" s="15" t="s">
        <v>6776</v>
      </c>
      <c r="C1655" s="172" t="s">
        <v>6777</v>
      </c>
    </row>
    <row r="1656" spans="1:3" ht="15.75" customHeight="1">
      <c r="A1656" s="15" t="s">
        <v>6778</v>
      </c>
      <c r="B1656" s="225" t="s">
        <v>24</v>
      </c>
      <c r="C1656" s="171" t="s">
        <v>6779</v>
      </c>
    </row>
    <row r="1657" spans="1:3">
      <c r="A1657" s="15" t="s">
        <v>6780</v>
      </c>
      <c r="B1657" s="15" t="s">
        <v>50</v>
      </c>
      <c r="C1657" s="173" t="s">
        <v>3481</v>
      </c>
    </row>
    <row r="1658" spans="1:3">
      <c r="A1658" s="15" t="s">
        <v>6781</v>
      </c>
      <c r="B1658" s="15" t="s">
        <v>47</v>
      </c>
      <c r="C1658" s="1" t="s">
        <v>6782</v>
      </c>
    </row>
    <row r="1659" spans="1:3">
      <c r="A1659" s="15" t="s">
        <v>6783</v>
      </c>
      <c r="B1659" s="15" t="s">
        <v>279</v>
      </c>
      <c r="C1659" s="1" t="s">
        <v>6784</v>
      </c>
    </row>
    <row r="1660" spans="1:3">
      <c r="A1660" s="15" t="s">
        <v>6785</v>
      </c>
      <c r="B1660" s="15" t="s">
        <v>3112</v>
      </c>
      <c r="C1660" s="1" t="s">
        <v>6786</v>
      </c>
    </row>
    <row r="1661" spans="1:3">
      <c r="A1661" s="15" t="s">
        <v>6787</v>
      </c>
      <c r="B1661" s="15" t="s">
        <v>3228</v>
      </c>
      <c r="C1661" s="1" t="s">
        <v>6788</v>
      </c>
    </row>
    <row r="1662" spans="1:3">
      <c r="A1662" s="15" t="s">
        <v>6789</v>
      </c>
      <c r="B1662" s="15" t="s">
        <v>6790</v>
      </c>
      <c r="C1662" s="1" t="s">
        <v>6791</v>
      </c>
    </row>
    <row r="1663" spans="1:3">
      <c r="A1663" s="15" t="s">
        <v>6792</v>
      </c>
      <c r="B1663" s="15" t="s">
        <v>198</v>
      </c>
      <c r="C1663" s="1" t="s">
        <v>6793</v>
      </c>
    </row>
    <row r="1664" spans="1:3">
      <c r="A1664" s="15" t="s">
        <v>6794</v>
      </c>
      <c r="B1664" s="15" t="s">
        <v>6795</v>
      </c>
      <c r="C1664" s="1" t="s">
        <v>6796</v>
      </c>
    </row>
    <row r="1665" spans="1:3">
      <c r="A1665" s="15" t="s">
        <v>6797</v>
      </c>
      <c r="B1665" s="15" t="s">
        <v>3201</v>
      </c>
      <c r="C1665" s="1" t="s">
        <v>6798</v>
      </c>
    </row>
    <row r="1666" spans="1:3">
      <c r="A1666" s="15" t="s">
        <v>6799</v>
      </c>
      <c r="B1666" s="15" t="s">
        <v>3486</v>
      </c>
      <c r="C1666" s="1" t="s">
        <v>6800</v>
      </c>
    </row>
    <row r="1667" spans="1:3">
      <c r="A1667" s="15" t="s">
        <v>6801</v>
      </c>
      <c r="B1667" s="15" t="s">
        <v>198</v>
      </c>
      <c r="C1667" s="1" t="s">
        <v>6802</v>
      </c>
    </row>
    <row r="1668" spans="1:3">
      <c r="A1668" s="15" t="s">
        <v>6803</v>
      </c>
      <c r="B1668" s="15" t="s">
        <v>5921</v>
      </c>
      <c r="C1668" s="1" t="s">
        <v>6804</v>
      </c>
    </row>
    <row r="1669" spans="1:3">
      <c r="A1669" s="15" t="s">
        <v>6805</v>
      </c>
      <c r="B1669" s="15" t="s">
        <v>1120</v>
      </c>
      <c r="C1669" s="1" t="s">
        <v>6806</v>
      </c>
    </row>
    <row r="1670" spans="1:3">
      <c r="A1670" s="15" t="s">
        <v>6807</v>
      </c>
      <c r="B1670" s="15" t="s">
        <v>4074</v>
      </c>
      <c r="C1670" s="1" t="s">
        <v>6808</v>
      </c>
    </row>
    <row r="1671" spans="1:3">
      <c r="A1671" s="15" t="s">
        <v>6809</v>
      </c>
      <c r="B1671" s="15" t="s">
        <v>3103</v>
      </c>
      <c r="C1671" s="1" t="s">
        <v>6810</v>
      </c>
    </row>
    <row r="1672" spans="1:3">
      <c r="A1672" s="15" t="s">
        <v>6811</v>
      </c>
      <c r="B1672" s="15" t="s">
        <v>3486</v>
      </c>
      <c r="C1672" s="1" t="s">
        <v>6812</v>
      </c>
    </row>
    <row r="1673" spans="1:3">
      <c r="A1673" s="15" t="s">
        <v>6813</v>
      </c>
      <c r="B1673" s="15" t="s">
        <v>6814</v>
      </c>
      <c r="C1673" s="1" t="s">
        <v>6815</v>
      </c>
    </row>
    <row r="1674" spans="1:3">
      <c r="A1674" s="15" t="s">
        <v>6816</v>
      </c>
      <c r="B1674" s="15" t="s">
        <v>6182</v>
      </c>
      <c r="C1674" s="1" t="s">
        <v>6817</v>
      </c>
    </row>
    <row r="1675" spans="1:3">
      <c r="A1675" s="15" t="s">
        <v>6818</v>
      </c>
      <c r="B1675" s="15" t="s">
        <v>4318</v>
      </c>
      <c r="C1675" s="1" t="s">
        <v>6819</v>
      </c>
    </row>
    <row r="1676" spans="1:3">
      <c r="A1676" s="15" t="s">
        <v>6820</v>
      </c>
      <c r="B1676" s="15" t="s">
        <v>168</v>
      </c>
      <c r="C1676" s="1" t="s">
        <v>6821</v>
      </c>
    </row>
    <row r="1677" spans="1:3">
      <c r="A1677" s="15" t="s">
        <v>6822</v>
      </c>
      <c r="B1677" s="15" t="s">
        <v>6571</v>
      </c>
      <c r="C1677" s="1" t="s">
        <v>6823</v>
      </c>
    </row>
    <row r="1678" spans="1:3">
      <c r="A1678" s="15" t="s">
        <v>6824</v>
      </c>
      <c r="B1678" s="15" t="s">
        <v>3512</v>
      </c>
      <c r="C1678" s="1" t="s">
        <v>6825</v>
      </c>
    </row>
    <row r="1679" spans="1:3">
      <c r="A1679" s="15" t="s">
        <v>6826</v>
      </c>
      <c r="B1679" s="15" t="s">
        <v>6716</v>
      </c>
      <c r="C1679" s="1" t="s">
        <v>31</v>
      </c>
    </row>
    <row r="1680" spans="1:3">
      <c r="A1680" s="15" t="s">
        <v>6827</v>
      </c>
      <c r="B1680" s="15" t="s">
        <v>24</v>
      </c>
      <c r="C1680" s="1" t="s">
        <v>6828</v>
      </c>
    </row>
    <row r="1681" spans="1:3">
      <c r="A1681" s="15" t="s">
        <v>6829</v>
      </c>
      <c r="B1681" s="15" t="s">
        <v>6830</v>
      </c>
      <c r="C1681" s="1" t="s">
        <v>6831</v>
      </c>
    </row>
    <row r="1682" spans="1:3">
      <c r="A1682" s="15" t="s">
        <v>6832</v>
      </c>
      <c r="B1682" s="15" t="s">
        <v>5460</v>
      </c>
      <c r="C1682" s="1" t="s">
        <v>119</v>
      </c>
    </row>
    <row r="1683" spans="1:3">
      <c r="A1683" s="15" t="s">
        <v>6833</v>
      </c>
      <c r="B1683" s="15" t="s">
        <v>3676</v>
      </c>
      <c r="C1683" s="1" t="s">
        <v>6834</v>
      </c>
    </row>
    <row r="1684" spans="1:3">
      <c r="A1684" s="15" t="s">
        <v>6835</v>
      </c>
      <c r="B1684" s="15" t="s">
        <v>161</v>
      </c>
      <c r="C1684" s="1" t="s">
        <v>6836</v>
      </c>
    </row>
    <row r="1685" spans="1:3">
      <c r="A1685" s="15" t="s">
        <v>6837</v>
      </c>
      <c r="B1685" s="15" t="s">
        <v>683</v>
      </c>
      <c r="C1685" s="1" t="s">
        <v>6838</v>
      </c>
    </row>
    <row r="1686" spans="1:3">
      <c r="A1686" s="15" t="s">
        <v>6839</v>
      </c>
      <c r="B1686" s="15" t="s">
        <v>227</v>
      </c>
      <c r="C1686" s="1" t="s">
        <v>228</v>
      </c>
    </row>
    <row r="1687" spans="1:3">
      <c r="A1687" s="15" t="s">
        <v>6840</v>
      </c>
      <c r="B1687" s="15" t="s">
        <v>5373</v>
      </c>
      <c r="C1687" s="1" t="s">
        <v>6841</v>
      </c>
    </row>
    <row r="1688" spans="1:3">
      <c r="A1688" s="15" t="s">
        <v>6842</v>
      </c>
      <c r="B1688" s="15" t="s">
        <v>6716</v>
      </c>
      <c r="C1688" s="1" t="s">
        <v>6843</v>
      </c>
    </row>
    <row r="1689" spans="1:3">
      <c r="A1689" s="15" t="s">
        <v>6844</v>
      </c>
      <c r="B1689" s="15" t="s">
        <v>3790</v>
      </c>
      <c r="C1689" s="1" t="s">
        <v>6845</v>
      </c>
    </row>
    <row r="1690" spans="1:3">
      <c r="A1690" s="15" t="s">
        <v>6846</v>
      </c>
      <c r="B1690" s="15" t="s">
        <v>3112</v>
      </c>
      <c r="C1690" s="1" t="s">
        <v>6847</v>
      </c>
    </row>
    <row r="1691" spans="1:3">
      <c r="A1691" s="15" t="s">
        <v>6848</v>
      </c>
      <c r="B1691" s="15" t="s">
        <v>6849</v>
      </c>
      <c r="C1691" s="1" t="s">
        <v>6850</v>
      </c>
    </row>
    <row r="1692" spans="1:3">
      <c r="A1692" s="15" t="s">
        <v>6851</v>
      </c>
      <c r="B1692" s="15" t="s">
        <v>6087</v>
      </c>
      <c r="C1692" s="1" t="s">
        <v>6852</v>
      </c>
    </row>
    <row r="1693" spans="1:3">
      <c r="A1693" s="15" t="s">
        <v>6853</v>
      </c>
      <c r="B1693" s="15" t="s">
        <v>3154</v>
      </c>
      <c r="C1693" s="1" t="s">
        <v>6854</v>
      </c>
    </row>
    <row r="1694" spans="1:3">
      <c r="A1694" s="15" t="s">
        <v>6855</v>
      </c>
      <c r="B1694" s="15" t="s">
        <v>6716</v>
      </c>
      <c r="C1694" s="1" t="s">
        <v>6856</v>
      </c>
    </row>
    <row r="1695" spans="1:3">
      <c r="A1695" s="15" t="s">
        <v>6857</v>
      </c>
      <c r="B1695" s="15" t="s">
        <v>2729</v>
      </c>
      <c r="C1695" s="1" t="s">
        <v>6858</v>
      </c>
    </row>
    <row r="1696" spans="1:3">
      <c r="A1696" s="15" t="s">
        <v>6859</v>
      </c>
      <c r="B1696" s="15" t="s">
        <v>3355</v>
      </c>
      <c r="C1696" s="1" t="s">
        <v>6860</v>
      </c>
    </row>
    <row r="1697" spans="1:3">
      <c r="A1697" s="15" t="s">
        <v>6861</v>
      </c>
      <c r="B1697" s="15" t="s">
        <v>5577</v>
      </c>
      <c r="C1697" s="1" t="s">
        <v>6862</v>
      </c>
    </row>
    <row r="1698" spans="1:3">
      <c r="A1698" s="15" t="s">
        <v>6863</v>
      </c>
      <c r="B1698" s="15" t="s">
        <v>205</v>
      </c>
      <c r="C1698" s="1" t="s">
        <v>206</v>
      </c>
    </row>
    <row r="1699" spans="1:3">
      <c r="A1699" s="15" t="s">
        <v>6864</v>
      </c>
      <c r="B1699" s="15" t="s">
        <v>5466</v>
      </c>
      <c r="C1699" s="1" t="s">
        <v>6865</v>
      </c>
    </row>
    <row r="1700" spans="1:3">
      <c r="A1700" s="15" t="s">
        <v>6866</v>
      </c>
      <c r="B1700" s="15" t="s">
        <v>3394</v>
      </c>
      <c r="C1700" s="1" t="s">
        <v>6867</v>
      </c>
    </row>
    <row r="1701" spans="1:3">
      <c r="A1701" s="15" t="s">
        <v>6868</v>
      </c>
      <c r="B1701" s="15" t="s">
        <v>3103</v>
      </c>
      <c r="C1701" s="1" t="s">
        <v>6869</v>
      </c>
    </row>
    <row r="1702" spans="1:3">
      <c r="A1702" s="15" t="s">
        <v>6870</v>
      </c>
      <c r="B1702" s="15" t="s">
        <v>6871</v>
      </c>
      <c r="C1702" s="1" t="s">
        <v>6872</v>
      </c>
    </row>
    <row r="1703" spans="1:3">
      <c r="A1703" s="15" t="s">
        <v>6873</v>
      </c>
      <c r="B1703" s="15" t="s">
        <v>22</v>
      </c>
      <c r="C1703" s="1" t="s">
        <v>23</v>
      </c>
    </row>
    <row r="1704" spans="1:3">
      <c r="A1704" s="15" t="s">
        <v>6874</v>
      </c>
      <c r="B1704" s="15" t="s">
        <v>6875</v>
      </c>
      <c r="C1704" s="1" t="s">
        <v>6876</v>
      </c>
    </row>
    <row r="1705" spans="1:3">
      <c r="A1705" s="15" t="s">
        <v>6877</v>
      </c>
      <c r="B1705" s="15" t="s">
        <v>205</v>
      </c>
      <c r="C1705" s="1" t="s">
        <v>218</v>
      </c>
    </row>
    <row r="1706" spans="1:3">
      <c r="A1706" s="15" t="s">
        <v>6878</v>
      </c>
      <c r="B1706" s="15" t="s">
        <v>2983</v>
      </c>
      <c r="C1706" s="1" t="s">
        <v>3376</v>
      </c>
    </row>
    <row r="1707" spans="1:3">
      <c r="A1707" s="15" t="s">
        <v>6879</v>
      </c>
      <c r="B1707" s="15" t="s">
        <v>322</v>
      </c>
      <c r="C1707" s="1" t="s">
        <v>6880</v>
      </c>
    </row>
    <row r="1708" spans="1:3">
      <c r="A1708" s="15" t="s">
        <v>6881</v>
      </c>
      <c r="B1708" s="15" t="s">
        <v>6882</v>
      </c>
      <c r="C1708" s="1" t="s">
        <v>3378</v>
      </c>
    </row>
    <row r="1709" spans="1:3">
      <c r="A1709" s="15" t="s">
        <v>6883</v>
      </c>
      <c r="B1709" s="15" t="s">
        <v>6884</v>
      </c>
      <c r="C1709" s="1" t="s">
        <v>6885</v>
      </c>
    </row>
    <row r="1710" spans="1:3">
      <c r="A1710" s="15" t="s">
        <v>6886</v>
      </c>
      <c r="B1710" s="15" t="s">
        <v>3154</v>
      </c>
      <c r="C1710" s="1" t="s">
        <v>3426</v>
      </c>
    </row>
    <row r="1711" spans="1:3">
      <c r="A1711" s="15" t="s">
        <v>6887</v>
      </c>
      <c r="B1711" s="15" t="s">
        <v>1415</v>
      </c>
      <c r="C1711" s="1" t="s">
        <v>6888</v>
      </c>
    </row>
    <row r="1712" spans="1:3">
      <c r="A1712" s="15" t="s">
        <v>6889</v>
      </c>
      <c r="B1712" s="15" t="s">
        <v>50</v>
      </c>
      <c r="C1712" s="1" t="s">
        <v>6890</v>
      </c>
    </row>
    <row r="1713" spans="1:3">
      <c r="A1713" s="15" t="s">
        <v>6891</v>
      </c>
      <c r="B1713" s="15" t="s">
        <v>3385</v>
      </c>
      <c r="C1713" s="1" t="s">
        <v>3386</v>
      </c>
    </row>
    <row r="1714" spans="1:3">
      <c r="A1714" s="15" t="s">
        <v>6892</v>
      </c>
      <c r="B1714" s="15" t="s">
        <v>3364</v>
      </c>
      <c r="C1714" s="1" t="s">
        <v>6893</v>
      </c>
    </row>
    <row r="1715" spans="1:3">
      <c r="A1715" s="15" t="s">
        <v>6894</v>
      </c>
      <c r="B1715" s="15" t="s">
        <v>6895</v>
      </c>
      <c r="C1715" s="1" t="s">
        <v>6896</v>
      </c>
    </row>
    <row r="1716" spans="1:3">
      <c r="A1716" s="15" t="s">
        <v>6897</v>
      </c>
      <c r="B1716" s="15" t="s">
        <v>6282</v>
      </c>
      <c r="C1716" s="1" t="s">
        <v>6898</v>
      </c>
    </row>
    <row r="1717" spans="1:3">
      <c r="A1717" s="15" t="s">
        <v>6899</v>
      </c>
      <c r="B1717" s="15" t="s">
        <v>279</v>
      </c>
      <c r="C1717" s="1" t="s">
        <v>6900</v>
      </c>
    </row>
    <row r="1718" spans="1:3">
      <c r="A1718" s="15" t="s">
        <v>6901</v>
      </c>
      <c r="B1718" s="15" t="s">
        <v>6713</v>
      </c>
      <c r="C1718" s="1" t="s">
        <v>6902</v>
      </c>
    </row>
    <row r="1719" spans="1:3">
      <c r="A1719" s="15" t="s">
        <v>6903</v>
      </c>
      <c r="B1719" s="15" t="s">
        <v>3434</v>
      </c>
      <c r="C1719" s="1" t="s">
        <v>3435</v>
      </c>
    </row>
    <row r="1720" spans="1:3">
      <c r="A1720" s="15" t="s">
        <v>6904</v>
      </c>
      <c r="B1720" s="15" t="s">
        <v>4144</v>
      </c>
      <c r="C1720" s="1" t="s">
        <v>6905</v>
      </c>
    </row>
    <row r="1721" spans="1:3">
      <c r="A1721" s="15" t="s">
        <v>6906</v>
      </c>
      <c r="B1721" s="15" t="s">
        <v>30</v>
      </c>
      <c r="C1721" s="1" t="s">
        <v>6907</v>
      </c>
    </row>
    <row r="1722" spans="1:3">
      <c r="A1722" s="15" t="s">
        <v>6908</v>
      </c>
      <c r="B1722" s="15" t="s">
        <v>3863</v>
      </c>
      <c r="C1722" s="1" t="s">
        <v>6909</v>
      </c>
    </row>
    <row r="1723" spans="1:3">
      <c r="A1723" s="15" t="s">
        <v>6910</v>
      </c>
      <c r="B1723" s="15" t="s">
        <v>6911</v>
      </c>
      <c r="C1723" s="1" t="s">
        <v>6912</v>
      </c>
    </row>
    <row r="1724" spans="1:3">
      <c r="A1724" s="15" t="s">
        <v>6913</v>
      </c>
      <c r="B1724" s="15" t="s">
        <v>161</v>
      </c>
      <c r="C1724" s="1" t="s">
        <v>166</v>
      </c>
    </row>
    <row r="1725" spans="1:3">
      <c r="A1725" s="15" t="s">
        <v>6914</v>
      </c>
      <c r="B1725" s="15" t="s">
        <v>500</v>
      </c>
      <c r="C1725" s="1" t="s">
        <v>6915</v>
      </c>
    </row>
    <row r="1726" spans="1:3">
      <c r="A1726" s="15" t="s">
        <v>6916</v>
      </c>
      <c r="B1726" s="15" t="s">
        <v>1951</v>
      </c>
      <c r="C1726" s="1" t="s">
        <v>6917</v>
      </c>
    </row>
    <row r="1727" spans="1:3">
      <c r="A1727" s="15" t="s">
        <v>6918</v>
      </c>
      <c r="B1727" s="15" t="s">
        <v>16</v>
      </c>
      <c r="C1727" s="1" t="s">
        <v>6919</v>
      </c>
    </row>
    <row r="1728" spans="1:3">
      <c r="A1728" s="15" t="s">
        <v>6920</v>
      </c>
      <c r="B1728" s="15" t="s">
        <v>6911</v>
      </c>
      <c r="C1728" s="1" t="s">
        <v>6921</v>
      </c>
    </row>
    <row r="1729" spans="1:3">
      <c r="A1729" s="15" t="s">
        <v>6922</v>
      </c>
      <c r="B1729" s="15" t="s">
        <v>2377</v>
      </c>
      <c r="C1729" s="1" t="s">
        <v>6923</v>
      </c>
    </row>
    <row r="1730" spans="1:3">
      <c r="A1730" s="15" t="s">
        <v>6924</v>
      </c>
      <c r="B1730" s="15" t="s">
        <v>24</v>
      </c>
      <c r="C1730" s="1" t="s">
        <v>3402</v>
      </c>
    </row>
    <row r="1731" spans="1:3">
      <c r="A1731" s="15" t="s">
        <v>6925</v>
      </c>
      <c r="B1731" s="15" t="s">
        <v>16</v>
      </c>
      <c r="C1731" s="1" t="s">
        <v>6926</v>
      </c>
    </row>
    <row r="1732" spans="1:3">
      <c r="A1732" s="15" t="s">
        <v>6927</v>
      </c>
      <c r="B1732" s="15" t="s">
        <v>2377</v>
      </c>
      <c r="C1732" s="1" t="s">
        <v>6928</v>
      </c>
    </row>
    <row r="1733" spans="1:3">
      <c r="A1733" s="15" t="s">
        <v>6929</v>
      </c>
      <c r="B1733" s="15" t="s">
        <v>191</v>
      </c>
      <c r="C1733" s="1" t="s">
        <v>6930</v>
      </c>
    </row>
    <row r="1734" spans="1:3">
      <c r="A1734" s="15" t="s">
        <v>6931</v>
      </c>
      <c r="B1734" s="15" t="s">
        <v>4244</v>
      </c>
      <c r="C1734" s="1" t="s">
        <v>6932</v>
      </c>
    </row>
    <row r="1735" spans="1:3">
      <c r="A1735" s="15" t="s">
        <v>6933</v>
      </c>
      <c r="B1735" s="15" t="s">
        <v>279</v>
      </c>
      <c r="C1735" s="1" t="s">
        <v>280</v>
      </c>
    </row>
    <row r="1736" spans="1:3">
      <c r="A1736" s="15" t="s">
        <v>6934</v>
      </c>
      <c r="B1736" s="15" t="s">
        <v>3349</v>
      </c>
      <c r="C1736" s="1" t="s">
        <v>3350</v>
      </c>
    </row>
    <row r="1737" spans="1:3">
      <c r="A1737" s="15" t="s">
        <v>6935</v>
      </c>
      <c r="B1737" s="15" t="s">
        <v>16</v>
      </c>
      <c r="C1737" s="1" t="s">
        <v>58</v>
      </c>
    </row>
    <row r="1738" spans="1:3">
      <c r="A1738" s="15" t="s">
        <v>6936</v>
      </c>
      <c r="B1738" s="15" t="s">
        <v>191</v>
      </c>
      <c r="C1738" s="1" t="s">
        <v>6937</v>
      </c>
    </row>
    <row r="1739" spans="1:3">
      <c r="A1739" s="15" t="s">
        <v>6938</v>
      </c>
      <c r="B1739" s="15" t="s">
        <v>3364</v>
      </c>
      <c r="C1739" s="1" t="s">
        <v>6939</v>
      </c>
    </row>
    <row r="1740" spans="1:3">
      <c r="A1740" s="15" t="s">
        <v>6940</v>
      </c>
      <c r="B1740" s="15" t="s">
        <v>6941</v>
      </c>
      <c r="C1740" s="1" t="s">
        <v>6942</v>
      </c>
    </row>
    <row r="1741" spans="1:3">
      <c r="A1741" s="15" t="s">
        <v>6943</v>
      </c>
      <c r="B1741" s="15" t="s">
        <v>67</v>
      </c>
      <c r="C1741" s="1" t="s">
        <v>68</v>
      </c>
    </row>
    <row r="1742" spans="1:3">
      <c r="A1742" s="15" t="s">
        <v>6944</v>
      </c>
      <c r="B1742" s="15" t="s">
        <v>1112</v>
      </c>
      <c r="C1742" s="1" t="s">
        <v>6945</v>
      </c>
    </row>
    <row r="1743" spans="1:3">
      <c r="A1743" s="15" t="s">
        <v>6946</v>
      </c>
      <c r="B1743" s="15" t="s">
        <v>3790</v>
      </c>
      <c r="C1743" s="1" t="s">
        <v>6947</v>
      </c>
    </row>
    <row r="1744" spans="1:3">
      <c r="A1744" s="15" t="s">
        <v>6948</v>
      </c>
      <c r="B1744" s="15" t="s">
        <v>16</v>
      </c>
      <c r="C1744" s="1" t="s">
        <v>58</v>
      </c>
    </row>
    <row r="1745" spans="1:3">
      <c r="A1745" s="15" t="s">
        <v>6949</v>
      </c>
      <c r="B1745" s="15" t="s">
        <v>6950</v>
      </c>
      <c r="C1745" s="1" t="s">
        <v>6951</v>
      </c>
    </row>
    <row r="1746" spans="1:3">
      <c r="A1746" s="15" t="s">
        <v>6952</v>
      </c>
      <c r="B1746" s="15" t="s">
        <v>1429</v>
      </c>
      <c r="C1746" s="1" t="s">
        <v>6953</v>
      </c>
    </row>
    <row r="1747" spans="1:3">
      <c r="A1747" s="15" t="s">
        <v>6954</v>
      </c>
      <c r="B1747" s="15" t="s">
        <v>248</v>
      </c>
      <c r="C1747" s="1" t="s">
        <v>6955</v>
      </c>
    </row>
    <row r="1748" spans="1:3">
      <c r="A1748" s="15" t="s">
        <v>6956</v>
      </c>
      <c r="B1748" s="15" t="s">
        <v>966</v>
      </c>
      <c r="C1748" s="1" t="s">
        <v>6957</v>
      </c>
    </row>
    <row r="1749" spans="1:3">
      <c r="A1749" s="15" t="s">
        <v>6958</v>
      </c>
      <c r="B1749" s="15" t="s">
        <v>6959</v>
      </c>
      <c r="C1749" s="1" t="s">
        <v>6960</v>
      </c>
    </row>
    <row r="1750" spans="1:3">
      <c r="A1750" s="15" t="s">
        <v>6961</v>
      </c>
      <c r="B1750" s="15" t="s">
        <v>222</v>
      </c>
      <c r="C1750" s="1" t="s">
        <v>6962</v>
      </c>
    </row>
    <row r="1751" spans="1:3">
      <c r="A1751" s="15" t="s">
        <v>6963</v>
      </c>
      <c r="B1751" s="15" t="s">
        <v>6964</v>
      </c>
      <c r="C1751" s="1" t="s">
        <v>6965</v>
      </c>
    </row>
    <row r="1752" spans="1:3">
      <c r="A1752" s="15" t="s">
        <v>6966</v>
      </c>
      <c r="B1752" s="15" t="s">
        <v>248</v>
      </c>
      <c r="C1752" s="1" t="s">
        <v>6967</v>
      </c>
    </row>
    <row r="1753" spans="1:3">
      <c r="A1753" s="15" t="s">
        <v>6968</v>
      </c>
      <c r="B1753" s="15" t="s">
        <v>2749</v>
      </c>
      <c r="C1753" s="1" t="s">
        <v>6969</v>
      </c>
    </row>
    <row r="1754" spans="1:3">
      <c r="A1754" s="15" t="s">
        <v>6970</v>
      </c>
      <c r="B1754" s="15" t="s">
        <v>6971</v>
      </c>
      <c r="C1754" s="1" t="s">
        <v>6972</v>
      </c>
    </row>
    <row r="1755" spans="1:3">
      <c r="A1755" s="15" t="s">
        <v>6973</v>
      </c>
      <c r="B1755" s="15" t="s">
        <v>3998</v>
      </c>
      <c r="C1755" s="1" t="s">
        <v>6955</v>
      </c>
    </row>
    <row r="1756" spans="1:3">
      <c r="A1756" s="15" t="s">
        <v>6974</v>
      </c>
      <c r="B1756" s="15" t="s">
        <v>500</v>
      </c>
      <c r="C1756" s="1" t="s">
        <v>6975</v>
      </c>
    </row>
    <row r="1757" spans="1:3">
      <c r="A1757" s="15" t="s">
        <v>6976</v>
      </c>
      <c r="B1757" s="15" t="s">
        <v>1254</v>
      </c>
      <c r="C1757" s="1" t="s">
        <v>6977</v>
      </c>
    </row>
    <row r="1758" spans="1:3">
      <c r="A1758" s="15" t="s">
        <v>6978</v>
      </c>
      <c r="B1758" s="15" t="s">
        <v>30</v>
      </c>
      <c r="C1758" s="1" t="s">
        <v>6979</v>
      </c>
    </row>
    <row r="1759" spans="1:3">
      <c r="A1759" s="15" t="s">
        <v>6980</v>
      </c>
      <c r="B1759" s="15" t="s">
        <v>30</v>
      </c>
      <c r="C1759" s="1" t="s">
        <v>6981</v>
      </c>
    </row>
    <row r="1760" spans="1:3">
      <c r="A1760" s="15" t="s">
        <v>6982</v>
      </c>
      <c r="B1760" s="15" t="s">
        <v>6983</v>
      </c>
      <c r="C1760" s="1" t="s">
        <v>6984</v>
      </c>
    </row>
    <row r="1761" spans="1:3">
      <c r="A1761" s="15" t="s">
        <v>6985</v>
      </c>
      <c r="B1761" s="15" t="s">
        <v>6986</v>
      </c>
      <c r="C1761" s="1" t="s">
        <v>4185</v>
      </c>
    </row>
    <row r="1762" spans="1:3">
      <c r="A1762" s="15" t="s">
        <v>6987</v>
      </c>
      <c r="B1762" s="15" t="s">
        <v>6988</v>
      </c>
      <c r="C1762" s="1" t="s">
        <v>6989</v>
      </c>
    </row>
    <row r="1763" spans="1:3">
      <c r="A1763" s="15" t="s">
        <v>6990</v>
      </c>
      <c r="B1763" s="15" t="s">
        <v>3863</v>
      </c>
      <c r="C1763" s="1" t="s">
        <v>6991</v>
      </c>
    </row>
    <row r="1764" spans="1:3">
      <c r="A1764" s="15" t="s">
        <v>6992</v>
      </c>
      <c r="B1764" s="15" t="s">
        <v>3191</v>
      </c>
      <c r="C1764" s="1" t="s">
        <v>3480</v>
      </c>
    </row>
    <row r="1765" spans="1:3">
      <c r="A1765" s="15" t="s">
        <v>6993</v>
      </c>
      <c r="B1765" s="15" t="s">
        <v>6994</v>
      </c>
      <c r="C1765" s="1" t="s">
        <v>6995</v>
      </c>
    </row>
    <row r="1766" spans="1:3">
      <c r="A1766" s="15" t="s">
        <v>6996</v>
      </c>
      <c r="B1766" s="15" t="s">
        <v>182</v>
      </c>
      <c r="C1766" s="1" t="s">
        <v>183</v>
      </c>
    </row>
    <row r="1767" spans="1:3">
      <c r="A1767" s="15" t="s">
        <v>6997</v>
      </c>
      <c r="B1767" s="15" t="s">
        <v>3497</v>
      </c>
      <c r="C1767" s="1" t="s">
        <v>3498</v>
      </c>
    </row>
    <row r="1768" spans="1:3">
      <c r="A1768" s="15" t="s">
        <v>6998</v>
      </c>
      <c r="B1768" s="15" t="s">
        <v>6999</v>
      </c>
      <c r="C1768" s="1" t="s">
        <v>7000</v>
      </c>
    </row>
    <row r="1769" spans="1:3">
      <c r="A1769" s="15" t="s">
        <v>7001</v>
      </c>
      <c r="B1769" s="15" t="s">
        <v>171</v>
      </c>
      <c r="C1769" s="1" t="s">
        <v>172</v>
      </c>
    </row>
    <row r="1770" spans="1:3">
      <c r="A1770" s="15" t="s">
        <v>7002</v>
      </c>
      <c r="B1770" s="15" t="s">
        <v>2547</v>
      </c>
      <c r="C1770" s="1" t="s">
        <v>7003</v>
      </c>
    </row>
    <row r="1771" spans="1:3">
      <c r="A1771" s="15" t="s">
        <v>7004</v>
      </c>
      <c r="B1771" s="15" t="s">
        <v>7005</v>
      </c>
      <c r="C1771" s="1" t="s">
        <v>7006</v>
      </c>
    </row>
    <row r="1772" spans="1:3">
      <c r="A1772" s="1" t="s">
        <v>7007</v>
      </c>
      <c r="B1772" s="1" t="s">
        <v>7008</v>
      </c>
      <c r="C1772" s="1" t="s">
        <v>7009</v>
      </c>
    </row>
    <row r="1773" spans="1:3">
      <c r="A1773" s="1" t="s">
        <v>7010</v>
      </c>
      <c r="B1773" s="1" t="s">
        <v>1191</v>
      </c>
      <c r="C1773" s="1" t="s">
        <v>7011</v>
      </c>
    </row>
    <row r="1774" spans="1:3">
      <c r="A1774" s="1" t="s">
        <v>7012</v>
      </c>
      <c r="B1774" s="1" t="s">
        <v>3926</v>
      </c>
      <c r="C1774" s="226" t="s">
        <v>7013</v>
      </c>
    </row>
    <row r="1775" spans="1:3">
      <c r="A1775" s="1" t="s">
        <v>7014</v>
      </c>
      <c r="B1775" s="1" t="s">
        <v>7015</v>
      </c>
      <c r="C1775" s="1" t="s">
        <v>7016</v>
      </c>
    </row>
    <row r="1776" spans="1:3">
      <c r="A1776" s="1" t="s">
        <v>7017</v>
      </c>
      <c r="B1776" s="1" t="s">
        <v>1429</v>
      </c>
      <c r="C1776" s="1" t="s">
        <v>7018</v>
      </c>
    </row>
    <row r="1777" spans="1:3">
      <c r="A1777" s="1" t="s">
        <v>7019</v>
      </c>
      <c r="B1777" s="1" t="s">
        <v>7020</v>
      </c>
      <c r="C1777" s="1" t="s">
        <v>3375</v>
      </c>
    </row>
    <row r="1778" spans="1:3">
      <c r="A1778" s="1" t="s">
        <v>7021</v>
      </c>
      <c r="B1778" s="1" t="s">
        <v>4318</v>
      </c>
      <c r="C1778" s="228" t="s">
        <v>7022</v>
      </c>
    </row>
    <row r="1779" spans="1:3">
      <c r="A1779" s="1" t="s">
        <v>7023</v>
      </c>
      <c r="B1779" s="1" t="s">
        <v>7024</v>
      </c>
      <c r="C1779" s="1" t="s">
        <v>7025</v>
      </c>
    </row>
    <row r="1780" spans="1:3">
      <c r="A1780" s="1" t="s">
        <v>7026</v>
      </c>
      <c r="B1780" s="1" t="s">
        <v>3790</v>
      </c>
      <c r="C1780" s="1" t="s">
        <v>7027</v>
      </c>
    </row>
    <row r="1781" spans="1:3">
      <c r="A1781" s="1" t="s">
        <v>7028</v>
      </c>
      <c r="B1781" s="1" t="s">
        <v>201</v>
      </c>
      <c r="C1781" s="1" t="s">
        <v>7029</v>
      </c>
    </row>
    <row r="1782" spans="1:3">
      <c r="A1782" s="1" t="s">
        <v>7030</v>
      </c>
      <c r="B1782" s="1" t="s">
        <v>924</v>
      </c>
      <c r="C1782" s="1" t="s">
        <v>7031</v>
      </c>
    </row>
    <row r="1783" spans="1:3">
      <c r="A1783" s="1" t="s">
        <v>7032</v>
      </c>
      <c r="B1783" s="1" t="s">
        <v>163</v>
      </c>
      <c r="C1783" s="1" t="s">
        <v>7033</v>
      </c>
    </row>
    <row r="1784" spans="1:3">
      <c r="A1784" s="1" t="s">
        <v>7034</v>
      </c>
      <c r="B1784" s="1" t="s">
        <v>1112</v>
      </c>
      <c r="C1784" s="1" t="s">
        <v>7035</v>
      </c>
    </row>
    <row r="1785" spans="1:3">
      <c r="A1785" s="1" t="s">
        <v>7036</v>
      </c>
      <c r="B1785" s="1" t="s">
        <v>3659</v>
      </c>
      <c r="C1785" s="1" t="s">
        <v>7037</v>
      </c>
    </row>
    <row r="1786" spans="1:3">
      <c r="A1786" s="1" t="s">
        <v>7038</v>
      </c>
      <c r="B1786" s="1" t="s">
        <v>2852</v>
      </c>
      <c r="C1786" s="1" t="s">
        <v>7039</v>
      </c>
    </row>
    <row r="1787" spans="1:3">
      <c r="A1787" s="1" t="s">
        <v>7040</v>
      </c>
      <c r="B1787" s="1" t="s">
        <v>6182</v>
      </c>
      <c r="C1787" s="1" t="s">
        <v>7041</v>
      </c>
    </row>
    <row r="1788" spans="1:3">
      <c r="A1788" s="1" t="s">
        <v>7042</v>
      </c>
      <c r="B1788" s="1" t="s">
        <v>201</v>
      </c>
      <c r="C1788" s="1" t="s">
        <v>7043</v>
      </c>
    </row>
    <row r="1789" spans="1:3">
      <c r="A1789" s="1" t="s">
        <v>7044</v>
      </c>
      <c r="B1789" s="1" t="s">
        <v>90</v>
      </c>
      <c r="C1789" s="1" t="s">
        <v>3425</v>
      </c>
    </row>
    <row r="1790" spans="1:3">
      <c r="A1790" s="1" t="s">
        <v>7045</v>
      </c>
      <c r="B1790" s="1" t="s">
        <v>7046</v>
      </c>
      <c r="C1790" s="1" t="s">
        <v>7047</v>
      </c>
    </row>
    <row r="1791" spans="1:3">
      <c r="A1791" s="1" t="s">
        <v>7048</v>
      </c>
      <c r="B1791" s="1" t="s">
        <v>7020</v>
      </c>
      <c r="C1791" s="1" t="s">
        <v>3455</v>
      </c>
    </row>
    <row r="1792" spans="1:3">
      <c r="A1792" s="1" t="s">
        <v>7049</v>
      </c>
      <c r="B1792" s="1" t="s">
        <v>7050</v>
      </c>
      <c r="C1792" s="1" t="s">
        <v>7051</v>
      </c>
    </row>
    <row r="1793" spans="1:3" ht="15">
      <c r="A1793" s="1" t="s">
        <v>7052</v>
      </c>
      <c r="B1793" s="1" t="s">
        <v>141</v>
      </c>
      <c r="C1793" s="229" t="s">
        <v>3382</v>
      </c>
    </row>
    <row r="1794" spans="1:3">
      <c r="A1794" s="1" t="s">
        <v>7053</v>
      </c>
      <c r="B1794" s="1" t="s">
        <v>248</v>
      </c>
      <c r="C1794" s="1" t="s">
        <v>7054</v>
      </c>
    </row>
    <row r="1795" spans="1:3">
      <c r="A1795" s="1" t="s">
        <v>7055</v>
      </c>
      <c r="B1795" s="1" t="s">
        <v>7056</v>
      </c>
      <c r="C1795" s="1" t="s">
        <v>7057</v>
      </c>
    </row>
    <row r="1796" spans="1:3">
      <c r="A1796" s="1" t="s">
        <v>7058</v>
      </c>
      <c r="B1796" s="1" t="s">
        <v>128</v>
      </c>
      <c r="C1796" s="31" t="s">
        <v>7059</v>
      </c>
    </row>
    <row r="1797" spans="1:3">
      <c r="A1797" s="1" t="s">
        <v>7060</v>
      </c>
      <c r="B1797" s="1" t="s">
        <v>7061</v>
      </c>
      <c r="C1797" s="1" t="s">
        <v>7062</v>
      </c>
    </row>
    <row r="1798" spans="1:3">
      <c r="A1798" s="1" t="s">
        <v>7063</v>
      </c>
      <c r="B1798" s="1" t="s">
        <v>3790</v>
      </c>
      <c r="C1798" s="1" t="s">
        <v>7064</v>
      </c>
    </row>
    <row r="1799" spans="1:3">
      <c r="A1799" s="1" t="s">
        <v>7065</v>
      </c>
      <c r="B1799" s="1" t="s">
        <v>161</v>
      </c>
      <c r="C1799" s="1" t="s">
        <v>7066</v>
      </c>
    </row>
    <row r="1800" spans="1:3" ht="15">
      <c r="A1800" s="1" t="s">
        <v>7067</v>
      </c>
      <c r="B1800" s="1" t="s">
        <v>500</v>
      </c>
      <c r="C1800" s="230" t="s">
        <v>3393</v>
      </c>
    </row>
    <row r="1801" spans="1:3">
      <c r="A1801" s="1" t="s">
        <v>7068</v>
      </c>
      <c r="B1801" s="1" t="s">
        <v>145</v>
      </c>
      <c r="C1801" s="1" t="s">
        <v>7069</v>
      </c>
    </row>
    <row r="1802" spans="1:3">
      <c r="A1802" s="1" t="s">
        <v>7070</v>
      </c>
      <c r="B1802" s="1" t="s">
        <v>7020</v>
      </c>
      <c r="C1802" s="1" t="s">
        <v>3455</v>
      </c>
    </row>
    <row r="1803" spans="1:3">
      <c r="A1803" s="1" t="s">
        <v>7071</v>
      </c>
      <c r="B1803" s="1" t="s">
        <v>3790</v>
      </c>
      <c r="C1803" s="1" t="s">
        <v>3446</v>
      </c>
    </row>
    <row r="1804" spans="1:3">
      <c r="A1804" s="1" t="s">
        <v>7072</v>
      </c>
      <c r="B1804" s="1" t="s">
        <v>161</v>
      </c>
      <c r="C1804" s="1" t="s">
        <v>7073</v>
      </c>
    </row>
    <row r="1805" spans="1:3">
      <c r="A1805" s="1" t="s">
        <v>7074</v>
      </c>
      <c r="B1805" s="1" t="s">
        <v>145</v>
      </c>
      <c r="C1805" s="1" t="s">
        <v>7075</v>
      </c>
    </row>
    <row r="1806" spans="1:3">
      <c r="A1806" s="1" t="s">
        <v>7076</v>
      </c>
      <c r="B1806" s="1" t="s">
        <v>3790</v>
      </c>
      <c r="C1806" s="1" t="s">
        <v>7077</v>
      </c>
    </row>
    <row r="1807" spans="1:3">
      <c r="A1807" s="1" t="s">
        <v>7078</v>
      </c>
      <c r="B1807" s="1" t="s">
        <v>500</v>
      </c>
      <c r="C1807" s="1" t="s">
        <v>7079</v>
      </c>
    </row>
    <row r="1808" spans="1:3">
      <c r="A1808" s="1" t="s">
        <v>7080</v>
      </c>
      <c r="B1808" s="1" t="s">
        <v>98</v>
      </c>
      <c r="C1808" s="1" t="s">
        <v>7081</v>
      </c>
    </row>
    <row r="1809" spans="1:3">
      <c r="A1809" s="1" t="s">
        <v>7082</v>
      </c>
      <c r="B1809" s="1" t="s">
        <v>253</v>
      </c>
      <c r="C1809" s="231" t="s">
        <v>254</v>
      </c>
    </row>
    <row r="1810" spans="1:3">
      <c r="A1810" s="1" t="s">
        <v>7083</v>
      </c>
      <c r="B1810" s="1" t="s">
        <v>3073</v>
      </c>
      <c r="C1810" s="1" t="s">
        <v>29</v>
      </c>
    </row>
    <row r="1811" spans="1:3">
      <c r="A1811" s="1" t="s">
        <v>7084</v>
      </c>
      <c r="B1811" s="1" t="s">
        <v>7085</v>
      </c>
      <c r="C1811" s="1" t="s">
        <v>3424</v>
      </c>
    </row>
    <row r="1812" spans="1:3">
      <c r="A1812" s="1" t="s">
        <v>7086</v>
      </c>
      <c r="B1812" s="1" t="s">
        <v>7087</v>
      </c>
      <c r="C1812" s="1" t="s">
        <v>7088</v>
      </c>
    </row>
    <row r="1813" spans="1:3">
      <c r="A1813" s="1" t="s">
        <v>7089</v>
      </c>
      <c r="B1813" s="1" t="s">
        <v>7090</v>
      </c>
      <c r="C1813" s="1" t="s">
        <v>7091</v>
      </c>
    </row>
    <row r="1814" spans="1:3">
      <c r="A1814" s="1" t="s">
        <v>7092</v>
      </c>
      <c r="B1814" s="1" t="s">
        <v>83</v>
      </c>
      <c r="C1814" s="1" t="s">
        <v>7093</v>
      </c>
    </row>
    <row r="1815" spans="1:3">
      <c r="A1815" s="1" t="s">
        <v>7094</v>
      </c>
      <c r="B1815" s="1" t="s">
        <v>161</v>
      </c>
      <c r="C1815" s="1" t="s">
        <v>7095</v>
      </c>
    </row>
    <row r="1816" spans="1:3">
      <c r="A1816" s="1" t="s">
        <v>7096</v>
      </c>
      <c r="B1816" s="1" t="s">
        <v>261</v>
      </c>
      <c r="C1816" s="1" t="s">
        <v>7097</v>
      </c>
    </row>
    <row r="1817" spans="1:3">
      <c r="A1817" s="1" t="s">
        <v>7098</v>
      </c>
      <c r="B1817" s="1" t="s">
        <v>16</v>
      </c>
      <c r="C1817" s="1" t="s">
        <v>7099</v>
      </c>
    </row>
    <row r="1818" spans="1:3">
      <c r="A1818" s="1" t="s">
        <v>7100</v>
      </c>
      <c r="B1818" s="1" t="s">
        <v>7101</v>
      </c>
      <c r="C1818" s="1" t="s">
        <v>7102</v>
      </c>
    </row>
    <row r="1819" spans="1:3">
      <c r="A1819" s="1" t="s">
        <v>7103</v>
      </c>
      <c r="B1819" s="1" t="s">
        <v>92</v>
      </c>
      <c r="C1819" s="1" t="s">
        <v>7104</v>
      </c>
    </row>
    <row r="1820" spans="1:3">
      <c r="A1820" s="1" t="s">
        <v>7105</v>
      </c>
      <c r="B1820" s="1" t="s">
        <v>3445</v>
      </c>
      <c r="C1820" s="1" t="s">
        <v>3446</v>
      </c>
    </row>
    <row r="1821" spans="1:3">
      <c r="A1821" s="1" t="s">
        <v>7106</v>
      </c>
      <c r="B1821" s="1" t="s">
        <v>7008</v>
      </c>
      <c r="C1821" s="1" t="s">
        <v>7107</v>
      </c>
    </row>
    <row r="1822" spans="1:3" ht="15">
      <c r="A1822" s="1" t="s">
        <v>7108</v>
      </c>
      <c r="B1822" s="1" t="s">
        <v>124</v>
      </c>
      <c r="C1822" s="229" t="s">
        <v>125</v>
      </c>
    </row>
    <row r="1823" spans="1:3">
      <c r="A1823" s="1" t="s">
        <v>7109</v>
      </c>
      <c r="B1823" s="1" t="s">
        <v>3112</v>
      </c>
      <c r="C1823" s="1" t="s">
        <v>7110</v>
      </c>
    </row>
    <row r="1824" spans="1:3">
      <c r="A1824" s="1" t="s">
        <v>7111</v>
      </c>
      <c r="B1824" s="1" t="s">
        <v>7020</v>
      </c>
      <c r="C1824" s="1" t="s">
        <v>7112</v>
      </c>
    </row>
    <row r="1825" spans="1:3">
      <c r="A1825" s="1" t="s">
        <v>7113</v>
      </c>
      <c r="B1825" s="1" t="s">
        <v>7114</v>
      </c>
      <c r="C1825" s="1" t="s">
        <v>7115</v>
      </c>
    </row>
    <row r="1826" spans="1:3">
      <c r="A1826" s="1" t="s">
        <v>7116</v>
      </c>
      <c r="B1826" s="1" t="s">
        <v>7008</v>
      </c>
      <c r="C1826" s="1" t="s">
        <v>7117</v>
      </c>
    </row>
    <row r="1827" spans="1:3">
      <c r="A1827" s="1" t="s">
        <v>7118</v>
      </c>
      <c r="B1827" s="1" t="s">
        <v>3272</v>
      </c>
      <c r="C1827" s="1" t="s">
        <v>7119</v>
      </c>
    </row>
    <row r="1828" spans="1:3">
      <c r="A1828" s="1" t="s">
        <v>7120</v>
      </c>
      <c r="B1828" s="1" t="s">
        <v>7020</v>
      </c>
      <c r="C1828" s="1" t="s">
        <v>7121</v>
      </c>
    </row>
    <row r="1829" spans="1:3">
      <c r="A1829" s="1" t="s">
        <v>7122</v>
      </c>
      <c r="B1829" s="1" t="s">
        <v>7123</v>
      </c>
      <c r="C1829" s="1" t="s">
        <v>7124</v>
      </c>
    </row>
    <row r="1830" spans="1:3">
      <c r="A1830" s="1" t="s">
        <v>7125</v>
      </c>
      <c r="B1830" s="1" t="s">
        <v>128</v>
      </c>
      <c r="C1830" s="1" t="s">
        <v>7126</v>
      </c>
    </row>
    <row r="1831" spans="1:3">
      <c r="A1831" s="1" t="s">
        <v>7127</v>
      </c>
      <c r="B1831" s="1" t="s">
        <v>7128</v>
      </c>
      <c r="C1831" s="1" t="s">
        <v>7129</v>
      </c>
    </row>
    <row r="1832" spans="1:3">
      <c r="A1832" s="1" t="s">
        <v>7130</v>
      </c>
      <c r="B1832" s="1" t="s">
        <v>2959</v>
      </c>
      <c r="C1832" s="1" t="s">
        <v>3413</v>
      </c>
    </row>
    <row r="1833" spans="1:3">
      <c r="A1833" s="1" t="s">
        <v>7131</v>
      </c>
      <c r="B1833" s="1" t="s">
        <v>253</v>
      </c>
      <c r="C1833" s="1" t="s">
        <v>7132</v>
      </c>
    </row>
    <row r="1834" spans="1:3">
      <c r="A1834" s="1" t="s">
        <v>7133</v>
      </c>
      <c r="B1834" s="1" t="s">
        <v>90</v>
      </c>
      <c r="C1834" s="1" t="s">
        <v>7134</v>
      </c>
    </row>
    <row r="1835" spans="1:3">
      <c r="A1835" s="1" t="s">
        <v>7135</v>
      </c>
      <c r="B1835" s="1" t="s">
        <v>899</v>
      </c>
      <c r="C1835" s="1" t="s">
        <v>7136</v>
      </c>
    </row>
    <row r="1836" spans="1:3">
      <c r="A1836" s="1" t="s">
        <v>7137</v>
      </c>
      <c r="B1836" s="1" t="s">
        <v>7138</v>
      </c>
      <c r="C1836" s="232" t="s">
        <v>7139</v>
      </c>
    </row>
    <row r="1837" spans="1:3">
      <c r="A1837" s="1" t="s">
        <v>7140</v>
      </c>
      <c r="B1837" s="1" t="s">
        <v>1951</v>
      </c>
      <c r="C1837" s="1" t="s">
        <v>7141</v>
      </c>
    </row>
    <row r="1838" spans="1:3">
      <c r="A1838" s="1" t="s">
        <v>7142</v>
      </c>
      <c r="B1838" s="1" t="s">
        <v>1191</v>
      </c>
      <c r="C1838" s="1" t="s">
        <v>7143</v>
      </c>
    </row>
    <row r="1839" spans="1:3">
      <c r="A1839" s="1" t="s">
        <v>7144</v>
      </c>
      <c r="B1839" s="1" t="s">
        <v>110</v>
      </c>
      <c r="C1839" s="1" t="s">
        <v>111</v>
      </c>
    </row>
    <row r="1840" spans="1:3">
      <c r="A1840" s="1" t="s">
        <v>7145</v>
      </c>
      <c r="B1840" s="1" t="s">
        <v>130</v>
      </c>
      <c r="C1840" s="1" t="s">
        <v>131</v>
      </c>
    </row>
    <row r="1841" spans="1:3">
      <c r="A1841" s="1" t="s">
        <v>7146</v>
      </c>
      <c r="B1841" s="1" t="s">
        <v>7147</v>
      </c>
      <c r="C1841" s="1" t="s">
        <v>7148</v>
      </c>
    </row>
    <row r="1842" spans="1:3">
      <c r="A1842" s="1" t="s">
        <v>7149</v>
      </c>
      <c r="B1842" s="233" t="s">
        <v>139</v>
      </c>
      <c r="C1842" s="1" t="s">
        <v>7150</v>
      </c>
    </row>
    <row r="1843" spans="1:3">
      <c r="A1843" s="1" t="s">
        <v>7151</v>
      </c>
      <c r="B1843" s="1" t="s">
        <v>500</v>
      </c>
      <c r="C1843" s="1" t="s">
        <v>151</v>
      </c>
    </row>
    <row r="1844" spans="1:3">
      <c r="A1844" s="1" t="s">
        <v>7152</v>
      </c>
      <c r="B1844" s="1" t="s">
        <v>241</v>
      </c>
      <c r="C1844" s="1" t="s">
        <v>144</v>
      </c>
    </row>
    <row r="1845" spans="1:3">
      <c r="A1845" s="1" t="s">
        <v>7153</v>
      </c>
      <c r="B1845" s="1" t="s">
        <v>1099</v>
      </c>
      <c r="C1845" s="1" t="s">
        <v>7154</v>
      </c>
    </row>
    <row r="1846" spans="1:3">
      <c r="A1846" s="1" t="s">
        <v>7155</v>
      </c>
      <c r="B1846" s="1" t="s">
        <v>7156</v>
      </c>
      <c r="C1846" s="1" t="s">
        <v>7157</v>
      </c>
    </row>
    <row r="1847" spans="1:3">
      <c r="A1847" s="1" t="s">
        <v>7158</v>
      </c>
      <c r="B1847" s="1" t="s">
        <v>1191</v>
      </c>
      <c r="C1847" s="1" t="s">
        <v>7159</v>
      </c>
    </row>
    <row r="1848" spans="1:3">
      <c r="A1848" s="1" t="s">
        <v>7160</v>
      </c>
      <c r="B1848" s="1" t="s">
        <v>189</v>
      </c>
      <c r="C1848" s="1" t="s">
        <v>7161</v>
      </c>
    </row>
    <row r="1849" spans="1:3">
      <c r="A1849" s="1" t="s">
        <v>7162</v>
      </c>
      <c r="B1849" s="1" t="s">
        <v>195</v>
      </c>
      <c r="C1849" s="1" t="s">
        <v>7163</v>
      </c>
    </row>
    <row r="1850" spans="1:3">
      <c r="A1850" s="1" t="s">
        <v>7164</v>
      </c>
      <c r="B1850" s="1" t="s">
        <v>39</v>
      </c>
      <c r="C1850" s="1" t="s">
        <v>7165</v>
      </c>
    </row>
    <row r="1851" spans="1:3">
      <c r="A1851" s="1" t="s">
        <v>7166</v>
      </c>
      <c r="B1851" s="1" t="s">
        <v>90</v>
      </c>
      <c r="C1851" s="1" t="s">
        <v>7167</v>
      </c>
    </row>
    <row r="1852" spans="1:3">
      <c r="A1852" s="1" t="s">
        <v>7168</v>
      </c>
      <c r="B1852" s="1" t="s">
        <v>7169</v>
      </c>
      <c r="C1852" s="1" t="s">
        <v>7170</v>
      </c>
    </row>
    <row r="1853" spans="1:3">
      <c r="A1853" s="1" t="s">
        <v>7171</v>
      </c>
      <c r="B1853" s="1" t="s">
        <v>3191</v>
      </c>
      <c r="C1853" s="1" t="s">
        <v>7172</v>
      </c>
    </row>
    <row r="1854" spans="1:3">
      <c r="A1854" s="1" t="s">
        <v>7173</v>
      </c>
      <c r="B1854" s="1" t="s">
        <v>16</v>
      </c>
      <c r="C1854" s="1" t="s">
        <v>7174</v>
      </c>
    </row>
    <row r="1855" spans="1:3">
      <c r="A1855" s="1" t="s">
        <v>7175</v>
      </c>
      <c r="B1855" s="1" t="s">
        <v>227</v>
      </c>
      <c r="C1855" s="1" t="s">
        <v>2450</v>
      </c>
    </row>
    <row r="1856" spans="1:3">
      <c r="A1856" s="1" t="s">
        <v>7176</v>
      </c>
      <c r="B1856" s="1" t="s">
        <v>3423</v>
      </c>
      <c r="C1856" s="1" t="s">
        <v>61</v>
      </c>
    </row>
    <row r="1857" spans="1:3">
      <c r="A1857" s="1" t="s">
        <v>7177</v>
      </c>
      <c r="B1857" s="1" t="s">
        <v>205</v>
      </c>
      <c r="C1857" s="1" t="s">
        <v>210</v>
      </c>
    </row>
    <row r="1858" spans="1:3">
      <c r="A1858" s="1" t="s">
        <v>7178</v>
      </c>
      <c r="B1858" s="1" t="s">
        <v>7008</v>
      </c>
      <c r="C1858" s="1" t="s">
        <v>269</v>
      </c>
    </row>
    <row r="1859" spans="1:3">
      <c r="A1859" s="1" t="s">
        <v>7179</v>
      </c>
      <c r="B1859" s="1" t="s">
        <v>3103</v>
      </c>
      <c r="C1859" s="1" t="s">
        <v>7180</v>
      </c>
    </row>
    <row r="1860" spans="1:3">
      <c r="A1860" s="1" t="s">
        <v>7181</v>
      </c>
      <c r="B1860" s="1" t="s">
        <v>222</v>
      </c>
      <c r="C1860" s="1" t="s">
        <v>7182</v>
      </c>
    </row>
    <row r="1861" spans="1:3">
      <c r="A1861" s="1" t="s">
        <v>7183</v>
      </c>
      <c r="B1861" s="1" t="s">
        <v>3272</v>
      </c>
      <c r="C1861" s="1" t="s">
        <v>7184</v>
      </c>
    </row>
    <row r="1862" spans="1:3">
      <c r="A1862" s="1" t="s">
        <v>7185</v>
      </c>
      <c r="B1862" s="1" t="s">
        <v>3103</v>
      </c>
      <c r="C1862" s="1" t="s">
        <v>7186</v>
      </c>
    </row>
    <row r="1863" spans="1:3">
      <c r="A1863" s="1" t="s">
        <v>7187</v>
      </c>
      <c r="B1863" s="1" t="s">
        <v>90</v>
      </c>
      <c r="C1863" s="1" t="s">
        <v>7188</v>
      </c>
    </row>
    <row r="1864" spans="1:3">
      <c r="A1864" s="1" t="s">
        <v>7189</v>
      </c>
      <c r="B1864" s="1" t="s">
        <v>222</v>
      </c>
      <c r="C1864" s="1" t="s">
        <v>7182</v>
      </c>
    </row>
    <row r="1865" spans="1:3">
      <c r="A1865" s="1" t="s">
        <v>7190</v>
      </c>
      <c r="B1865" s="1" t="s">
        <v>7191</v>
      </c>
      <c r="C1865" s="234" t="s">
        <v>7192</v>
      </c>
    </row>
    <row r="1866" spans="1:3">
      <c r="A1866" s="1" t="s">
        <v>7193</v>
      </c>
      <c r="B1866" s="1" t="s">
        <v>19</v>
      </c>
      <c r="C1866" s="1" t="s">
        <v>7194</v>
      </c>
    </row>
    <row r="1867" spans="1:3">
      <c r="A1867" s="1" t="s">
        <v>7195</v>
      </c>
      <c r="B1867" s="1" t="s">
        <v>3112</v>
      </c>
      <c r="C1867" s="1" t="s">
        <v>7196</v>
      </c>
    </row>
    <row r="1868" spans="1:3">
      <c r="A1868" s="1" t="s">
        <v>7197</v>
      </c>
      <c r="B1868" s="1" t="s">
        <v>6371</v>
      </c>
      <c r="C1868" s="1" t="s">
        <v>7198</v>
      </c>
    </row>
    <row r="1869" spans="1:3">
      <c r="A1869" s="1" t="s">
        <v>7199</v>
      </c>
      <c r="B1869" s="1" t="s">
        <v>265</v>
      </c>
      <c r="C1869" s="1" t="s">
        <v>7200</v>
      </c>
    </row>
    <row r="1870" spans="1:3">
      <c r="A1870" s="1" t="s">
        <v>7201</v>
      </c>
      <c r="B1870" s="1" t="s">
        <v>4027</v>
      </c>
      <c r="C1870" s="1" t="s">
        <v>3442</v>
      </c>
    </row>
    <row r="1871" spans="1:3">
      <c r="A1871" s="1" t="s">
        <v>7202</v>
      </c>
      <c r="B1871" s="1" t="s">
        <v>7203</v>
      </c>
      <c r="C1871" s="1" t="s">
        <v>7204</v>
      </c>
    </row>
    <row r="1872" spans="1:3">
      <c r="A1872" s="1" t="s">
        <v>7205</v>
      </c>
      <c r="B1872" s="1" t="s">
        <v>2468</v>
      </c>
      <c r="C1872" s="1" t="s">
        <v>7206</v>
      </c>
    </row>
    <row r="1873" spans="1:3">
      <c r="A1873" s="1" t="s">
        <v>7207</v>
      </c>
      <c r="B1873" s="1" t="s">
        <v>2465</v>
      </c>
      <c r="C1873" s="1" t="s">
        <v>284</v>
      </c>
    </row>
    <row r="1874" spans="1:3">
      <c r="A1874" s="1" t="s">
        <v>7208</v>
      </c>
      <c r="B1874" s="1" t="s">
        <v>7209</v>
      </c>
      <c r="C1874" s="228" t="s">
        <v>7210</v>
      </c>
    </row>
    <row r="1875" spans="1:3">
      <c r="A1875" s="1" t="s">
        <v>7211</v>
      </c>
      <c r="B1875" s="1" t="s">
        <v>6651</v>
      </c>
      <c r="C1875" s="1" t="s">
        <v>123</v>
      </c>
    </row>
    <row r="1876" spans="1:3">
      <c r="A1876" s="1" t="s">
        <v>7212</v>
      </c>
      <c r="B1876" s="1" t="s">
        <v>205</v>
      </c>
      <c r="C1876" s="1" t="s">
        <v>210</v>
      </c>
    </row>
    <row r="1877" spans="1:3">
      <c r="A1877" s="1" t="s">
        <v>7213</v>
      </c>
      <c r="B1877" s="1" t="s">
        <v>1099</v>
      </c>
      <c r="C1877" s="1" t="s">
        <v>56</v>
      </c>
    </row>
    <row r="1878" spans="1:3">
      <c r="A1878" s="1" t="s">
        <v>7214</v>
      </c>
      <c r="B1878" s="1" t="s">
        <v>905</v>
      </c>
      <c r="C1878" s="1" t="s">
        <v>7215</v>
      </c>
    </row>
    <row r="1879" spans="1:3">
      <c r="A1879" s="1" t="s">
        <v>7216</v>
      </c>
      <c r="B1879" s="1" t="s">
        <v>7209</v>
      </c>
      <c r="C1879" s="1" t="s">
        <v>7217</v>
      </c>
    </row>
    <row r="1880" spans="1:3">
      <c r="A1880" s="1" t="s">
        <v>7218</v>
      </c>
      <c r="B1880" s="1" t="s">
        <v>150</v>
      </c>
      <c r="C1880" s="1" t="s">
        <v>7219</v>
      </c>
    </row>
    <row r="1881" spans="1:3">
      <c r="A1881" s="1" t="s">
        <v>7220</v>
      </c>
      <c r="B1881" s="1" t="s">
        <v>7008</v>
      </c>
      <c r="C1881" s="1" t="s">
        <v>268</v>
      </c>
    </row>
    <row r="1882" spans="1:3">
      <c r="A1882" s="1" t="s">
        <v>7221</v>
      </c>
      <c r="B1882" s="1" t="s">
        <v>7222</v>
      </c>
      <c r="C1882" s="1" t="s">
        <v>7223</v>
      </c>
    </row>
    <row r="1883" spans="1:3">
      <c r="A1883" s="1" t="s">
        <v>7224</v>
      </c>
      <c r="B1883" s="1" t="s">
        <v>7225</v>
      </c>
      <c r="C1883" s="1" t="s">
        <v>7226</v>
      </c>
    </row>
    <row r="1884" spans="1:3">
      <c r="A1884" s="1" t="s">
        <v>7227</v>
      </c>
      <c r="B1884" s="1" t="s">
        <v>3784</v>
      </c>
      <c r="C1884" s="1" t="s">
        <v>7228</v>
      </c>
    </row>
    <row r="1885" spans="1:3">
      <c r="A1885" s="1" t="s">
        <v>7229</v>
      </c>
      <c r="B1885" s="1" t="s">
        <v>16</v>
      </c>
      <c r="C1885" s="1" t="s">
        <v>7230</v>
      </c>
    </row>
    <row r="1886" spans="1:3">
      <c r="A1886" s="1" t="s">
        <v>7231</v>
      </c>
      <c r="B1886" s="1" t="s">
        <v>7232</v>
      </c>
      <c r="C1886" s="31" t="s">
        <v>7233</v>
      </c>
    </row>
    <row r="1887" spans="1:3">
      <c r="A1887" s="1" t="s">
        <v>7234</v>
      </c>
      <c r="B1887" s="1" t="s">
        <v>3103</v>
      </c>
      <c r="C1887" s="1" t="s">
        <v>7235</v>
      </c>
    </row>
    <row r="1888" spans="1:3">
      <c r="A1888" s="1" t="s">
        <v>7236</v>
      </c>
      <c r="B1888" s="1" t="s">
        <v>428</v>
      </c>
      <c r="C1888" s="1" t="s">
        <v>7237</v>
      </c>
    </row>
    <row r="1889" spans="1:3">
      <c r="A1889" s="1" t="s">
        <v>7238</v>
      </c>
      <c r="B1889" s="1" t="s">
        <v>241</v>
      </c>
      <c r="C1889" s="1" t="s">
        <v>242</v>
      </c>
    </row>
    <row r="1890" spans="1:3">
      <c r="A1890" s="1" t="s">
        <v>7239</v>
      </c>
      <c r="B1890" s="1" t="s">
        <v>7008</v>
      </c>
      <c r="C1890" s="1" t="s">
        <v>7240</v>
      </c>
    </row>
    <row r="1891" spans="1:3">
      <c r="A1891" s="1" t="s">
        <v>7241</v>
      </c>
      <c r="B1891" s="1" t="s">
        <v>7242</v>
      </c>
      <c r="C1891" s="1" t="s">
        <v>7243</v>
      </c>
    </row>
    <row r="1892" spans="1:3">
      <c r="A1892" s="1" t="s">
        <v>7244</v>
      </c>
      <c r="B1892" s="1" t="s">
        <v>7008</v>
      </c>
      <c r="C1892" s="1" t="s">
        <v>7245</v>
      </c>
    </row>
    <row r="1893" spans="1:3">
      <c r="A1893" s="1" t="s">
        <v>7246</v>
      </c>
      <c r="B1893" s="1" t="s">
        <v>6651</v>
      </c>
      <c r="C1893" s="1" t="s">
        <v>123</v>
      </c>
    </row>
    <row r="1894" spans="1:3">
      <c r="A1894" s="1" t="s">
        <v>7247</v>
      </c>
      <c r="B1894" s="1" t="s">
        <v>60</v>
      </c>
      <c r="C1894" s="1" t="s">
        <v>61</v>
      </c>
    </row>
    <row r="1895" spans="1:3">
      <c r="A1895" s="1" t="s">
        <v>7248</v>
      </c>
      <c r="B1895" s="1" t="s">
        <v>6911</v>
      </c>
      <c r="C1895" s="1" t="s">
        <v>7249</v>
      </c>
    </row>
    <row r="1896" spans="1:3">
      <c r="A1896" s="1" t="s">
        <v>7250</v>
      </c>
      <c r="B1896" s="1" t="s">
        <v>3103</v>
      </c>
      <c r="C1896" s="1" t="s">
        <v>7251</v>
      </c>
    </row>
    <row r="1897" spans="1:3">
      <c r="A1897" s="1" t="s">
        <v>7252</v>
      </c>
      <c r="B1897" s="1" t="s">
        <v>257</v>
      </c>
      <c r="C1897" s="1" t="s">
        <v>7253</v>
      </c>
    </row>
    <row r="1898" spans="1:3">
      <c r="A1898" s="1" t="s">
        <v>7254</v>
      </c>
      <c r="B1898" s="1" t="s">
        <v>7255</v>
      </c>
      <c r="C1898" s="1" t="s">
        <v>7256</v>
      </c>
    </row>
    <row r="1899" spans="1:3">
      <c r="A1899" s="1" t="s">
        <v>7257</v>
      </c>
      <c r="B1899" s="1" t="s">
        <v>3103</v>
      </c>
      <c r="C1899" s="1" t="s">
        <v>7258</v>
      </c>
    </row>
    <row r="1900" spans="1:3">
      <c r="A1900" s="1" t="s">
        <v>7259</v>
      </c>
      <c r="B1900" s="1" t="s">
        <v>707</v>
      </c>
      <c r="C1900" s="1" t="s">
        <v>7260</v>
      </c>
    </row>
    <row r="1901" spans="1:3">
      <c r="A1901" s="1" t="s">
        <v>7261</v>
      </c>
      <c r="B1901" s="1" t="s">
        <v>141</v>
      </c>
      <c r="C1901" s="1" t="s">
        <v>142</v>
      </c>
    </row>
    <row r="1902" spans="1:3">
      <c r="A1902" s="1" t="s">
        <v>7262</v>
      </c>
      <c r="B1902" s="1" t="s">
        <v>198</v>
      </c>
      <c r="C1902" s="1" t="s">
        <v>53</v>
      </c>
    </row>
    <row r="1903" spans="1:3">
      <c r="A1903" s="1" t="s">
        <v>7263</v>
      </c>
      <c r="B1903" s="1" t="s">
        <v>251</v>
      </c>
      <c r="C1903" s="1" t="s">
        <v>252</v>
      </c>
    </row>
    <row r="1904" spans="1:3">
      <c r="A1904" s="1" t="s">
        <v>7264</v>
      </c>
      <c r="B1904" s="1" t="s">
        <v>7265</v>
      </c>
      <c r="C1904" s="1" t="s">
        <v>7266</v>
      </c>
    </row>
    <row r="1905" spans="1:3">
      <c r="A1905" s="1" t="s">
        <v>7267</v>
      </c>
      <c r="B1905" s="1" t="s">
        <v>92</v>
      </c>
      <c r="C1905" s="1" t="s">
        <v>93</v>
      </c>
    </row>
    <row r="1906" spans="1:3">
      <c r="A1906" s="1" t="s">
        <v>7268</v>
      </c>
      <c r="B1906" s="1" t="s">
        <v>24</v>
      </c>
      <c r="C1906" s="1" t="s">
        <v>7269</v>
      </c>
    </row>
    <row r="1907" spans="1:3">
      <c r="A1907" s="1" t="s">
        <v>7270</v>
      </c>
      <c r="B1907" s="1" t="s">
        <v>7271</v>
      </c>
      <c r="C1907" s="1" t="s">
        <v>7272</v>
      </c>
    </row>
    <row r="1908" spans="1:3">
      <c r="A1908" s="1" t="s">
        <v>7273</v>
      </c>
      <c r="B1908" s="1" t="s">
        <v>2446</v>
      </c>
      <c r="C1908" s="1" t="s">
        <v>214</v>
      </c>
    </row>
    <row r="1909" spans="1:3">
      <c r="A1909" s="1" t="s">
        <v>7274</v>
      </c>
      <c r="B1909" s="1" t="s">
        <v>161</v>
      </c>
      <c r="C1909" s="1" t="s">
        <v>7275</v>
      </c>
    </row>
    <row r="1910" spans="1:3">
      <c r="A1910" s="1" t="s">
        <v>7276</v>
      </c>
      <c r="B1910" s="1" t="s">
        <v>6538</v>
      </c>
      <c r="C1910" s="1" t="s">
        <v>4334</v>
      </c>
    </row>
    <row r="1911" spans="1:3">
      <c r="A1911" s="1" t="s">
        <v>7277</v>
      </c>
      <c r="B1911" s="1" t="s">
        <v>3103</v>
      </c>
      <c r="C1911" s="1" t="s">
        <v>7278</v>
      </c>
    </row>
    <row r="1912" spans="1:3">
      <c r="A1912" s="1" t="s">
        <v>7279</v>
      </c>
      <c r="B1912" s="1" t="s">
        <v>3272</v>
      </c>
      <c r="C1912" s="1" t="s">
        <v>7280</v>
      </c>
    </row>
    <row r="1913" spans="1:3">
      <c r="A1913" s="1" t="s">
        <v>7281</v>
      </c>
      <c r="B1913" s="1" t="s">
        <v>7282</v>
      </c>
      <c r="C1913" s="1" t="s">
        <v>7283</v>
      </c>
    </row>
    <row r="1914" spans="1:3">
      <c r="A1914" s="1" t="s">
        <v>7284</v>
      </c>
      <c r="B1914" s="1" t="s">
        <v>2446</v>
      </c>
      <c r="C1914" s="1" t="s">
        <v>214</v>
      </c>
    </row>
    <row r="1915" spans="1:3">
      <c r="A1915" s="1" t="s">
        <v>7285</v>
      </c>
      <c r="B1915" s="1" t="s">
        <v>7286</v>
      </c>
      <c r="C1915" s="1" t="s">
        <v>7287</v>
      </c>
    </row>
    <row r="1916" spans="1:3">
      <c r="A1916" s="1" t="s">
        <v>7288</v>
      </c>
      <c r="B1916" s="1" t="s">
        <v>161</v>
      </c>
      <c r="C1916" s="1" t="s">
        <v>7289</v>
      </c>
    </row>
    <row r="1917" spans="1:3">
      <c r="A1917" s="1" t="s">
        <v>7290</v>
      </c>
      <c r="B1917" s="1" t="s">
        <v>7291</v>
      </c>
      <c r="C1917" s="235" t="s">
        <v>7292</v>
      </c>
    </row>
    <row r="1918" spans="1:3">
      <c r="A1918" s="1" t="s">
        <v>7293</v>
      </c>
      <c r="B1918" s="1" t="s">
        <v>222</v>
      </c>
      <c r="C1918" s="1" t="s">
        <v>236</v>
      </c>
    </row>
    <row r="1919" spans="1:3">
      <c r="A1919" s="1" t="s">
        <v>7294</v>
      </c>
      <c r="B1919" s="1" t="s">
        <v>5929</v>
      </c>
      <c r="C1919" s="1" t="s">
        <v>7295</v>
      </c>
    </row>
    <row r="1920" spans="1:3">
      <c r="A1920" s="1" t="s">
        <v>7296</v>
      </c>
      <c r="B1920" s="1" t="s">
        <v>65</v>
      </c>
      <c r="C1920" s="1" t="s">
        <v>66</v>
      </c>
    </row>
    <row r="1921" spans="1:3">
      <c r="A1921" s="1" t="s">
        <v>7297</v>
      </c>
      <c r="B1921" s="1" t="s">
        <v>198</v>
      </c>
      <c r="C1921" s="1" t="s">
        <v>7298</v>
      </c>
    </row>
    <row r="1922" spans="1:3">
      <c r="A1922" s="1" t="s">
        <v>7299</v>
      </c>
      <c r="B1922" s="1" t="s">
        <v>177</v>
      </c>
      <c r="C1922" s="1" t="s">
        <v>7300</v>
      </c>
    </row>
    <row r="1923" spans="1:3">
      <c r="A1923" s="1" t="s">
        <v>7301</v>
      </c>
      <c r="B1923" s="1" t="s">
        <v>727</v>
      </c>
      <c r="C1923" s="1" t="s">
        <v>7302</v>
      </c>
    </row>
    <row r="1924" spans="1:3">
      <c r="A1924" s="1" t="s">
        <v>7303</v>
      </c>
      <c r="B1924" s="1" t="s">
        <v>267</v>
      </c>
      <c r="C1924" s="1" t="s">
        <v>268</v>
      </c>
    </row>
    <row r="1925" spans="1:3">
      <c r="A1925" s="1" t="s">
        <v>7304</v>
      </c>
      <c r="B1925" s="1" t="s">
        <v>189</v>
      </c>
      <c r="C1925" s="1" t="s">
        <v>7305</v>
      </c>
    </row>
    <row r="1926" spans="1:3">
      <c r="A1926" s="1" t="s">
        <v>7306</v>
      </c>
      <c r="B1926" s="1" t="s">
        <v>267</v>
      </c>
      <c r="C1926" s="1" t="s">
        <v>7307</v>
      </c>
    </row>
    <row r="1927" spans="1:3">
      <c r="A1927" s="1" t="s">
        <v>7308</v>
      </c>
      <c r="B1927" s="1" t="s">
        <v>3173</v>
      </c>
      <c r="C1927" s="1" t="s">
        <v>7309</v>
      </c>
    </row>
    <row r="1928" spans="1:3">
      <c r="A1928" s="1" t="s">
        <v>7310</v>
      </c>
      <c r="B1928" s="1" t="s">
        <v>16</v>
      </c>
      <c r="C1928" s="1" t="s">
        <v>7311</v>
      </c>
    </row>
    <row r="1929" spans="1:3">
      <c r="A1929" s="1" t="s">
        <v>7312</v>
      </c>
      <c r="B1929" s="1" t="s">
        <v>7313</v>
      </c>
      <c r="C1929" s="1" t="s">
        <v>7314</v>
      </c>
    </row>
    <row r="1930" spans="1:3">
      <c r="A1930" s="1" t="s">
        <v>7315</v>
      </c>
      <c r="B1930" s="1" t="s">
        <v>7316</v>
      </c>
      <c r="C1930" s="1" t="s">
        <v>7317</v>
      </c>
    </row>
    <row r="1931" spans="1:3">
      <c r="A1931" s="1" t="s">
        <v>7318</v>
      </c>
      <c r="B1931" s="1" t="s">
        <v>7319</v>
      </c>
      <c r="C1931" s="1" t="s">
        <v>7320</v>
      </c>
    </row>
    <row r="1932" spans="1:3">
      <c r="A1932" s="1" t="s">
        <v>7321</v>
      </c>
      <c r="B1932" s="1" t="s">
        <v>253</v>
      </c>
      <c r="C1932" s="1" t="s">
        <v>7322</v>
      </c>
    </row>
    <row r="1933" spans="1:3">
      <c r="A1933" s="1" t="s">
        <v>7323</v>
      </c>
      <c r="B1933" s="1" t="s">
        <v>3197</v>
      </c>
      <c r="C1933" s="1" t="s">
        <v>7324</v>
      </c>
    </row>
    <row r="1934" spans="1:3">
      <c r="A1934" s="1" t="s">
        <v>7325</v>
      </c>
      <c r="B1934" s="1" t="s">
        <v>7326</v>
      </c>
      <c r="C1934" s="1" t="s">
        <v>7327</v>
      </c>
    </row>
    <row r="1935" spans="1:3">
      <c r="A1935" s="1" t="s">
        <v>7328</v>
      </c>
      <c r="B1935" s="1" t="s">
        <v>3103</v>
      </c>
      <c r="C1935" s="1" t="s">
        <v>7329</v>
      </c>
    </row>
    <row r="1936" spans="1:3">
      <c r="A1936" s="1" t="s">
        <v>7330</v>
      </c>
      <c r="B1936" s="1" t="s">
        <v>161</v>
      </c>
      <c r="C1936" s="1" t="s">
        <v>7289</v>
      </c>
    </row>
    <row r="1937" spans="1:3">
      <c r="A1937" s="1" t="s">
        <v>7331</v>
      </c>
      <c r="B1937" s="1" t="s">
        <v>3486</v>
      </c>
      <c r="C1937" s="1" t="s">
        <v>7332</v>
      </c>
    </row>
    <row r="1938" spans="1:3">
      <c r="A1938" s="1" t="s">
        <v>7333</v>
      </c>
      <c r="B1938" s="1" t="s">
        <v>16</v>
      </c>
      <c r="C1938" s="1" t="s">
        <v>7334</v>
      </c>
    </row>
    <row r="1939" spans="1:3">
      <c r="A1939" s="1" t="s">
        <v>7335</v>
      </c>
      <c r="B1939" s="1" t="s">
        <v>931</v>
      </c>
      <c r="C1939" s="1" t="s">
        <v>7336</v>
      </c>
    </row>
    <row r="1940" spans="1:3">
      <c r="A1940" s="1" t="s">
        <v>7337</v>
      </c>
      <c r="B1940" s="1" t="s">
        <v>161</v>
      </c>
      <c r="C1940" s="1" t="s">
        <v>7289</v>
      </c>
    </row>
    <row r="1941" spans="1:3">
      <c r="A1941" s="1" t="s">
        <v>7338</v>
      </c>
      <c r="B1941" s="1" t="s">
        <v>2803</v>
      </c>
      <c r="C1941" s="1" t="s">
        <v>7339</v>
      </c>
    </row>
    <row r="1942" spans="1:3">
      <c r="A1942" s="1" t="s">
        <v>7340</v>
      </c>
      <c r="B1942" s="1" t="s">
        <v>3103</v>
      </c>
      <c r="C1942" s="1" t="s">
        <v>7341</v>
      </c>
    </row>
    <row r="1943" spans="1:3">
      <c r="A1943" s="1" t="s">
        <v>7342</v>
      </c>
      <c r="B1943" s="1" t="s">
        <v>7343</v>
      </c>
      <c r="C1943" s="1" t="s">
        <v>7344</v>
      </c>
    </row>
    <row r="1944" spans="1:3">
      <c r="A1944" s="1" t="s">
        <v>7345</v>
      </c>
      <c r="B1944" s="1" t="s">
        <v>152</v>
      </c>
      <c r="C1944" s="1" t="s">
        <v>7346</v>
      </c>
    </row>
    <row r="1945" spans="1:3">
      <c r="A1945" s="1" t="s">
        <v>7347</v>
      </c>
      <c r="B1945" s="1" t="s">
        <v>246</v>
      </c>
      <c r="C1945" s="1" t="s">
        <v>247</v>
      </c>
    </row>
    <row r="1946" spans="1:3">
      <c r="A1946" s="1" t="s">
        <v>7348</v>
      </c>
      <c r="B1946" s="1" t="s">
        <v>177</v>
      </c>
      <c r="C1946" s="1" t="s">
        <v>178</v>
      </c>
    </row>
    <row r="1947" spans="1:3">
      <c r="A1947" s="1" t="s">
        <v>7349</v>
      </c>
      <c r="B1947" s="1" t="s">
        <v>3364</v>
      </c>
      <c r="C1947" s="1" t="s">
        <v>6893</v>
      </c>
    </row>
    <row r="1948" spans="1:3">
      <c r="A1948" s="1" t="s">
        <v>7350</v>
      </c>
      <c r="B1948" s="1" t="s">
        <v>105</v>
      </c>
      <c r="C1948" s="1" t="s">
        <v>106</v>
      </c>
    </row>
    <row r="1949" spans="1:3">
      <c r="A1949" s="1" t="s">
        <v>7351</v>
      </c>
      <c r="B1949" s="1" t="s">
        <v>222</v>
      </c>
      <c r="C1949" s="1" t="s">
        <v>223</v>
      </c>
    </row>
    <row r="1950" spans="1:3">
      <c r="A1950" s="1" t="s">
        <v>7352</v>
      </c>
      <c r="B1950" s="1" t="s">
        <v>7353</v>
      </c>
      <c r="C1950" s="236" t="s">
        <v>7354</v>
      </c>
    </row>
    <row r="1951" spans="1:3">
      <c r="A1951" s="1" t="s">
        <v>7355</v>
      </c>
      <c r="B1951" s="1" t="s">
        <v>7356</v>
      </c>
      <c r="C1951" s="1" t="s">
        <v>7357</v>
      </c>
    </row>
    <row r="1952" spans="1:3">
      <c r="A1952" s="1" t="s">
        <v>7358</v>
      </c>
      <c r="B1952" s="1" t="s">
        <v>50</v>
      </c>
      <c r="C1952" s="1" t="s">
        <v>7359</v>
      </c>
    </row>
    <row r="1953" spans="1:3">
      <c r="A1953" s="1" t="s">
        <v>7360</v>
      </c>
      <c r="B1953" s="1" t="s">
        <v>3272</v>
      </c>
      <c r="C1953" s="1" t="s">
        <v>7361</v>
      </c>
    </row>
    <row r="1954" spans="1:3" ht="15">
      <c r="A1954" s="1" t="s">
        <v>7362</v>
      </c>
      <c r="B1954" s="1" t="s">
        <v>500</v>
      </c>
      <c r="C1954" s="229" t="s">
        <v>7363</v>
      </c>
    </row>
    <row r="1955" spans="1:3">
      <c r="A1955" s="1" t="s">
        <v>7364</v>
      </c>
      <c r="B1955" s="1" t="s">
        <v>16</v>
      </c>
      <c r="C1955" s="1" t="s">
        <v>7365</v>
      </c>
    </row>
    <row r="1956" spans="1:3">
      <c r="A1956" s="1" t="s">
        <v>7366</v>
      </c>
      <c r="B1956" s="1" t="s">
        <v>7367</v>
      </c>
      <c r="C1956" s="1" t="s">
        <v>7368</v>
      </c>
    </row>
    <row r="1957" spans="1:3">
      <c r="A1957" s="1" t="s">
        <v>7369</v>
      </c>
      <c r="B1957" s="1" t="s">
        <v>222</v>
      </c>
      <c r="C1957" s="25" t="s">
        <v>243</v>
      </c>
    </row>
    <row r="1958" spans="1:3">
      <c r="A1958" s="1" t="s">
        <v>7370</v>
      </c>
      <c r="B1958" s="1" t="s">
        <v>16</v>
      </c>
      <c r="C1958" s="1" t="s">
        <v>7371</v>
      </c>
    </row>
    <row r="1959" spans="1:3">
      <c r="A1959" s="1" t="s">
        <v>7372</v>
      </c>
      <c r="B1959" s="1" t="s">
        <v>7373</v>
      </c>
      <c r="C1959" s="228" t="s">
        <v>7374</v>
      </c>
    </row>
    <row r="1960" spans="1:3">
      <c r="A1960" s="1" t="s">
        <v>7375</v>
      </c>
      <c r="B1960" s="1" t="s">
        <v>7376</v>
      </c>
      <c r="C1960" s="234" t="s">
        <v>7377</v>
      </c>
    </row>
    <row r="1961" spans="1:3">
      <c r="A1961" s="1" t="s">
        <v>7378</v>
      </c>
      <c r="B1961" s="1" t="s">
        <v>267</v>
      </c>
      <c r="C1961" s="1" t="s">
        <v>7379</v>
      </c>
    </row>
    <row r="1962" spans="1:3">
      <c r="A1962" s="1" t="s">
        <v>7380</v>
      </c>
      <c r="B1962" s="1" t="s">
        <v>7381</v>
      </c>
      <c r="C1962" s="1" t="s">
        <v>7382</v>
      </c>
    </row>
    <row r="1963" spans="1:3">
      <c r="A1963" s="1" t="s">
        <v>7383</v>
      </c>
      <c r="B1963" s="1" t="s">
        <v>7384</v>
      </c>
      <c r="C1963" s="1" t="s">
        <v>7385</v>
      </c>
    </row>
    <row r="1964" spans="1:3">
      <c r="A1964" s="1" t="s">
        <v>7386</v>
      </c>
      <c r="B1964" s="1" t="s">
        <v>3226</v>
      </c>
      <c r="C1964" s="1" t="s">
        <v>264</v>
      </c>
    </row>
    <row r="1965" spans="1:3">
      <c r="A1965" s="1" t="s">
        <v>7387</v>
      </c>
      <c r="B1965" s="1" t="s">
        <v>118</v>
      </c>
      <c r="C1965" s="1" t="s">
        <v>7388</v>
      </c>
    </row>
    <row r="1966" spans="1:3">
      <c r="A1966" s="1" t="s">
        <v>7389</v>
      </c>
      <c r="B1966" s="1" t="s">
        <v>2850</v>
      </c>
      <c r="C1966" s="1" t="s">
        <v>7390</v>
      </c>
    </row>
    <row r="1967" spans="1:3">
      <c r="A1967" s="1" t="s">
        <v>7391</v>
      </c>
      <c r="B1967" s="1" t="s">
        <v>189</v>
      </c>
      <c r="C1967" s="1" t="s">
        <v>7392</v>
      </c>
    </row>
    <row r="1968" spans="1:3">
      <c r="A1968" s="1" t="s">
        <v>7393</v>
      </c>
      <c r="B1968" s="1" t="s">
        <v>1241</v>
      </c>
      <c r="C1968" s="1" t="s">
        <v>7394</v>
      </c>
    </row>
    <row r="1969" spans="1:3">
      <c r="A1969" s="1" t="s">
        <v>7395</v>
      </c>
      <c r="B1969" s="1" t="s">
        <v>3066</v>
      </c>
      <c r="C1969" s="1" t="s">
        <v>7396</v>
      </c>
    </row>
    <row r="1970" spans="1:3">
      <c r="A1970" s="1" t="s">
        <v>7397</v>
      </c>
      <c r="B1970" s="1" t="s">
        <v>168</v>
      </c>
      <c r="C1970" s="1" t="s">
        <v>7398</v>
      </c>
    </row>
    <row r="1971" spans="1:3">
      <c r="A1971" s="1" t="s">
        <v>7399</v>
      </c>
      <c r="B1971" s="1" t="s">
        <v>6090</v>
      </c>
      <c r="C1971" s="1" t="s">
        <v>7400</v>
      </c>
    </row>
    <row r="1972" spans="1:3">
      <c r="A1972" s="1" t="s">
        <v>7401</v>
      </c>
      <c r="B1972" s="1" t="s">
        <v>150</v>
      </c>
      <c r="C1972" s="1" t="s">
        <v>7402</v>
      </c>
    </row>
    <row r="1973" spans="1:3">
      <c r="A1973" s="1" t="s">
        <v>7403</v>
      </c>
      <c r="B1973" s="1" t="s">
        <v>50</v>
      </c>
      <c r="C1973" s="234" t="s">
        <v>7404</v>
      </c>
    </row>
    <row r="1974" spans="1:3">
      <c r="A1974" s="1" t="s">
        <v>7405</v>
      </c>
      <c r="B1974" s="1" t="s">
        <v>271</v>
      </c>
      <c r="C1974" s="1" t="s">
        <v>272</v>
      </c>
    </row>
    <row r="1975" spans="1:3">
      <c r="A1975" s="1" t="s">
        <v>7406</v>
      </c>
      <c r="B1975" s="1" t="s">
        <v>7407</v>
      </c>
      <c r="C1975" s="1" t="s">
        <v>275</v>
      </c>
    </row>
    <row r="1976" spans="1:3">
      <c r="A1976" s="1" t="s">
        <v>7408</v>
      </c>
      <c r="B1976" s="1" t="s">
        <v>3479</v>
      </c>
      <c r="C1976" s="228" t="s">
        <v>7409</v>
      </c>
    </row>
    <row r="1977" spans="1:3">
      <c r="A1977" s="1" t="s">
        <v>7410</v>
      </c>
      <c r="B1977" s="1" t="s">
        <v>7343</v>
      </c>
      <c r="C1977" s="1" t="s">
        <v>7411</v>
      </c>
    </row>
    <row r="1978" spans="1:3">
      <c r="A1978" s="1" t="s">
        <v>7412</v>
      </c>
      <c r="B1978" s="1" t="s">
        <v>7413</v>
      </c>
      <c r="C1978" s="1" t="s">
        <v>7414</v>
      </c>
    </row>
    <row r="1979" spans="1:3">
      <c r="A1979" s="1" t="s">
        <v>7415</v>
      </c>
      <c r="B1979" s="1" t="s">
        <v>4355</v>
      </c>
      <c r="C1979" s="1" t="s">
        <v>7416</v>
      </c>
    </row>
    <row r="1980" spans="1:3">
      <c r="A1980" s="1" t="s">
        <v>7417</v>
      </c>
      <c r="B1980" s="1"/>
      <c r="C1980" s="1"/>
    </row>
    <row r="1981" spans="1:3">
      <c r="A1981" s="1" t="s">
        <v>7418</v>
      </c>
      <c r="B1981" s="1"/>
      <c r="C1981" s="1"/>
    </row>
    <row r="1982" spans="1:3">
      <c r="A1982" s="1" t="s">
        <v>7419</v>
      </c>
      <c r="B1982" s="1"/>
      <c r="C1982" s="1"/>
    </row>
    <row r="1983" spans="1:3">
      <c r="A1983" s="1" t="s">
        <v>7420</v>
      </c>
      <c r="B1983" s="1"/>
      <c r="C1983" s="1"/>
    </row>
    <row r="1984" spans="1:3">
      <c r="A1984" s="1" t="s">
        <v>7421</v>
      </c>
      <c r="B1984" s="1"/>
      <c r="C1984" s="1"/>
    </row>
    <row r="1985" spans="1:3">
      <c r="A1985" s="1" t="s">
        <v>7422</v>
      </c>
      <c r="B1985" s="1"/>
      <c r="C1985" s="1"/>
    </row>
    <row r="1986" spans="1:3">
      <c r="A1986" s="1" t="s">
        <v>7423</v>
      </c>
      <c r="B1986" s="1"/>
      <c r="C1986" s="1"/>
    </row>
    <row r="1987" spans="1:3">
      <c r="A1987" s="1" t="s">
        <v>7424</v>
      </c>
      <c r="B1987" s="1"/>
      <c r="C1987" s="1"/>
    </row>
    <row r="1988" spans="1:3">
      <c r="A1988" s="1" t="s">
        <v>7425</v>
      </c>
      <c r="B1988" s="1"/>
      <c r="C1988" s="1"/>
    </row>
    <row r="1989" spans="1:3">
      <c r="A1989" s="1" t="s">
        <v>7426</v>
      </c>
      <c r="B1989" s="1"/>
      <c r="C1989" s="1"/>
    </row>
    <row r="1990" spans="1:3">
      <c r="A1990" s="1" t="s">
        <v>7427</v>
      </c>
      <c r="B1990" s="1"/>
      <c r="C1990" s="1"/>
    </row>
    <row r="1991" spans="1:3">
      <c r="A1991" s="1" t="s">
        <v>7428</v>
      </c>
      <c r="B1991" s="1"/>
      <c r="C1991" s="1"/>
    </row>
    <row r="1992" spans="1:3">
      <c r="A1992" s="1" t="s">
        <v>7429</v>
      </c>
      <c r="B1992" s="1"/>
      <c r="C1992" s="1"/>
    </row>
    <row r="1993" spans="1:3">
      <c r="A1993" s="1" t="s">
        <v>7430</v>
      </c>
      <c r="B1993" s="1"/>
      <c r="C1993" s="1"/>
    </row>
    <row r="1994" spans="1:3">
      <c r="A1994" s="1" t="s">
        <v>7431</v>
      </c>
      <c r="B1994" s="1"/>
      <c r="C1994" s="1"/>
    </row>
    <row r="1995" spans="1:3">
      <c r="A1995" s="1" t="s">
        <v>7432</v>
      </c>
      <c r="B1995" s="1"/>
      <c r="C1995" s="1"/>
    </row>
    <row r="1996" spans="1:3">
      <c r="A1996" s="1" t="s">
        <v>7433</v>
      </c>
      <c r="B1996" s="1"/>
      <c r="C1996" s="1"/>
    </row>
    <row r="1997" spans="1:3">
      <c r="A1997" s="1" t="s">
        <v>7434</v>
      </c>
      <c r="B1997" s="1"/>
      <c r="C1997" s="1"/>
    </row>
    <row r="1998" spans="1:3">
      <c r="A1998" s="1" t="s">
        <v>7435</v>
      </c>
      <c r="B1998" s="1"/>
      <c r="C1998" s="1"/>
    </row>
    <row r="1999" spans="1:3">
      <c r="A1999" s="1" t="s">
        <v>7436</v>
      </c>
      <c r="B1999" s="1"/>
      <c r="C1999" s="1"/>
    </row>
  </sheetData>
  <dataConsolidate/>
  <customSheetViews>
    <customSheetView guid="{6FE888E1-B358-42BC-B224-1A6E12FDD154}" topLeftCell="A67">
      <selection activeCell="A99" sqref="A99"/>
      <pageMargins left="0" right="0" top="0" bottom="0" header="0" footer="0"/>
    </customSheetView>
    <customSheetView guid="{B833ECD0-B2EA-4563-BF52-8F4997DD5865}" showPageBreaks="1" topLeftCell="A70">
      <selection activeCell="B98" sqref="B98"/>
      <pageMargins left="0" right="0" top="0" bottom="0" header="0" footer="0"/>
      <pageSetup orientation="portrait" r:id="rId1"/>
    </customSheetView>
    <customSheetView guid="{3A237827-5B6E-4817-B1C4-2B7124C81893}" topLeftCell="A67">
      <selection activeCell="A99" sqref="A99"/>
      <pageMargins left="0" right="0" top="0" bottom="0" header="0" footer="0"/>
    </customSheetView>
    <customSheetView guid="{27819D09-F639-4E44-9C23-9CF52369D613}" showPageBreaks="1" topLeftCell="A41">
      <selection activeCell="A78" sqref="A78"/>
      <pageMargins left="0" right="0" top="0" bottom="0" header="0" footer="0"/>
      <pageSetup orientation="portrait" r:id="rId2"/>
    </customSheetView>
    <customSheetView guid="{E6E302D9-C5A5-43AB-853B-E6387C419824}" topLeftCell="A531">
      <selection activeCell="A566" sqref="A566"/>
      <pageMargins left="0" right="0" top="0" bottom="0" header="0" footer="0"/>
      <pageSetup orientation="portrait" r:id="rId3"/>
    </customSheetView>
    <customSheetView guid="{B8A8DD2B-571A-4307-9865-DA42A7D24AA5}" showPageBreaks="1" topLeftCell="A546">
      <selection activeCell="A574" sqref="A574"/>
      <pageMargins left="0" right="0" top="0" bottom="0" header="0" footer="0"/>
      <pageSetup orientation="portrait" r:id="rId4"/>
    </customSheetView>
  </customSheetViews>
  <phoneticPr fontId="15" type="noConversion"/>
  <conditionalFormatting sqref="C1774">
    <cfRule type="timePeriod" dxfId="4" priority="5" timePeriod="lastWeek">
      <formula>AND(TODAY()-ROUNDDOWN(C1774,0)&gt;=(WEEKDAY(TODAY())),TODAY()-ROUNDDOWN(C1774,0)&lt;(WEEKDAY(TODAY())+7))</formula>
    </cfRule>
  </conditionalFormatting>
  <conditionalFormatting sqref="C1800">
    <cfRule type="timePeriod" dxfId="3" priority="4" timePeriod="lastWeek">
      <formula>AND(TODAY()-ROUNDDOWN(C1800,0)&gt;=(WEEKDAY(TODAY())),TODAY()-ROUNDDOWN(C1800,0)&lt;(WEEKDAY(TODAY())+7))</formula>
    </cfRule>
  </conditionalFormatting>
  <conditionalFormatting sqref="C1874">
    <cfRule type="timePeriod" dxfId="2" priority="3" timePeriod="lastWeek">
      <formula>AND(TODAY()-ROUNDDOWN(C1874,0)&gt;=(WEEKDAY(TODAY())),TODAY()-ROUNDDOWN(C1874,0)&lt;(WEEKDAY(TODAY())+7))</formula>
    </cfRule>
  </conditionalFormatting>
  <conditionalFormatting sqref="C1950">
    <cfRule type="timePeriod" dxfId="1" priority="2" timePeriod="lastWeek">
      <formula>AND(TODAY()-ROUNDDOWN(C1950,0)&gt;=(WEEKDAY(TODAY())),TODAY()-ROUNDDOWN(C1950,0)&lt;(WEEKDAY(TODAY())+7))</formula>
    </cfRule>
  </conditionalFormatting>
  <conditionalFormatting sqref="C1959">
    <cfRule type="timePeriod" dxfId="0" priority="1" timePeriod="lastWeek">
      <formula>AND(TODAY()-ROUNDDOWN(C1959,0)&gt;=(WEEKDAY(TODAY())),TODAY()-ROUNDDOWN(C1959,0)&lt;(WEEKDAY(TODAY())+7))</formula>
    </cfRule>
  </conditionalFormatting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4909-BF9D-4A23-882D-6C50E7BBBF75}">
  <dimension ref="A1:H116"/>
  <sheetViews>
    <sheetView topLeftCell="A40" workbookViewId="0">
      <selection activeCell="D105" sqref="D105"/>
    </sheetView>
  </sheetViews>
  <sheetFormatPr defaultRowHeight="12.75"/>
  <cols>
    <col min="1" max="1" width="40.140625" customWidth="1"/>
    <col min="2" max="2" width="14.42578125" customWidth="1"/>
    <col min="3" max="3" width="11" style="194" customWidth="1"/>
    <col min="4" max="4" width="47.85546875" customWidth="1"/>
    <col min="6" max="6" width="12.42578125" bestFit="1" customWidth="1"/>
    <col min="8" max="8" width="144.85546875" customWidth="1"/>
  </cols>
  <sheetData>
    <row r="1" spans="1:8">
      <c r="A1" s="65" t="s">
        <v>7437</v>
      </c>
      <c r="B1" s="66"/>
      <c r="C1" s="147"/>
      <c r="D1" s="68"/>
    </row>
    <row r="2" spans="1:8">
      <c r="A2" s="69" t="s">
        <v>7438</v>
      </c>
      <c r="B2" s="70"/>
      <c r="C2" s="206"/>
      <c r="D2" s="72"/>
    </row>
    <row r="3" spans="1:8">
      <c r="A3" s="197" t="s">
        <v>7439</v>
      </c>
      <c r="B3" s="197" t="s">
        <v>7440</v>
      </c>
      <c r="C3" s="198" t="s">
        <v>7441</v>
      </c>
      <c r="D3" s="197" t="s">
        <v>1</v>
      </c>
      <c r="E3" s="199" t="s">
        <v>7442</v>
      </c>
      <c r="F3" s="200" t="s">
        <v>7443</v>
      </c>
      <c r="G3" s="200" t="s">
        <v>7444</v>
      </c>
      <c r="H3" s="200" t="s">
        <v>7445</v>
      </c>
    </row>
    <row r="4" spans="1:8" ht="15">
      <c r="A4" s="221" t="s">
        <v>7446</v>
      </c>
    </row>
    <row r="5" spans="1:8" ht="15">
      <c r="A5" s="190" t="s">
        <v>7447</v>
      </c>
      <c r="B5" s="202">
        <v>45646</v>
      </c>
      <c r="C5" s="207">
        <v>1351</v>
      </c>
      <c r="D5" s="192" t="s">
        <v>7448</v>
      </c>
      <c r="E5" s="190">
        <v>-330</v>
      </c>
      <c r="F5" s="188" t="s">
        <v>7449</v>
      </c>
      <c r="G5" s="188" t="s">
        <v>7450</v>
      </c>
      <c r="H5" s="191" t="s">
        <v>7451</v>
      </c>
    </row>
    <row r="6" spans="1:8" ht="15">
      <c r="A6" s="190" t="s">
        <v>7447</v>
      </c>
      <c r="B6" s="202">
        <v>45489</v>
      </c>
      <c r="C6" s="207">
        <v>81354</v>
      </c>
      <c r="D6" s="192" t="s">
        <v>7452</v>
      </c>
      <c r="E6" s="190">
        <v>-390</v>
      </c>
      <c r="F6" s="188" t="s">
        <v>7453</v>
      </c>
      <c r="G6" s="188" t="s">
        <v>7450</v>
      </c>
      <c r="H6" s="25" t="s">
        <v>7454</v>
      </c>
    </row>
    <row r="7" spans="1:8" ht="15">
      <c r="A7" s="190" t="s">
        <v>7447</v>
      </c>
      <c r="B7" s="202">
        <v>45499</v>
      </c>
      <c r="C7" s="207"/>
      <c r="D7" s="192" t="s">
        <v>7455</v>
      </c>
      <c r="E7" s="190">
        <v>-296.23</v>
      </c>
      <c r="F7" s="188" t="s">
        <v>7456</v>
      </c>
      <c r="G7" s="188" t="s">
        <v>7450</v>
      </c>
      <c r="H7" s="191"/>
    </row>
    <row r="8" spans="1:8" ht="15">
      <c r="A8" s="190" t="s">
        <v>7447</v>
      </c>
      <c r="B8" s="202">
        <v>45621</v>
      </c>
      <c r="C8" s="207">
        <v>117761</v>
      </c>
      <c r="D8" s="192" t="s">
        <v>7457</v>
      </c>
      <c r="E8" s="203">
        <v>-2410.0500000000002</v>
      </c>
      <c r="F8" s="188" t="s">
        <v>7458</v>
      </c>
      <c r="G8" s="188" t="s">
        <v>7450</v>
      </c>
      <c r="H8" s="191"/>
    </row>
    <row r="9" spans="1:8" ht="15">
      <c r="A9" s="190" t="s">
        <v>7447</v>
      </c>
      <c r="B9" s="202">
        <v>45621</v>
      </c>
      <c r="C9" s="207">
        <v>117762</v>
      </c>
      <c r="D9" s="192" t="s">
        <v>7459</v>
      </c>
      <c r="E9" s="204">
        <v>-21.59</v>
      </c>
      <c r="F9" s="188" t="s">
        <v>7460</v>
      </c>
      <c r="G9" s="188" t="s">
        <v>7450</v>
      </c>
      <c r="H9" s="191"/>
    </row>
    <row r="10" spans="1:8" ht="15">
      <c r="A10" s="190" t="s">
        <v>7447</v>
      </c>
      <c r="B10" s="202">
        <v>45513</v>
      </c>
      <c r="C10" s="207">
        <v>23818</v>
      </c>
      <c r="D10" s="192" t="s">
        <v>7461</v>
      </c>
      <c r="E10" s="203">
        <v>-1189.53</v>
      </c>
      <c r="F10" s="188" t="s">
        <v>7462</v>
      </c>
      <c r="G10" s="188" t="s">
        <v>7450</v>
      </c>
      <c r="H10" s="25" t="s">
        <v>7463</v>
      </c>
    </row>
    <row r="11" spans="1:8" ht="15">
      <c r="A11" s="190" t="s">
        <v>7447</v>
      </c>
      <c r="B11" s="202">
        <v>45533</v>
      </c>
      <c r="C11" s="207">
        <v>103705</v>
      </c>
      <c r="D11" s="192" t="s">
        <v>7464</v>
      </c>
      <c r="E11" s="203">
        <v>-2523.7600000000002</v>
      </c>
      <c r="F11" s="188" t="s">
        <v>7465</v>
      </c>
      <c r="G11" s="188" t="s">
        <v>7450</v>
      </c>
      <c r="H11" s="191"/>
    </row>
    <row r="12" spans="1:8" ht="15">
      <c r="A12" s="190" t="s">
        <v>7447</v>
      </c>
      <c r="B12" s="205">
        <v>45727</v>
      </c>
      <c r="C12" s="207" t="s">
        <v>7466</v>
      </c>
      <c r="D12" s="192" t="s">
        <v>7464</v>
      </c>
      <c r="E12" s="190">
        <v>-0.69</v>
      </c>
      <c r="F12" s="188" t="s">
        <v>7465</v>
      </c>
      <c r="G12" s="188" t="s">
        <v>7450</v>
      </c>
      <c r="H12" s="191"/>
    </row>
    <row r="13" spans="1:8" ht="15">
      <c r="A13" s="190" t="s">
        <v>7447</v>
      </c>
      <c r="B13" s="202">
        <v>45629</v>
      </c>
      <c r="C13" s="207">
        <v>31752</v>
      </c>
      <c r="D13" s="192" t="s">
        <v>7467</v>
      </c>
      <c r="E13" s="190">
        <v>-677.25</v>
      </c>
      <c r="F13" s="188" t="s">
        <v>7468</v>
      </c>
      <c r="G13" s="188" t="s">
        <v>7450</v>
      </c>
      <c r="H13" s="191"/>
    </row>
    <row r="14" spans="1:8" ht="15">
      <c r="A14" s="190" t="s">
        <v>7447</v>
      </c>
      <c r="B14" s="202">
        <v>45580</v>
      </c>
      <c r="C14" s="207">
        <v>13947</v>
      </c>
      <c r="D14" s="192" t="s">
        <v>7469</v>
      </c>
      <c r="E14" s="203">
        <v>-2923.2</v>
      </c>
      <c r="F14" s="188" t="s">
        <v>7470</v>
      </c>
      <c r="G14" s="188" t="s">
        <v>7450</v>
      </c>
      <c r="H14" s="191" t="s">
        <v>7471</v>
      </c>
    </row>
    <row r="15" spans="1:8" ht="15">
      <c r="A15" s="190" t="s">
        <v>7447</v>
      </c>
      <c r="B15" s="202">
        <v>45601</v>
      </c>
      <c r="C15" s="207">
        <v>1247</v>
      </c>
      <c r="D15" s="192" t="s">
        <v>7472</v>
      </c>
      <c r="E15" s="190">
        <v>-209</v>
      </c>
      <c r="F15" s="188" t="s">
        <v>7473</v>
      </c>
      <c r="G15" s="188" t="s">
        <v>7450</v>
      </c>
      <c r="H15" s="191" t="s">
        <v>7474</v>
      </c>
    </row>
    <row r="16" spans="1:8" ht="15">
      <c r="A16" s="190" t="s">
        <v>7447</v>
      </c>
      <c r="B16" s="202">
        <v>45566</v>
      </c>
      <c r="C16" s="207">
        <v>15855</v>
      </c>
      <c r="D16" s="192" t="s">
        <v>7475</v>
      </c>
      <c r="E16" s="190">
        <v>-185</v>
      </c>
      <c r="F16" s="188" t="s">
        <v>7476</v>
      </c>
      <c r="G16" s="188" t="s">
        <v>7450</v>
      </c>
      <c r="H16" s="191"/>
    </row>
    <row r="17" spans="1:8" ht="15">
      <c r="A17" s="190" t="s">
        <v>7447</v>
      </c>
      <c r="B17" s="202">
        <v>45618</v>
      </c>
      <c r="C17" s="207"/>
      <c r="D17" s="192" t="s">
        <v>7477</v>
      </c>
      <c r="E17" s="190">
        <v>-480</v>
      </c>
      <c r="F17" s="188" t="s">
        <v>7478</v>
      </c>
      <c r="G17" s="188" t="s">
        <v>7450</v>
      </c>
      <c r="H17" s="191"/>
    </row>
    <row r="18" spans="1:8" ht="15">
      <c r="A18" s="190" t="s">
        <v>7447</v>
      </c>
      <c r="B18" s="202">
        <v>45523</v>
      </c>
      <c r="C18" s="207">
        <v>13932</v>
      </c>
      <c r="D18" s="192" t="s">
        <v>7479</v>
      </c>
      <c r="E18" s="190">
        <v>-264</v>
      </c>
      <c r="F18" s="188" t="s">
        <v>7480</v>
      </c>
      <c r="G18" s="188" t="s">
        <v>7450</v>
      </c>
      <c r="H18" s="191" t="s">
        <v>7481</v>
      </c>
    </row>
    <row r="19" spans="1:8" ht="15">
      <c r="A19" s="190" t="s">
        <v>7447</v>
      </c>
      <c r="B19" s="202">
        <v>45559</v>
      </c>
      <c r="C19" s="207">
        <v>4875</v>
      </c>
      <c r="D19" s="192" t="s">
        <v>7482</v>
      </c>
      <c r="E19" s="190">
        <v>-370</v>
      </c>
      <c r="F19" s="188" t="s">
        <v>7483</v>
      </c>
      <c r="G19" s="188" t="s">
        <v>7450</v>
      </c>
      <c r="H19" s="191" t="s">
        <v>7484</v>
      </c>
    </row>
    <row r="20" spans="1:8" ht="15">
      <c r="A20" s="190" t="s">
        <v>7447</v>
      </c>
      <c r="B20" s="202">
        <v>45601</v>
      </c>
      <c r="C20" s="207">
        <v>13680</v>
      </c>
      <c r="D20" s="192" t="s">
        <v>7485</v>
      </c>
      <c r="E20" s="190">
        <v>-152.84</v>
      </c>
      <c r="F20" s="188" t="s">
        <v>7486</v>
      </c>
      <c r="G20" s="188" t="s">
        <v>7450</v>
      </c>
      <c r="H20" s="191"/>
    </row>
    <row r="21" spans="1:8" ht="15">
      <c r="A21" s="190" t="s">
        <v>7447</v>
      </c>
      <c r="B21" s="202">
        <v>45569</v>
      </c>
      <c r="C21" s="207">
        <v>10528</v>
      </c>
      <c r="D21" s="192" t="s">
        <v>7487</v>
      </c>
      <c r="E21" s="190">
        <v>-555</v>
      </c>
      <c r="F21" s="188" t="s">
        <v>7488</v>
      </c>
      <c r="G21" s="188" t="s">
        <v>7450</v>
      </c>
      <c r="H21" s="191"/>
    </row>
    <row r="22" spans="1:8" ht="15">
      <c r="A22" s="190" t="s">
        <v>7447</v>
      </c>
      <c r="B22" s="202">
        <v>45646</v>
      </c>
      <c r="C22" s="207">
        <v>6603</v>
      </c>
      <c r="D22" s="192" t="s">
        <v>7489</v>
      </c>
      <c r="E22" s="190">
        <v>-351.38</v>
      </c>
      <c r="F22" s="188" t="s">
        <v>7490</v>
      </c>
      <c r="G22" s="188" t="s">
        <v>7450</v>
      </c>
      <c r="H22" s="191"/>
    </row>
    <row r="23" spans="1:8" ht="15">
      <c r="A23" s="190" t="s">
        <v>7447</v>
      </c>
      <c r="B23" s="202">
        <v>45505</v>
      </c>
      <c r="C23" s="207">
        <v>2869</v>
      </c>
      <c r="D23" s="192" t="s">
        <v>7491</v>
      </c>
      <c r="E23" s="190">
        <v>-87.81</v>
      </c>
      <c r="F23" s="188" t="s">
        <v>7492</v>
      </c>
      <c r="G23" s="188" t="s">
        <v>7450</v>
      </c>
      <c r="H23" s="191"/>
    </row>
    <row r="24" spans="1:8" ht="15">
      <c r="A24" s="190" t="s">
        <v>7447</v>
      </c>
      <c r="B24" s="202">
        <v>45547</v>
      </c>
      <c r="C24" s="207"/>
      <c r="D24" s="192" t="s">
        <v>7493</v>
      </c>
      <c r="E24" s="203">
        <v>-4925.3599999999997</v>
      </c>
      <c r="F24" s="188" t="s">
        <v>7494</v>
      </c>
      <c r="G24" s="188" t="s">
        <v>7450</v>
      </c>
      <c r="H24" s="191"/>
    </row>
    <row r="25" spans="1:8" ht="15">
      <c r="A25" s="190" t="s">
        <v>7447</v>
      </c>
      <c r="B25" s="202">
        <v>45607</v>
      </c>
      <c r="C25" s="207"/>
      <c r="D25" s="192" t="s">
        <v>7495</v>
      </c>
      <c r="E25" s="203">
        <v>-4083.8</v>
      </c>
      <c r="F25" s="188" t="s">
        <v>7496</v>
      </c>
      <c r="G25" s="188" t="s">
        <v>7450</v>
      </c>
      <c r="H25" s="191" t="s">
        <v>7497</v>
      </c>
    </row>
    <row r="26" spans="1:8" ht="15">
      <c r="A26" s="190" t="s">
        <v>7447</v>
      </c>
      <c r="B26" s="202">
        <v>45581</v>
      </c>
      <c r="C26" s="207"/>
      <c r="D26" s="192" t="s">
        <v>7498</v>
      </c>
      <c r="E26" s="190">
        <v>-440.56</v>
      </c>
      <c r="F26" s="188" t="s">
        <v>7499</v>
      </c>
      <c r="G26" s="188" t="s">
        <v>7450</v>
      </c>
      <c r="H26" s="191" t="s">
        <v>7500</v>
      </c>
    </row>
    <row r="27" spans="1:8" ht="15">
      <c r="A27" s="190" t="s">
        <v>7447</v>
      </c>
      <c r="B27" s="202">
        <v>45643</v>
      </c>
      <c r="C27" s="207"/>
      <c r="D27" s="192" t="s">
        <v>7501</v>
      </c>
      <c r="E27" s="190">
        <v>-183</v>
      </c>
      <c r="F27" s="188" t="s">
        <v>7502</v>
      </c>
      <c r="G27" s="188" t="s">
        <v>7450</v>
      </c>
      <c r="H27" s="191" t="s">
        <v>7500</v>
      </c>
    </row>
    <row r="28" spans="1:8" ht="15">
      <c r="A28" s="190" t="s">
        <v>7447</v>
      </c>
      <c r="B28" s="202">
        <v>45614</v>
      </c>
      <c r="C28" s="207"/>
      <c r="D28" s="192" t="s">
        <v>7501</v>
      </c>
      <c r="E28" s="203">
        <v>-1224.23</v>
      </c>
      <c r="F28" s="188" t="s">
        <v>7502</v>
      </c>
      <c r="G28" s="188" t="s">
        <v>7450</v>
      </c>
      <c r="H28" s="191" t="s">
        <v>7500</v>
      </c>
    </row>
    <row r="29" spans="1:8" ht="15">
      <c r="A29" s="190" t="s">
        <v>7447</v>
      </c>
      <c r="B29" s="202">
        <v>45614</v>
      </c>
      <c r="C29" s="207"/>
      <c r="D29" s="192" t="s">
        <v>7503</v>
      </c>
      <c r="E29" s="203">
        <v>-3173.49</v>
      </c>
      <c r="F29" s="188" t="s">
        <v>7504</v>
      </c>
      <c r="G29" s="188" t="s">
        <v>7450</v>
      </c>
      <c r="H29" s="191" t="s">
        <v>7497</v>
      </c>
    </row>
    <row r="32" spans="1:8" ht="15">
      <c r="A32" s="221" t="s">
        <v>7505</v>
      </c>
    </row>
    <row r="33" spans="1:8" ht="15">
      <c r="A33" s="190" t="s">
        <v>7447</v>
      </c>
      <c r="B33" s="202">
        <v>45338</v>
      </c>
      <c r="C33" s="218"/>
      <c r="D33" s="190" t="s">
        <v>7506</v>
      </c>
      <c r="E33" s="203">
        <v>-1075.1400000000001</v>
      </c>
      <c r="F33" s="188" t="s">
        <v>7507</v>
      </c>
      <c r="G33" s="188" t="s">
        <v>7450</v>
      </c>
      <c r="H33" s="191" t="s">
        <v>7508</v>
      </c>
    </row>
    <row r="34" spans="1:8" ht="15">
      <c r="A34" s="190" t="s">
        <v>7447</v>
      </c>
      <c r="B34" s="208">
        <v>45140</v>
      </c>
      <c r="C34" s="218">
        <v>9245</v>
      </c>
      <c r="D34" s="190" t="s">
        <v>7509</v>
      </c>
      <c r="E34" s="203">
        <v>-1370</v>
      </c>
      <c r="F34" s="188" t="s">
        <v>7510</v>
      </c>
      <c r="G34" s="188" t="s">
        <v>7450</v>
      </c>
      <c r="H34" s="25" t="s">
        <v>7511</v>
      </c>
    </row>
    <row r="35" spans="1:8" ht="15">
      <c r="A35" s="190" t="s">
        <v>7447</v>
      </c>
      <c r="B35" s="202">
        <v>45433</v>
      </c>
      <c r="C35" s="218">
        <v>77029</v>
      </c>
      <c r="D35" s="190" t="s">
        <v>7512</v>
      </c>
      <c r="E35" s="190">
        <v>-975</v>
      </c>
      <c r="F35" s="188" t="s">
        <v>7513</v>
      </c>
      <c r="G35" s="188" t="s">
        <v>7450</v>
      </c>
      <c r="H35" s="215" t="s">
        <v>7514</v>
      </c>
    </row>
    <row r="36" spans="1:8" ht="15">
      <c r="A36" s="190" t="s">
        <v>7447</v>
      </c>
      <c r="B36" s="202">
        <v>45343</v>
      </c>
      <c r="C36" s="218">
        <v>315741</v>
      </c>
      <c r="D36" s="190" t="s">
        <v>7515</v>
      </c>
      <c r="E36" s="203">
        <v>-1200</v>
      </c>
      <c r="F36" s="188" t="s">
        <v>7516</v>
      </c>
      <c r="G36" s="188" t="s">
        <v>7450</v>
      </c>
      <c r="H36" s="215" t="s">
        <v>7517</v>
      </c>
    </row>
    <row r="37" spans="1:8" ht="15">
      <c r="A37" s="190" t="s">
        <v>7447</v>
      </c>
      <c r="B37" s="202">
        <v>45481</v>
      </c>
      <c r="C37" s="218">
        <v>6087</v>
      </c>
      <c r="D37" s="190" t="s">
        <v>7448</v>
      </c>
      <c r="E37" s="190">
        <v>-165</v>
      </c>
      <c r="F37" s="188" t="s">
        <v>7518</v>
      </c>
      <c r="G37" s="188" t="s">
        <v>7450</v>
      </c>
      <c r="H37" s="191" t="s">
        <v>7519</v>
      </c>
    </row>
    <row r="38" spans="1:8" ht="15">
      <c r="A38" s="190" t="s">
        <v>7447</v>
      </c>
      <c r="B38" s="208">
        <v>44823</v>
      </c>
      <c r="C38" s="218">
        <v>3151027</v>
      </c>
      <c r="D38" s="190" t="s">
        <v>7520</v>
      </c>
      <c r="E38" s="190">
        <v>-840</v>
      </c>
      <c r="F38" s="188" t="s">
        <v>7521</v>
      </c>
      <c r="G38" s="188" t="s">
        <v>7450</v>
      </c>
      <c r="H38" s="25" t="s">
        <v>7522</v>
      </c>
    </row>
    <row r="39" spans="1:8" ht="15">
      <c r="A39" s="190" t="s">
        <v>7447</v>
      </c>
      <c r="B39" s="202">
        <v>45418</v>
      </c>
      <c r="C39" s="218">
        <v>19939</v>
      </c>
      <c r="D39" s="190" t="s">
        <v>7523</v>
      </c>
      <c r="E39" s="190">
        <v>-480</v>
      </c>
      <c r="F39" s="188" t="s">
        <v>7524</v>
      </c>
      <c r="G39" s="188" t="s">
        <v>7450</v>
      </c>
      <c r="H39" s="215" t="s">
        <v>7525</v>
      </c>
    </row>
    <row r="40" spans="1:8" ht="15">
      <c r="A40" s="190" t="s">
        <v>7447</v>
      </c>
      <c r="B40" s="208">
        <v>44494</v>
      </c>
      <c r="C40" s="218">
        <v>59385</v>
      </c>
      <c r="D40" s="190" t="s">
        <v>7452</v>
      </c>
      <c r="E40" s="190">
        <v>-210</v>
      </c>
      <c r="F40" s="188" t="s">
        <v>7526</v>
      </c>
      <c r="G40" s="188" t="s">
        <v>7450</v>
      </c>
      <c r="H40" s="25" t="s">
        <v>7527</v>
      </c>
    </row>
    <row r="41" spans="1:8" ht="15">
      <c r="A41" s="190" t="s">
        <v>7447</v>
      </c>
      <c r="B41" s="208">
        <v>44655</v>
      </c>
      <c r="C41" s="218">
        <v>62723</v>
      </c>
      <c r="D41" s="190" t="s">
        <v>7452</v>
      </c>
      <c r="E41" s="190">
        <v>-300</v>
      </c>
      <c r="F41" s="188" t="s">
        <v>7528</v>
      </c>
      <c r="G41" s="188" t="s">
        <v>7450</v>
      </c>
      <c r="H41" s="25" t="s">
        <v>7529</v>
      </c>
    </row>
    <row r="42" spans="1:8" ht="15">
      <c r="A42" s="190" t="s">
        <v>7447</v>
      </c>
      <c r="B42" s="208">
        <v>44978</v>
      </c>
      <c r="C42" s="218">
        <v>397817</v>
      </c>
      <c r="D42" s="190" t="s">
        <v>161</v>
      </c>
      <c r="E42" s="203">
        <v>-1560</v>
      </c>
      <c r="F42" s="188" t="s">
        <v>7530</v>
      </c>
      <c r="G42" s="188" t="s">
        <v>7450</v>
      </c>
      <c r="H42" s="25" t="s">
        <v>7529</v>
      </c>
    </row>
    <row r="43" spans="1:8" ht="15">
      <c r="A43" s="190" t="s">
        <v>7447</v>
      </c>
      <c r="B43" s="208">
        <v>45037</v>
      </c>
      <c r="C43" s="218">
        <v>400061</v>
      </c>
      <c r="D43" s="190" t="s">
        <v>161</v>
      </c>
      <c r="E43" s="190">
        <v>-500</v>
      </c>
      <c r="F43" s="188" t="s">
        <v>7530</v>
      </c>
      <c r="G43" s="188" t="s">
        <v>7450</v>
      </c>
      <c r="H43" s="25" t="s">
        <v>7529</v>
      </c>
    </row>
    <row r="44" spans="1:8" ht="15">
      <c r="A44" s="190" t="s">
        <v>7447</v>
      </c>
      <c r="B44" s="208">
        <v>45048</v>
      </c>
      <c r="C44" s="218">
        <v>400458</v>
      </c>
      <c r="D44" s="190" t="s">
        <v>161</v>
      </c>
      <c r="E44" s="203">
        <v>-1236.1500000000001</v>
      </c>
      <c r="F44" s="188" t="s">
        <v>7530</v>
      </c>
      <c r="G44" s="188" t="s">
        <v>7450</v>
      </c>
      <c r="H44" s="25" t="s">
        <v>7529</v>
      </c>
    </row>
    <row r="45" spans="1:8" ht="15">
      <c r="A45" s="190" t="s">
        <v>7447</v>
      </c>
      <c r="B45" s="208">
        <v>45055</v>
      </c>
      <c r="C45" s="218">
        <v>400954</v>
      </c>
      <c r="D45" s="190" t="s">
        <v>161</v>
      </c>
      <c r="E45" s="190">
        <v>-240</v>
      </c>
      <c r="F45" s="188" t="s">
        <v>7530</v>
      </c>
      <c r="G45" s="188" t="s">
        <v>7450</v>
      </c>
      <c r="H45" s="25" t="s">
        <v>7529</v>
      </c>
    </row>
    <row r="46" spans="1:8" ht="15">
      <c r="A46" s="190" t="s">
        <v>7447</v>
      </c>
      <c r="B46" s="208">
        <v>45196</v>
      </c>
      <c r="C46" s="218">
        <v>405794</v>
      </c>
      <c r="D46" s="190" t="s">
        <v>161</v>
      </c>
      <c r="E46" s="190">
        <v>-390</v>
      </c>
      <c r="F46" s="188" t="s">
        <v>7530</v>
      </c>
      <c r="G46" s="188" t="s">
        <v>7450</v>
      </c>
      <c r="H46" s="25" t="s">
        <v>7529</v>
      </c>
    </row>
    <row r="47" spans="1:8" ht="15">
      <c r="A47" s="190" t="s">
        <v>7447</v>
      </c>
      <c r="B47" s="202">
        <v>45295</v>
      </c>
      <c r="C47" s="218">
        <v>408895</v>
      </c>
      <c r="D47" s="190" t="s">
        <v>7531</v>
      </c>
      <c r="E47" s="212">
        <v>-10132.5</v>
      </c>
      <c r="F47" s="188" t="s">
        <v>7532</v>
      </c>
      <c r="G47" s="188" t="s">
        <v>7450</v>
      </c>
      <c r="H47" s="191" t="s">
        <v>7533</v>
      </c>
    </row>
    <row r="48" spans="1:8" ht="15">
      <c r="A48" s="190" t="s">
        <v>7447</v>
      </c>
      <c r="B48" s="208">
        <v>44929</v>
      </c>
      <c r="C48" s="218">
        <v>395237</v>
      </c>
      <c r="D48" s="190" t="s">
        <v>7534</v>
      </c>
      <c r="E48" s="190">
        <v>-210</v>
      </c>
      <c r="F48" s="188" t="s">
        <v>7535</v>
      </c>
      <c r="G48" s="188" t="s">
        <v>7450</v>
      </c>
      <c r="H48" s="191"/>
    </row>
    <row r="49" spans="1:8" ht="15">
      <c r="A49" s="190" t="s">
        <v>7447</v>
      </c>
      <c r="B49" s="202">
        <v>45506</v>
      </c>
      <c r="C49" s="218"/>
      <c r="D49" s="190" t="s">
        <v>7534</v>
      </c>
      <c r="E49" s="204">
        <v>-1</v>
      </c>
      <c r="F49" s="188" t="s">
        <v>7535</v>
      </c>
      <c r="G49" s="188" t="s">
        <v>7450</v>
      </c>
      <c r="H49" s="191"/>
    </row>
    <row r="50" spans="1:8" ht="15">
      <c r="A50" s="190" t="s">
        <v>7447</v>
      </c>
      <c r="B50" s="208">
        <v>45145</v>
      </c>
      <c r="C50" s="218"/>
      <c r="D50" s="190" t="s">
        <v>5964</v>
      </c>
      <c r="E50" s="204">
        <v>-0.24</v>
      </c>
      <c r="F50" s="188" t="s">
        <v>7536</v>
      </c>
      <c r="G50" s="188" t="s">
        <v>7450</v>
      </c>
      <c r="H50" s="191"/>
    </row>
    <row r="51" spans="1:8" ht="15">
      <c r="A51" s="190" t="s">
        <v>7447</v>
      </c>
      <c r="B51" s="202">
        <v>45418</v>
      </c>
      <c r="C51" s="218">
        <v>39762</v>
      </c>
      <c r="D51" s="190" t="s">
        <v>7537</v>
      </c>
      <c r="E51" s="190">
        <v>-260.92</v>
      </c>
      <c r="F51" s="188" t="s">
        <v>7538</v>
      </c>
      <c r="G51" s="188" t="s">
        <v>7450</v>
      </c>
      <c r="H51" s="191" t="s">
        <v>7539</v>
      </c>
    </row>
    <row r="52" spans="1:8" ht="15">
      <c r="A52" s="190" t="s">
        <v>7447</v>
      </c>
      <c r="B52" s="208">
        <v>44487</v>
      </c>
      <c r="C52" s="218">
        <v>90001958921</v>
      </c>
      <c r="D52" s="190" t="s">
        <v>7540</v>
      </c>
      <c r="E52" s="190">
        <v>-495</v>
      </c>
      <c r="F52" s="188" t="s">
        <v>7541</v>
      </c>
      <c r="G52" s="188" t="s">
        <v>7450</v>
      </c>
      <c r="H52" s="191"/>
    </row>
    <row r="53" spans="1:8" ht="15">
      <c r="A53" s="190" t="s">
        <v>7447</v>
      </c>
      <c r="B53" s="208">
        <v>44806</v>
      </c>
      <c r="C53" s="218">
        <v>90002153195</v>
      </c>
      <c r="D53" s="190" t="s">
        <v>7540</v>
      </c>
      <c r="E53" s="190">
        <v>-210</v>
      </c>
      <c r="F53" s="188" t="s">
        <v>7541</v>
      </c>
      <c r="G53" s="188" t="s">
        <v>7450</v>
      </c>
      <c r="H53" s="191"/>
    </row>
    <row r="54" spans="1:8" ht="15">
      <c r="A54" s="190" t="s">
        <v>7447</v>
      </c>
      <c r="B54" s="208">
        <v>45132</v>
      </c>
      <c r="C54" s="218">
        <v>1471640</v>
      </c>
      <c r="D54" s="190" t="s">
        <v>7542</v>
      </c>
      <c r="E54" s="190">
        <v>-809.25</v>
      </c>
      <c r="F54" s="188" t="s">
        <v>7543</v>
      </c>
      <c r="G54" s="188" t="s">
        <v>7450</v>
      </c>
      <c r="H54" s="191"/>
    </row>
    <row r="55" spans="1:8" ht="15">
      <c r="A55" s="190" t="s">
        <v>7447</v>
      </c>
      <c r="B55" s="202">
        <v>45453</v>
      </c>
      <c r="C55" s="218">
        <v>382632</v>
      </c>
      <c r="D55" s="190" t="s">
        <v>7544</v>
      </c>
      <c r="E55" s="203">
        <v>-3035</v>
      </c>
      <c r="F55" s="188" t="s">
        <v>7545</v>
      </c>
      <c r="G55" s="188" t="s">
        <v>7450</v>
      </c>
      <c r="H55" s="191"/>
    </row>
    <row r="56" spans="1:8" ht="15">
      <c r="A56" s="190" t="s">
        <v>7447</v>
      </c>
      <c r="B56" s="202">
        <v>45352</v>
      </c>
      <c r="C56" s="218">
        <v>20167</v>
      </c>
      <c r="D56" s="190" t="s">
        <v>7546</v>
      </c>
      <c r="E56" s="190">
        <v>-240</v>
      </c>
      <c r="F56" s="188" t="s">
        <v>7547</v>
      </c>
      <c r="G56" s="188" t="s">
        <v>7450</v>
      </c>
      <c r="H56" s="25" t="s">
        <v>7548</v>
      </c>
    </row>
    <row r="57" spans="1:8" ht="15">
      <c r="A57" s="190" t="s">
        <v>7447</v>
      </c>
      <c r="B57" s="202">
        <v>45397</v>
      </c>
      <c r="C57" s="218">
        <v>101053</v>
      </c>
      <c r="D57" s="190" t="s">
        <v>3915</v>
      </c>
      <c r="E57" s="190">
        <v>-396.94</v>
      </c>
      <c r="F57" s="188" t="s">
        <v>7549</v>
      </c>
      <c r="G57" s="188" t="s">
        <v>7450</v>
      </c>
      <c r="H57" s="191" t="s">
        <v>7550</v>
      </c>
    </row>
    <row r="58" spans="1:8" ht="15">
      <c r="A58" s="190" t="s">
        <v>7447</v>
      </c>
      <c r="B58" s="208">
        <v>43164</v>
      </c>
      <c r="C58" s="218">
        <v>23138837</v>
      </c>
      <c r="D58" s="190" t="s">
        <v>3201</v>
      </c>
      <c r="E58" s="204">
        <v>-33.659999999999997</v>
      </c>
      <c r="F58" s="188" t="s">
        <v>7551</v>
      </c>
      <c r="G58" s="188" t="s">
        <v>7450</v>
      </c>
      <c r="H58" s="191"/>
    </row>
    <row r="59" spans="1:8" ht="15">
      <c r="A59" s="190" t="s">
        <v>7447</v>
      </c>
      <c r="B59" s="202">
        <v>45308</v>
      </c>
      <c r="C59" s="218">
        <v>13208</v>
      </c>
      <c r="D59" s="190" t="s">
        <v>7469</v>
      </c>
      <c r="E59" s="190">
        <v>-895.86</v>
      </c>
      <c r="F59" s="188" t="s">
        <v>7552</v>
      </c>
      <c r="G59" s="188" t="s">
        <v>7450</v>
      </c>
      <c r="H59" s="191" t="s">
        <v>7553</v>
      </c>
    </row>
    <row r="60" spans="1:8" ht="15">
      <c r="A60" s="190" t="s">
        <v>7447</v>
      </c>
      <c r="B60" s="208">
        <v>45225</v>
      </c>
      <c r="C60" s="218">
        <v>77906</v>
      </c>
      <c r="D60" s="190" t="s">
        <v>7554</v>
      </c>
      <c r="E60" s="204">
        <v>-62.5</v>
      </c>
      <c r="F60" s="188" t="s">
        <v>7555</v>
      </c>
      <c r="G60" s="188" t="s">
        <v>7450</v>
      </c>
      <c r="H60" s="191"/>
    </row>
    <row r="61" spans="1:8" ht="15">
      <c r="A61" s="190" t="s">
        <v>7447</v>
      </c>
      <c r="B61" s="202">
        <v>45418</v>
      </c>
      <c r="C61" s="218">
        <v>79977</v>
      </c>
      <c r="D61" s="190" t="s">
        <v>7554</v>
      </c>
      <c r="E61" s="190">
        <v>-271.38</v>
      </c>
      <c r="F61" s="188" t="s">
        <v>7555</v>
      </c>
      <c r="G61" s="188" t="s">
        <v>7450</v>
      </c>
      <c r="H61" s="191"/>
    </row>
    <row r="62" spans="1:8" ht="15">
      <c r="A62" s="190" t="s">
        <v>7447</v>
      </c>
      <c r="B62" s="202">
        <v>45338</v>
      </c>
      <c r="C62" s="218">
        <v>140608</v>
      </c>
      <c r="D62" s="190" t="s">
        <v>7005</v>
      </c>
      <c r="E62" s="190">
        <v>-850</v>
      </c>
      <c r="F62" s="188" t="s">
        <v>7556</v>
      </c>
      <c r="G62" s="188" t="s">
        <v>7450</v>
      </c>
      <c r="H62" s="191"/>
    </row>
    <row r="63" spans="1:8" ht="15">
      <c r="A63" s="190" t="s">
        <v>7447</v>
      </c>
      <c r="B63" s="208">
        <v>44617</v>
      </c>
      <c r="C63" s="218">
        <v>7411</v>
      </c>
      <c r="D63" s="190" t="s">
        <v>3134</v>
      </c>
      <c r="E63" s="190">
        <v>-676.43</v>
      </c>
      <c r="F63" s="188" t="s">
        <v>7557</v>
      </c>
      <c r="G63" s="188" t="s">
        <v>7450</v>
      </c>
      <c r="H63" s="191"/>
    </row>
    <row r="64" spans="1:8" ht="15">
      <c r="A64" s="190" t="s">
        <v>7447</v>
      </c>
      <c r="B64" s="202">
        <v>45478</v>
      </c>
      <c r="C64" s="218">
        <v>1366603</v>
      </c>
      <c r="D64" s="190" t="s">
        <v>7477</v>
      </c>
      <c r="E64" s="190">
        <v>-1.29</v>
      </c>
      <c r="F64" s="188" t="s">
        <v>7558</v>
      </c>
      <c r="G64" s="188" t="s">
        <v>7450</v>
      </c>
      <c r="H64" s="191"/>
    </row>
    <row r="65" spans="1:8" ht="15">
      <c r="A65" s="190" t="s">
        <v>7447</v>
      </c>
      <c r="B65" s="208">
        <v>45019</v>
      </c>
      <c r="C65" s="218">
        <v>9657</v>
      </c>
      <c r="D65" s="190" t="s">
        <v>7559</v>
      </c>
      <c r="E65" s="190">
        <v>-628.98</v>
      </c>
      <c r="F65" s="188" t="s">
        <v>7560</v>
      </c>
      <c r="G65" s="188" t="s">
        <v>7450</v>
      </c>
      <c r="H65" s="191"/>
    </row>
    <row r="66" spans="1:8" ht="15">
      <c r="A66" s="190" t="s">
        <v>7447</v>
      </c>
      <c r="B66" s="208">
        <v>44732</v>
      </c>
      <c r="C66" s="218">
        <v>27716</v>
      </c>
      <c r="D66" s="190" t="s">
        <v>7561</v>
      </c>
      <c r="E66" s="190">
        <v>-32.47</v>
      </c>
      <c r="F66" s="188" t="s">
        <v>7562</v>
      </c>
      <c r="G66" s="188" t="s">
        <v>7450</v>
      </c>
      <c r="H66" s="191"/>
    </row>
    <row r="67" spans="1:8" ht="15">
      <c r="A67" s="190" t="s">
        <v>7447</v>
      </c>
      <c r="B67" s="202">
        <v>45481</v>
      </c>
      <c r="C67" s="218">
        <v>5389</v>
      </c>
      <c r="D67" s="190" t="s">
        <v>2738</v>
      </c>
      <c r="E67" s="190">
        <v>-187.09</v>
      </c>
      <c r="F67" s="188" t="s">
        <v>7563</v>
      </c>
      <c r="G67" s="188" t="s">
        <v>7450</v>
      </c>
      <c r="H67" s="191"/>
    </row>
    <row r="68" spans="1:8" ht="15">
      <c r="A68" s="190" t="s">
        <v>7447</v>
      </c>
      <c r="B68" s="202">
        <v>45365</v>
      </c>
      <c r="C68" s="218">
        <v>900001775939</v>
      </c>
      <c r="D68" s="190" t="s">
        <v>7564</v>
      </c>
      <c r="E68" s="190">
        <v>-240</v>
      </c>
      <c r="F68" s="188" t="s">
        <v>7565</v>
      </c>
      <c r="G68" s="188" t="s">
        <v>7450</v>
      </c>
      <c r="H68" s="191"/>
    </row>
    <row r="69" spans="1:8" ht="15">
      <c r="A69" s="190" t="s">
        <v>7447</v>
      </c>
      <c r="B69" s="208">
        <v>45225</v>
      </c>
      <c r="C69" s="218">
        <v>10197</v>
      </c>
      <c r="D69" s="190" t="s">
        <v>3858</v>
      </c>
      <c r="E69" s="190">
        <v>-66.400000000000006</v>
      </c>
      <c r="F69" s="188" t="s">
        <v>7566</v>
      </c>
      <c r="G69" s="188" t="s">
        <v>7450</v>
      </c>
      <c r="H69" s="191"/>
    </row>
    <row r="70" spans="1:8" ht="15">
      <c r="A70" s="190" t="s">
        <v>7447</v>
      </c>
      <c r="B70" s="202">
        <v>45357</v>
      </c>
      <c r="C70" s="218"/>
      <c r="D70" s="190" t="s">
        <v>7567</v>
      </c>
      <c r="E70" s="190">
        <v>-535</v>
      </c>
      <c r="F70" s="188" t="s">
        <v>7568</v>
      </c>
      <c r="G70" s="188" t="s">
        <v>7450</v>
      </c>
      <c r="H70" s="191" t="s">
        <v>7569</v>
      </c>
    </row>
    <row r="71" spans="1:8" ht="15">
      <c r="A71" s="190" t="s">
        <v>7447</v>
      </c>
      <c r="B71" s="202">
        <v>45355</v>
      </c>
      <c r="C71" s="218">
        <v>18110</v>
      </c>
      <c r="D71" s="190" t="s">
        <v>7570</v>
      </c>
      <c r="E71" s="190">
        <v>-176</v>
      </c>
      <c r="F71" s="188" t="s">
        <v>7571</v>
      </c>
      <c r="G71" s="188" t="s">
        <v>7450</v>
      </c>
      <c r="H71" s="191"/>
    </row>
    <row r="72" spans="1:8" ht="15">
      <c r="A72" s="190" t="s">
        <v>7447</v>
      </c>
      <c r="B72" s="208">
        <v>44879</v>
      </c>
      <c r="C72" s="218">
        <v>2635</v>
      </c>
      <c r="D72" s="190" t="s">
        <v>7572</v>
      </c>
      <c r="E72" s="203">
        <v>-1459.5</v>
      </c>
      <c r="F72" s="188" t="s">
        <v>7573</v>
      </c>
      <c r="G72" s="188" t="s">
        <v>7450</v>
      </c>
      <c r="H72" s="191"/>
    </row>
    <row r="73" spans="1:8" ht="15">
      <c r="A73" s="190" t="s">
        <v>7447</v>
      </c>
      <c r="B73" s="208">
        <v>43941</v>
      </c>
      <c r="C73" s="218">
        <v>5094940</v>
      </c>
      <c r="D73" s="190" t="s">
        <v>7574</v>
      </c>
      <c r="E73" s="190">
        <v>-190</v>
      </c>
      <c r="F73" s="188" t="s">
        <v>7575</v>
      </c>
      <c r="G73" s="188" t="s">
        <v>7450</v>
      </c>
      <c r="H73" s="191"/>
    </row>
    <row r="74" spans="1:8" ht="15">
      <c r="A74" s="190" t="s">
        <v>7447</v>
      </c>
      <c r="B74" s="202">
        <v>45639</v>
      </c>
      <c r="C74" s="218"/>
      <c r="D74" s="190" t="s">
        <v>7576</v>
      </c>
      <c r="E74" s="190">
        <v>-2.0699999999999998</v>
      </c>
      <c r="F74" s="188" t="s">
        <v>7577</v>
      </c>
      <c r="G74" s="188" t="s">
        <v>7450</v>
      </c>
      <c r="H74" s="191"/>
    </row>
    <row r="75" spans="1:8" ht="15">
      <c r="A75" s="190" t="s">
        <v>7447</v>
      </c>
      <c r="B75" s="208">
        <v>44823</v>
      </c>
      <c r="C75" s="218">
        <v>43752</v>
      </c>
      <c r="D75" s="190" t="s">
        <v>7576</v>
      </c>
      <c r="E75" s="203">
        <v>-1889.1</v>
      </c>
      <c r="F75" s="188" t="s">
        <v>7578</v>
      </c>
      <c r="G75" s="188" t="s">
        <v>7450</v>
      </c>
      <c r="H75" s="191"/>
    </row>
    <row r="76" spans="1:8" ht="15">
      <c r="A76" s="190" t="s">
        <v>7447</v>
      </c>
      <c r="B76" s="208">
        <v>44988</v>
      </c>
      <c r="C76" s="218">
        <v>48376</v>
      </c>
      <c r="D76" s="190" t="s">
        <v>7579</v>
      </c>
      <c r="E76" s="190">
        <v>-50</v>
      </c>
      <c r="F76" s="188" t="s">
        <v>7580</v>
      </c>
      <c r="G76" s="188" t="s">
        <v>7450</v>
      </c>
      <c r="H76" s="191"/>
    </row>
    <row r="77" spans="1:8" ht="15">
      <c r="A77" s="190" t="s">
        <v>7447</v>
      </c>
      <c r="B77" s="208">
        <v>44942</v>
      </c>
      <c r="C77" s="218"/>
      <c r="D77" s="190" t="s">
        <v>7581</v>
      </c>
      <c r="E77" s="190">
        <v>-344.6</v>
      </c>
      <c r="F77" s="188" t="s">
        <v>7582</v>
      </c>
      <c r="G77" s="188" t="s">
        <v>7450</v>
      </c>
      <c r="H77" s="191"/>
    </row>
    <row r="78" spans="1:8" ht="15">
      <c r="A78" s="190" t="s">
        <v>7447</v>
      </c>
      <c r="B78" s="208">
        <v>45189</v>
      </c>
      <c r="C78" s="218"/>
      <c r="D78" s="190" t="s">
        <v>7581</v>
      </c>
      <c r="E78" s="190">
        <v>-67</v>
      </c>
      <c r="F78" s="188" t="s">
        <v>7582</v>
      </c>
      <c r="G78" s="188" t="s">
        <v>7450</v>
      </c>
      <c r="H78" s="191"/>
    </row>
    <row r="79" spans="1:8" ht="15">
      <c r="A79" s="190" t="s">
        <v>7447</v>
      </c>
      <c r="B79" s="202">
        <v>45405</v>
      </c>
      <c r="C79" s="218">
        <v>730623</v>
      </c>
      <c r="D79" s="190" t="s">
        <v>7583</v>
      </c>
      <c r="E79" s="190">
        <v>-990</v>
      </c>
      <c r="F79" s="188" t="s">
        <v>7584</v>
      </c>
      <c r="G79" s="188" t="s">
        <v>7450</v>
      </c>
      <c r="H79" s="191"/>
    </row>
    <row r="80" spans="1:8" ht="15">
      <c r="A80" s="190" t="s">
        <v>7447</v>
      </c>
      <c r="B80" s="208">
        <v>44019</v>
      </c>
      <c r="C80" s="218">
        <v>5477</v>
      </c>
      <c r="D80" s="190" t="s">
        <v>2468</v>
      </c>
      <c r="E80" s="190">
        <v>-193.86</v>
      </c>
      <c r="F80" s="188" t="s">
        <v>7585</v>
      </c>
      <c r="G80" s="188" t="s">
        <v>7450</v>
      </c>
      <c r="H80" s="191"/>
    </row>
    <row r="81" spans="1:8" ht="15">
      <c r="A81" s="190" t="s">
        <v>7447</v>
      </c>
      <c r="B81" s="208">
        <v>44095</v>
      </c>
      <c r="C81" s="218">
        <v>5915</v>
      </c>
      <c r="D81" s="190" t="s">
        <v>2468</v>
      </c>
      <c r="E81" s="203">
        <v>-2609.1</v>
      </c>
      <c r="F81" s="188" t="s">
        <v>7585</v>
      </c>
      <c r="G81" s="188" t="s">
        <v>7450</v>
      </c>
      <c r="H81" s="191"/>
    </row>
    <row r="82" spans="1:8" ht="15">
      <c r="A82" s="190" t="s">
        <v>7447</v>
      </c>
      <c r="B82" s="208">
        <v>44936</v>
      </c>
      <c r="C82" s="218">
        <v>10770</v>
      </c>
      <c r="D82" s="190" t="s">
        <v>7586</v>
      </c>
      <c r="E82" s="190">
        <v>-740</v>
      </c>
      <c r="F82" s="188" t="s">
        <v>7587</v>
      </c>
      <c r="G82" s="188" t="s">
        <v>7450</v>
      </c>
      <c r="H82" s="191"/>
    </row>
    <row r="83" spans="1:8" ht="15">
      <c r="A83" s="190" t="s">
        <v>7447</v>
      </c>
      <c r="B83" s="202">
        <v>45457</v>
      </c>
      <c r="C83" s="218">
        <v>12132</v>
      </c>
      <c r="D83" s="190" t="s">
        <v>7588</v>
      </c>
      <c r="E83" s="190">
        <v>-93.11</v>
      </c>
      <c r="F83" s="188" t="s">
        <v>7589</v>
      </c>
      <c r="G83" s="188" t="s">
        <v>7450</v>
      </c>
      <c r="H83" s="191"/>
    </row>
    <row r="84" spans="1:8" ht="15">
      <c r="A84" s="190" t="s">
        <v>7447</v>
      </c>
      <c r="B84" s="202">
        <v>45418</v>
      </c>
      <c r="C84" s="218">
        <v>12035</v>
      </c>
      <c r="D84" s="190" t="s">
        <v>7590</v>
      </c>
      <c r="E84" s="190">
        <v>-110</v>
      </c>
      <c r="F84" s="188" t="s">
        <v>7591</v>
      </c>
      <c r="G84" s="188" t="s">
        <v>7450</v>
      </c>
      <c r="H84" s="191"/>
    </row>
    <row r="85" spans="1:8" ht="15">
      <c r="A85" s="209" t="s">
        <v>7447</v>
      </c>
      <c r="B85" s="210">
        <v>45233</v>
      </c>
      <c r="C85" s="219" t="s">
        <v>7592</v>
      </c>
      <c r="D85" s="209" t="s">
        <v>7593</v>
      </c>
      <c r="E85" s="209">
        <v>-167.55</v>
      </c>
      <c r="F85" s="188" t="s">
        <v>7594</v>
      </c>
      <c r="G85" s="188" t="s">
        <v>7450</v>
      </c>
      <c r="H85" s="191"/>
    </row>
    <row r="86" spans="1:8" ht="15">
      <c r="A86" s="190" t="s">
        <v>7447</v>
      </c>
      <c r="B86" s="208">
        <v>45026</v>
      </c>
      <c r="C86" s="218">
        <v>9864</v>
      </c>
      <c r="D86" s="190" t="s">
        <v>2988</v>
      </c>
      <c r="E86" s="203">
        <v>-1253.45</v>
      </c>
      <c r="F86" s="188" t="s">
        <v>7595</v>
      </c>
      <c r="G86" s="188" t="s">
        <v>7450</v>
      </c>
      <c r="H86" s="191"/>
    </row>
    <row r="87" spans="1:8" ht="15">
      <c r="A87" s="190" t="s">
        <v>7447</v>
      </c>
      <c r="B87" s="208">
        <v>44938</v>
      </c>
      <c r="C87" s="218"/>
      <c r="D87" s="190" t="s">
        <v>7596</v>
      </c>
      <c r="E87" s="190">
        <v>-999</v>
      </c>
      <c r="F87" s="188" t="s">
        <v>7597</v>
      </c>
      <c r="G87" s="188" t="s">
        <v>7450</v>
      </c>
      <c r="H87" s="191"/>
    </row>
    <row r="88" spans="1:8" ht="15">
      <c r="A88" s="190" t="s">
        <v>7447</v>
      </c>
      <c r="B88" s="202">
        <v>45344</v>
      </c>
      <c r="C88" s="218"/>
      <c r="D88" s="190" t="s">
        <v>7598</v>
      </c>
      <c r="E88" s="190">
        <v>-359.1</v>
      </c>
      <c r="F88" s="188" t="s">
        <v>7599</v>
      </c>
      <c r="G88" s="188" t="s">
        <v>7450</v>
      </c>
      <c r="H88" s="191"/>
    </row>
    <row r="89" spans="1:8" ht="15">
      <c r="A89" s="190" t="s">
        <v>7447</v>
      </c>
      <c r="B89" s="208">
        <v>43500</v>
      </c>
      <c r="C89" s="218">
        <v>783866</v>
      </c>
      <c r="D89" s="190" t="s">
        <v>7600</v>
      </c>
      <c r="E89" s="190">
        <v>-170</v>
      </c>
      <c r="F89" s="188" t="s">
        <v>7601</v>
      </c>
      <c r="G89" s="188" t="s">
        <v>7450</v>
      </c>
      <c r="H89" s="191" t="s">
        <v>7602</v>
      </c>
    </row>
    <row r="90" spans="1:8" ht="15">
      <c r="A90" s="190" t="s">
        <v>7447</v>
      </c>
      <c r="B90" s="208">
        <v>43892</v>
      </c>
      <c r="C90" s="218">
        <v>811971</v>
      </c>
      <c r="D90" s="190" t="s">
        <v>7600</v>
      </c>
      <c r="E90" s="190">
        <v>-310</v>
      </c>
      <c r="F90" s="188" t="s">
        <v>7601</v>
      </c>
      <c r="G90" s="188" t="s">
        <v>7450</v>
      </c>
      <c r="H90" s="191" t="s">
        <v>7602</v>
      </c>
    </row>
    <row r="91" spans="1:8" ht="15">
      <c r="A91" s="190" t="s">
        <v>7447</v>
      </c>
      <c r="B91" s="208">
        <v>44988</v>
      </c>
      <c r="C91" s="218">
        <v>889931</v>
      </c>
      <c r="D91" s="190" t="s">
        <v>7600</v>
      </c>
      <c r="E91" s="190">
        <v>-330</v>
      </c>
      <c r="F91" s="188" t="s">
        <v>7601</v>
      </c>
      <c r="G91" s="188" t="s">
        <v>7450</v>
      </c>
      <c r="H91" s="191" t="s">
        <v>7602</v>
      </c>
    </row>
    <row r="92" spans="1:8" ht="15">
      <c r="A92" s="190" t="s">
        <v>7447</v>
      </c>
      <c r="B92" s="208">
        <v>45205</v>
      </c>
      <c r="C92" s="218">
        <v>31087</v>
      </c>
      <c r="D92" s="190" t="s">
        <v>7603</v>
      </c>
      <c r="E92" s="190">
        <v>-108</v>
      </c>
      <c r="F92" s="188" t="s">
        <v>7604</v>
      </c>
      <c r="G92" s="188" t="s">
        <v>7450</v>
      </c>
      <c r="H92" s="191" t="s">
        <v>7602</v>
      </c>
    </row>
    <row r="93" spans="1:8" ht="15">
      <c r="A93" s="190" t="s">
        <v>7447</v>
      </c>
      <c r="B93" s="208">
        <v>45159</v>
      </c>
      <c r="C93" s="218">
        <v>16001</v>
      </c>
      <c r="D93" s="190" t="s">
        <v>7605</v>
      </c>
      <c r="E93" s="190">
        <v>-390</v>
      </c>
      <c r="F93" s="188" t="s">
        <v>7606</v>
      </c>
      <c r="G93" s="188" t="s">
        <v>7450</v>
      </c>
      <c r="H93" s="191"/>
    </row>
    <row r="94" spans="1:8" ht="15">
      <c r="A94" s="190" t="s">
        <v>7447</v>
      </c>
      <c r="B94" s="202">
        <v>44606</v>
      </c>
      <c r="C94" s="218">
        <v>12602</v>
      </c>
      <c r="D94" s="190" t="s">
        <v>7607</v>
      </c>
      <c r="E94" s="190">
        <v>-770</v>
      </c>
      <c r="F94" s="188" t="s">
        <v>7608</v>
      </c>
      <c r="G94" s="188" t="s">
        <v>7450</v>
      </c>
      <c r="H94" s="191" t="s">
        <v>7602</v>
      </c>
    </row>
    <row r="95" spans="1:8" ht="15">
      <c r="A95" s="190" t="s">
        <v>7447</v>
      </c>
      <c r="B95" s="202">
        <v>45079</v>
      </c>
      <c r="C95" s="218">
        <v>10454</v>
      </c>
      <c r="D95" s="190" t="s">
        <v>7607</v>
      </c>
      <c r="E95" s="190">
        <v>-460</v>
      </c>
      <c r="F95" s="188" t="s">
        <v>7608</v>
      </c>
      <c r="G95" s="188" t="s">
        <v>7450</v>
      </c>
      <c r="H95" s="191" t="s">
        <v>7602</v>
      </c>
    </row>
    <row r="96" spans="1:8" ht="15">
      <c r="A96" s="190" t="s">
        <v>7447</v>
      </c>
      <c r="B96" s="202">
        <v>43892</v>
      </c>
      <c r="C96" s="218">
        <v>10121</v>
      </c>
      <c r="D96" s="190" t="s">
        <v>7609</v>
      </c>
      <c r="E96" s="203">
        <v>-1375</v>
      </c>
      <c r="F96" s="188" t="s">
        <v>7610</v>
      </c>
      <c r="G96" s="188" t="s">
        <v>7450</v>
      </c>
      <c r="H96" s="191"/>
    </row>
    <row r="97" spans="1:8" ht="15">
      <c r="A97" s="190" t="s">
        <v>7447</v>
      </c>
      <c r="B97" s="202">
        <v>45296</v>
      </c>
      <c r="C97" s="218"/>
      <c r="D97" s="190" t="s">
        <v>3364</v>
      </c>
      <c r="E97" s="190">
        <v>-500</v>
      </c>
      <c r="F97" s="188" t="s">
        <v>7611</v>
      </c>
      <c r="G97" s="188" t="s">
        <v>7450</v>
      </c>
      <c r="H97" s="191"/>
    </row>
    <row r="98" spans="1:8" ht="15">
      <c r="A98" s="190" t="s">
        <v>7447</v>
      </c>
      <c r="B98" s="202">
        <v>45415</v>
      </c>
      <c r="C98" s="218"/>
      <c r="D98" s="190" t="s">
        <v>3364</v>
      </c>
      <c r="E98" s="190">
        <v>-1.05</v>
      </c>
      <c r="F98" s="188" t="s">
        <v>7611</v>
      </c>
      <c r="G98" s="188" t="s">
        <v>7450</v>
      </c>
      <c r="H98" s="191"/>
    </row>
    <row r="99" spans="1:8" ht="15">
      <c r="A99" s="190" t="s">
        <v>7447</v>
      </c>
      <c r="B99" s="202">
        <v>45377</v>
      </c>
      <c r="C99" s="218">
        <v>190957</v>
      </c>
      <c r="D99" s="190" t="s">
        <v>7489</v>
      </c>
      <c r="E99" s="190">
        <v>-90.25</v>
      </c>
      <c r="F99" s="188" t="s">
        <v>7612</v>
      </c>
      <c r="G99" s="188" t="s">
        <v>7450</v>
      </c>
      <c r="H99" s="191"/>
    </row>
    <row r="100" spans="1:8" ht="15">
      <c r="A100" s="190" t="s">
        <v>7447</v>
      </c>
      <c r="B100" s="202">
        <v>45397</v>
      </c>
      <c r="C100" s="218">
        <v>2184</v>
      </c>
      <c r="D100" s="190" t="s">
        <v>7613</v>
      </c>
      <c r="E100" s="203">
        <v>-4092</v>
      </c>
      <c r="F100" s="188" t="s">
        <v>7614</v>
      </c>
      <c r="G100" s="188" t="s">
        <v>7450</v>
      </c>
      <c r="H100" s="191"/>
    </row>
    <row r="101" spans="1:8" ht="15">
      <c r="A101" s="190" t="s">
        <v>7447</v>
      </c>
      <c r="B101" s="202">
        <v>44137</v>
      </c>
      <c r="C101" s="218">
        <v>117046</v>
      </c>
      <c r="D101" s="190" t="s">
        <v>7615</v>
      </c>
      <c r="E101" s="190">
        <v>-85</v>
      </c>
      <c r="F101" s="188" t="s">
        <v>7616</v>
      </c>
      <c r="G101" s="188" t="s">
        <v>7450</v>
      </c>
      <c r="H101" s="191"/>
    </row>
    <row r="102" spans="1:8" ht="15">
      <c r="A102" s="190" t="s">
        <v>7447</v>
      </c>
      <c r="B102" s="202">
        <v>45442</v>
      </c>
      <c r="C102" s="218"/>
      <c r="D102" s="190" t="s">
        <v>7615</v>
      </c>
      <c r="E102" s="190">
        <v>-264</v>
      </c>
      <c r="F102" s="188" t="s">
        <v>7616</v>
      </c>
      <c r="G102" s="188" t="s">
        <v>7450</v>
      </c>
      <c r="H102" s="191"/>
    </row>
    <row r="103" spans="1:8" ht="15">
      <c r="A103" s="190" t="s">
        <v>7447</v>
      </c>
      <c r="B103" s="202">
        <v>45310</v>
      </c>
      <c r="C103" s="218">
        <v>5118</v>
      </c>
      <c r="D103" s="190" t="s">
        <v>7617</v>
      </c>
      <c r="E103" s="190">
        <v>-20</v>
      </c>
      <c r="F103" s="188" t="s">
        <v>7618</v>
      </c>
      <c r="G103" s="188" t="s">
        <v>7450</v>
      </c>
      <c r="H103" s="191"/>
    </row>
    <row r="104" spans="1:8" ht="15">
      <c r="A104" s="190" t="s">
        <v>7447</v>
      </c>
      <c r="B104" s="202">
        <v>45400</v>
      </c>
      <c r="C104" s="218">
        <v>5453</v>
      </c>
      <c r="D104" s="190" t="s">
        <v>7619</v>
      </c>
      <c r="E104" s="203">
        <v>-1650</v>
      </c>
      <c r="F104" s="188" t="s">
        <v>7620</v>
      </c>
      <c r="G104" s="188" t="s">
        <v>7450</v>
      </c>
      <c r="H104" s="191"/>
    </row>
    <row r="105" spans="1:8" ht="15">
      <c r="A105" s="190" t="s">
        <v>7447</v>
      </c>
      <c r="B105" s="208">
        <v>45245</v>
      </c>
      <c r="C105" s="218">
        <v>17347</v>
      </c>
      <c r="D105" s="190" t="s">
        <v>4612</v>
      </c>
      <c r="E105" s="190">
        <v>-394.22</v>
      </c>
      <c r="F105" s="188" t="s">
        <v>7621</v>
      </c>
      <c r="G105" s="188" t="s">
        <v>7450</v>
      </c>
      <c r="H105" s="191" t="s">
        <v>7622</v>
      </c>
    </row>
    <row r="106" spans="1:8" ht="15">
      <c r="A106" s="190" t="s">
        <v>7447</v>
      </c>
      <c r="B106" s="208">
        <v>44732</v>
      </c>
      <c r="C106" s="218"/>
      <c r="D106" s="190" t="s">
        <v>7623</v>
      </c>
      <c r="E106" s="190">
        <v>-445</v>
      </c>
      <c r="F106" s="188" t="s">
        <v>7624</v>
      </c>
      <c r="G106" s="188" t="s">
        <v>7450</v>
      </c>
      <c r="H106" s="191"/>
    </row>
    <row r="107" spans="1:8" ht="15">
      <c r="A107" s="190" t="s">
        <v>7447</v>
      </c>
      <c r="B107" s="208">
        <v>44820</v>
      </c>
      <c r="C107" s="218"/>
      <c r="D107" s="190" t="s">
        <v>7623</v>
      </c>
      <c r="E107" s="190">
        <v>-50</v>
      </c>
      <c r="F107" s="188" t="s">
        <v>7624</v>
      </c>
      <c r="G107" s="188" t="s">
        <v>7450</v>
      </c>
      <c r="H107" s="191"/>
    </row>
    <row r="108" spans="1:8" ht="15">
      <c r="A108" s="190" t="s">
        <v>7447</v>
      </c>
      <c r="B108" s="202">
        <v>45294</v>
      </c>
      <c r="C108" s="218"/>
      <c r="D108" s="190" t="s">
        <v>7625</v>
      </c>
      <c r="E108" s="190">
        <v>-0.87</v>
      </c>
      <c r="F108" s="188" t="s">
        <v>7626</v>
      </c>
      <c r="G108" s="188" t="s">
        <v>7450</v>
      </c>
      <c r="H108" s="191"/>
    </row>
    <row r="109" spans="1:8" ht="15">
      <c r="A109" s="190" t="s">
        <v>7447</v>
      </c>
      <c r="B109" s="202">
        <v>45446</v>
      </c>
      <c r="C109" s="218">
        <v>3145</v>
      </c>
      <c r="D109" s="190" t="s">
        <v>7625</v>
      </c>
      <c r="E109" s="190">
        <v>-901.38</v>
      </c>
      <c r="F109" s="188" t="s">
        <v>7626</v>
      </c>
      <c r="G109" s="188" t="s">
        <v>7450</v>
      </c>
      <c r="H109" s="191"/>
    </row>
    <row r="110" spans="1:8" ht="15">
      <c r="A110" s="190" t="s">
        <v>7447</v>
      </c>
      <c r="B110" s="208">
        <v>44659</v>
      </c>
      <c r="C110" s="218">
        <v>2000115269</v>
      </c>
      <c r="D110" s="190" t="s">
        <v>7627</v>
      </c>
      <c r="E110" s="190">
        <v>-425</v>
      </c>
      <c r="F110" s="188" t="s">
        <v>7628</v>
      </c>
      <c r="G110" s="188" t="s">
        <v>7450</v>
      </c>
      <c r="H110" s="191"/>
    </row>
    <row r="111" spans="1:8" ht="23.25">
      <c r="A111" s="209" t="s">
        <v>7447</v>
      </c>
      <c r="B111" s="211">
        <v>44956</v>
      </c>
      <c r="C111" s="219" t="s">
        <v>7629</v>
      </c>
      <c r="D111" s="209" t="s">
        <v>7630</v>
      </c>
      <c r="E111" s="212">
        <v>-3211.77</v>
      </c>
      <c r="F111" s="188" t="s">
        <v>7631</v>
      </c>
      <c r="G111" s="188" t="s">
        <v>7450</v>
      </c>
      <c r="H111" s="216" t="s">
        <v>7632</v>
      </c>
    </row>
    <row r="112" spans="1:8" ht="15">
      <c r="A112" s="190" t="s">
        <v>7447</v>
      </c>
      <c r="B112" s="202">
        <v>45328</v>
      </c>
      <c r="C112" s="218"/>
      <c r="D112" s="190" t="s">
        <v>7633</v>
      </c>
      <c r="E112" s="190">
        <v>-248.49</v>
      </c>
      <c r="F112" s="188" t="s">
        <v>7634</v>
      </c>
      <c r="G112" s="188" t="s">
        <v>7450</v>
      </c>
      <c r="H112" s="191" t="s">
        <v>7632</v>
      </c>
    </row>
    <row r="113" spans="1:8" ht="15">
      <c r="A113" s="190" t="s">
        <v>7447</v>
      </c>
      <c r="B113" s="208">
        <v>45002</v>
      </c>
      <c r="C113" s="218">
        <v>72117</v>
      </c>
      <c r="D113" s="190" t="s">
        <v>7635</v>
      </c>
      <c r="E113" s="190">
        <v>-240</v>
      </c>
      <c r="F113" s="188" t="s">
        <v>7636</v>
      </c>
      <c r="G113" s="188" t="s">
        <v>7450</v>
      </c>
      <c r="H113" s="191"/>
    </row>
    <row r="114" spans="1:8" ht="15">
      <c r="A114" s="213" t="s">
        <v>7447</v>
      </c>
      <c r="B114" s="214">
        <v>45495</v>
      </c>
      <c r="C114" s="220" t="s">
        <v>7637</v>
      </c>
      <c r="D114" s="213" t="s">
        <v>7638</v>
      </c>
      <c r="E114" s="213">
        <v>-7.5</v>
      </c>
      <c r="F114" s="188" t="s">
        <v>7639</v>
      </c>
      <c r="G114" s="188" t="s">
        <v>7450</v>
      </c>
      <c r="H114" s="191"/>
    </row>
    <row r="115" spans="1:8" ht="15">
      <c r="A115" s="190" t="s">
        <v>7447</v>
      </c>
      <c r="B115" s="202">
        <v>45390</v>
      </c>
      <c r="C115" s="218"/>
      <c r="D115" s="190" t="s">
        <v>7640</v>
      </c>
      <c r="E115" s="203">
        <v>-1125</v>
      </c>
      <c r="F115" s="188" t="s">
        <v>7641</v>
      </c>
      <c r="G115" s="188" t="s">
        <v>7450</v>
      </c>
      <c r="H115" s="191" t="s">
        <v>7497</v>
      </c>
    </row>
    <row r="116" spans="1:8" ht="15">
      <c r="A116" s="213" t="s">
        <v>7447</v>
      </c>
      <c r="B116" s="214">
        <v>45405</v>
      </c>
      <c r="C116" s="220">
        <v>1301</v>
      </c>
      <c r="D116" s="213" t="s">
        <v>7642</v>
      </c>
      <c r="E116" s="213">
        <v>-27</v>
      </c>
      <c r="F116" s="188" t="s">
        <v>7643</v>
      </c>
      <c r="G116" s="188" t="s">
        <v>7450</v>
      </c>
      <c r="H116" s="217" t="s">
        <v>7644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5361-9587-48A7-ABAB-627C72938DA5}">
  <dimension ref="A1:H9"/>
  <sheetViews>
    <sheetView workbookViewId="0">
      <selection activeCell="D17" sqref="D17"/>
    </sheetView>
  </sheetViews>
  <sheetFormatPr defaultRowHeight="12.75"/>
  <cols>
    <col min="1" max="1" width="6.42578125" customWidth="1"/>
    <col min="2" max="2" width="9.85546875" bestFit="1" customWidth="1"/>
    <col min="3" max="3" width="9.140625" style="194"/>
    <col min="4" max="4" width="49.85546875" bestFit="1" customWidth="1"/>
    <col min="5" max="5" width="17" style="196" customWidth="1"/>
  </cols>
  <sheetData>
    <row r="1" spans="1:8" ht="24" customHeight="1">
      <c r="A1" s="248" t="s">
        <v>7645</v>
      </c>
      <c r="B1" s="248"/>
      <c r="C1" s="248"/>
      <c r="D1" s="248"/>
      <c r="E1" s="195"/>
      <c r="F1" s="188"/>
      <c r="G1" s="188"/>
      <c r="H1" s="188"/>
    </row>
    <row r="2" spans="1:8">
      <c r="A2" s="197" t="s">
        <v>7439</v>
      </c>
      <c r="B2" s="197" t="s">
        <v>7440</v>
      </c>
      <c r="C2" s="198" t="s">
        <v>7441</v>
      </c>
      <c r="D2" s="197" t="s">
        <v>1</v>
      </c>
      <c r="E2" s="199" t="s">
        <v>7442</v>
      </c>
      <c r="F2" s="200" t="s">
        <v>7443</v>
      </c>
      <c r="G2" s="200" t="s">
        <v>7444</v>
      </c>
      <c r="H2" s="200" t="s">
        <v>7445</v>
      </c>
    </row>
    <row r="3" spans="1:8" ht="15">
      <c r="A3" s="188" t="s">
        <v>7646</v>
      </c>
      <c r="B3" s="189">
        <v>45727</v>
      </c>
      <c r="C3" s="193">
        <v>121694</v>
      </c>
      <c r="D3" s="188" t="s">
        <v>7459</v>
      </c>
      <c r="E3" s="195">
        <v>1436.41</v>
      </c>
      <c r="F3" s="188" t="s">
        <v>7647</v>
      </c>
      <c r="G3" s="188" t="s">
        <v>7450</v>
      </c>
      <c r="H3" s="188" t="s">
        <v>7648</v>
      </c>
    </row>
    <row r="4" spans="1:8" ht="15">
      <c r="A4" s="188" t="s">
        <v>7646</v>
      </c>
      <c r="B4" s="189">
        <v>45716</v>
      </c>
      <c r="C4" s="193" t="s">
        <v>7466</v>
      </c>
      <c r="D4" s="188" t="s">
        <v>7649</v>
      </c>
      <c r="E4" s="195">
        <v>1.22</v>
      </c>
      <c r="F4" s="188" t="s">
        <v>7650</v>
      </c>
      <c r="G4" s="188" t="s">
        <v>7450</v>
      </c>
      <c r="H4" s="188" t="s">
        <v>7648</v>
      </c>
    </row>
    <row r="5" spans="1:8" ht="15">
      <c r="A5" s="188" t="s">
        <v>7646</v>
      </c>
      <c r="B5" s="189">
        <v>45735</v>
      </c>
      <c r="C5" s="193" t="s">
        <v>7466</v>
      </c>
      <c r="D5" s="188" t="s">
        <v>7651</v>
      </c>
      <c r="E5" s="195">
        <v>2734.3</v>
      </c>
      <c r="F5" s="188" t="s">
        <v>7652</v>
      </c>
      <c r="G5" s="188" t="s">
        <v>7450</v>
      </c>
      <c r="H5" s="188" t="s">
        <v>7648</v>
      </c>
    </row>
    <row r="6" spans="1:8" ht="15">
      <c r="A6" s="188" t="s">
        <v>7646</v>
      </c>
      <c r="B6" s="189">
        <v>45722</v>
      </c>
      <c r="C6" s="193" t="s">
        <v>7466</v>
      </c>
      <c r="D6" s="188" t="s">
        <v>7653</v>
      </c>
      <c r="E6" s="195">
        <v>680.59</v>
      </c>
      <c r="F6" s="188" t="s">
        <v>7654</v>
      </c>
      <c r="G6" s="188" t="s">
        <v>7450</v>
      </c>
      <c r="H6" s="188" t="s">
        <v>7648</v>
      </c>
    </row>
    <row r="7" spans="1:8" ht="15">
      <c r="A7" s="188" t="s">
        <v>7646</v>
      </c>
      <c r="B7" s="189">
        <v>45735</v>
      </c>
      <c r="C7" s="193" t="s">
        <v>7466</v>
      </c>
      <c r="D7" s="201" t="s">
        <v>7633</v>
      </c>
      <c r="E7" s="195">
        <v>805.93</v>
      </c>
      <c r="F7" s="188" t="s">
        <v>7655</v>
      </c>
      <c r="G7" s="188" t="s">
        <v>7450</v>
      </c>
      <c r="H7" s="188" t="s">
        <v>7648</v>
      </c>
    </row>
    <row r="8" spans="1:8" ht="15">
      <c r="A8" s="188" t="s">
        <v>7646</v>
      </c>
      <c r="B8" s="189">
        <v>45702</v>
      </c>
      <c r="C8" s="193" t="s">
        <v>7466</v>
      </c>
      <c r="D8" s="188" t="s">
        <v>7656</v>
      </c>
      <c r="E8" s="195">
        <v>3750</v>
      </c>
      <c r="F8" s="188" t="s">
        <v>7657</v>
      </c>
      <c r="G8" s="188" t="s">
        <v>7450</v>
      </c>
      <c r="H8" s="188" t="s">
        <v>7648</v>
      </c>
    </row>
    <row r="9" spans="1:8" ht="15">
      <c r="A9" t="s">
        <v>7646</v>
      </c>
      <c r="B9" s="62">
        <v>45671</v>
      </c>
      <c r="C9" s="194" t="s">
        <v>7466</v>
      </c>
      <c r="D9" t="s">
        <v>7658</v>
      </c>
      <c r="E9" s="196">
        <v>585.57000000000005</v>
      </c>
      <c r="F9" s="188" t="s">
        <v>7659</v>
      </c>
      <c r="G9" s="188" t="s">
        <v>7450</v>
      </c>
      <c r="H9" s="188" t="s">
        <v>7648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9E70-1C6A-43AD-9173-4210CA1BAF96}">
  <dimension ref="A1:F152"/>
  <sheetViews>
    <sheetView topLeftCell="A88" workbookViewId="0">
      <selection activeCell="D161" sqref="D161"/>
    </sheetView>
  </sheetViews>
  <sheetFormatPr defaultRowHeight="12.75"/>
  <cols>
    <col min="1" max="1" width="29.5703125" customWidth="1"/>
    <col min="2" max="2" width="10.42578125" style="62" bestFit="1" customWidth="1"/>
    <col min="3" max="3" width="14.5703125" customWidth="1"/>
    <col min="4" max="4" width="12.28515625" style="63" bestFit="1" customWidth="1"/>
    <col min="5" max="5" width="12.42578125" bestFit="1" customWidth="1"/>
    <col min="6" max="6" width="10.42578125" customWidth="1"/>
  </cols>
  <sheetData>
    <row r="1" spans="1:4">
      <c r="A1" s="65" t="s">
        <v>7437</v>
      </c>
      <c r="B1" s="66"/>
      <c r="C1" s="67"/>
      <c r="D1" s="68"/>
    </row>
    <row r="2" spans="1:4">
      <c r="A2" s="69" t="s">
        <v>7438</v>
      </c>
      <c r="B2" s="70"/>
      <c r="C2" s="71"/>
      <c r="D2" s="72"/>
    </row>
    <row r="3" spans="1:4" s="64" customFormat="1" ht="15.75">
      <c r="A3" s="73" t="s">
        <v>7660</v>
      </c>
      <c r="B3" s="74" t="s">
        <v>7440</v>
      </c>
      <c r="C3" s="73" t="s">
        <v>7661</v>
      </c>
      <c r="D3" s="75" t="s">
        <v>7442</v>
      </c>
    </row>
    <row r="4" spans="1:4">
      <c r="A4" s="40" t="s">
        <v>2468</v>
      </c>
      <c r="B4" s="62">
        <v>43704</v>
      </c>
      <c r="C4" s="40" t="s">
        <v>7662</v>
      </c>
      <c r="D4" s="63">
        <v>236.32</v>
      </c>
    </row>
    <row r="5" spans="1:4">
      <c r="A5" s="40" t="s">
        <v>7663</v>
      </c>
      <c r="B5" s="62">
        <v>43704</v>
      </c>
      <c r="C5" s="40" t="s">
        <v>7664</v>
      </c>
      <c r="D5" s="63">
        <v>95.1</v>
      </c>
    </row>
    <row r="6" spans="1:4">
      <c r="A6" s="40" t="s">
        <v>7663</v>
      </c>
      <c r="B6" s="62">
        <v>43704</v>
      </c>
      <c r="C6" s="40" t="s">
        <v>7665</v>
      </c>
      <c r="D6" s="63">
        <v>90.68</v>
      </c>
    </row>
    <row r="7" spans="1:4">
      <c r="A7" s="40" t="s">
        <v>3364</v>
      </c>
      <c r="B7" s="62">
        <v>43704</v>
      </c>
      <c r="C7" s="40" t="s">
        <v>7666</v>
      </c>
      <c r="D7" s="63">
        <v>0.1</v>
      </c>
    </row>
    <row r="8" spans="1:4">
      <c r="A8" s="40" t="s">
        <v>7667</v>
      </c>
      <c r="B8" s="62">
        <v>43704</v>
      </c>
      <c r="C8" s="40" t="s">
        <v>7668</v>
      </c>
      <c r="D8" s="63">
        <v>0.02</v>
      </c>
    </row>
    <row r="9" spans="1:4">
      <c r="A9" s="40" t="s">
        <v>7669</v>
      </c>
      <c r="B9" s="62">
        <v>43704</v>
      </c>
      <c r="C9" s="40" t="s">
        <v>7670</v>
      </c>
      <c r="D9" s="63">
        <v>122.78</v>
      </c>
    </row>
    <row r="10" spans="1:4">
      <c r="A10" s="40" t="s">
        <v>7671</v>
      </c>
      <c r="B10" s="62">
        <v>43704</v>
      </c>
      <c r="C10" s="40" t="s">
        <v>7672</v>
      </c>
      <c r="D10" s="63">
        <v>475</v>
      </c>
    </row>
    <row r="11" spans="1:4">
      <c r="A11" s="40" t="s">
        <v>7673</v>
      </c>
      <c r="B11" s="62">
        <v>43704</v>
      </c>
      <c r="C11" s="40" t="s">
        <v>7674</v>
      </c>
      <c r="D11" s="63">
        <v>341.25</v>
      </c>
    </row>
    <row r="12" spans="1:4">
      <c r="A12" s="40" t="s">
        <v>7675</v>
      </c>
      <c r="B12" s="62">
        <v>43713</v>
      </c>
      <c r="C12" s="40" t="s">
        <v>7676</v>
      </c>
      <c r="D12" s="63">
        <v>445</v>
      </c>
    </row>
    <row r="13" spans="1:4">
      <c r="A13" s="40" t="s">
        <v>7677</v>
      </c>
      <c r="B13" s="62">
        <v>43734</v>
      </c>
      <c r="C13" s="40" t="s">
        <v>7678</v>
      </c>
      <c r="D13" s="63">
        <v>1200</v>
      </c>
    </row>
    <row r="14" spans="1:4">
      <c r="A14" s="40" t="s">
        <v>7679</v>
      </c>
      <c r="B14" s="62">
        <v>43734</v>
      </c>
      <c r="C14" s="40" t="s">
        <v>7680</v>
      </c>
      <c r="D14" s="63">
        <v>637.5</v>
      </c>
    </row>
    <row r="15" spans="1:4">
      <c r="A15" s="40" t="s">
        <v>1567</v>
      </c>
      <c r="B15" s="62">
        <v>43734</v>
      </c>
      <c r="C15" s="40" t="s">
        <v>7681</v>
      </c>
      <c r="D15" s="63">
        <v>105</v>
      </c>
    </row>
    <row r="16" spans="1:4">
      <c r="A16" s="40" t="s">
        <v>7682</v>
      </c>
      <c r="B16" s="62">
        <v>43734</v>
      </c>
      <c r="C16" s="40" t="s">
        <v>7683</v>
      </c>
      <c r="D16" s="63">
        <v>6</v>
      </c>
    </row>
    <row r="17" spans="1:5">
      <c r="A17" s="40" t="s">
        <v>7684</v>
      </c>
      <c r="B17" s="62">
        <v>43734</v>
      </c>
      <c r="C17" s="40" t="s">
        <v>7685</v>
      </c>
      <c r="D17" s="63">
        <v>30</v>
      </c>
    </row>
    <row r="18" spans="1:5">
      <c r="A18" s="40" t="s">
        <v>727</v>
      </c>
      <c r="B18" s="62">
        <v>43734</v>
      </c>
      <c r="C18" s="40" t="s">
        <v>7686</v>
      </c>
      <c r="D18" s="63">
        <v>100</v>
      </c>
    </row>
    <row r="19" spans="1:5">
      <c r="A19" s="40" t="s">
        <v>1459</v>
      </c>
      <c r="B19" s="62">
        <v>43734</v>
      </c>
      <c r="C19" s="40" t="s">
        <v>7687</v>
      </c>
      <c r="D19" s="63">
        <v>36</v>
      </c>
    </row>
    <row r="20" spans="1:5">
      <c r="A20" s="40" t="s">
        <v>7688</v>
      </c>
      <c r="B20" s="62">
        <v>43465</v>
      </c>
      <c r="C20" s="40" t="s">
        <v>7689</v>
      </c>
      <c r="D20" s="63">
        <v>0.1</v>
      </c>
      <c r="E20" s="40" t="s">
        <v>7690</v>
      </c>
    </row>
    <row r="21" spans="1:5">
      <c r="A21" s="40" t="s">
        <v>7691</v>
      </c>
      <c r="B21" s="62">
        <v>43734</v>
      </c>
      <c r="C21" s="40" t="s">
        <v>7692</v>
      </c>
      <c r="D21" s="63">
        <v>159.25</v>
      </c>
    </row>
    <row r="22" spans="1:5">
      <c r="A22" s="40" t="s">
        <v>7693</v>
      </c>
      <c r="B22" s="62">
        <v>43740</v>
      </c>
      <c r="C22" s="40" t="s">
        <v>7694</v>
      </c>
      <c r="D22" s="63">
        <v>0.01</v>
      </c>
    </row>
    <row r="23" spans="1:5">
      <c r="A23" s="40" t="s">
        <v>7695</v>
      </c>
      <c r="B23" s="62">
        <v>43756</v>
      </c>
      <c r="C23" s="40" t="s">
        <v>7696</v>
      </c>
      <c r="D23" s="63">
        <f>12.01</f>
        <v>12.01</v>
      </c>
      <c r="E23" s="76" t="s">
        <v>7697</v>
      </c>
    </row>
    <row r="24" spans="1:5">
      <c r="A24" s="40" t="s">
        <v>7695</v>
      </c>
      <c r="B24" s="62">
        <v>43756</v>
      </c>
      <c r="C24" s="40" t="s">
        <v>7696</v>
      </c>
      <c r="D24" s="63">
        <v>170</v>
      </c>
      <c r="E24" t="s">
        <v>7698</v>
      </c>
    </row>
    <row r="25" spans="1:5">
      <c r="A25" s="40" t="s">
        <v>7695</v>
      </c>
      <c r="B25" s="62">
        <v>43756</v>
      </c>
      <c r="C25" s="40" t="s">
        <v>7696</v>
      </c>
      <c r="D25" s="63">
        <v>170</v>
      </c>
      <c r="E25" t="s">
        <v>7699</v>
      </c>
    </row>
    <row r="26" spans="1:5">
      <c r="A26" s="40" t="s">
        <v>7700</v>
      </c>
      <c r="B26" s="62">
        <v>43756</v>
      </c>
      <c r="C26" s="40" t="s">
        <v>7701</v>
      </c>
      <c r="D26" s="63">
        <v>221.03</v>
      </c>
      <c r="E26" t="s">
        <v>7702</v>
      </c>
    </row>
    <row r="27" spans="1:5">
      <c r="A27" s="40" t="s">
        <v>7703</v>
      </c>
      <c r="B27" s="62">
        <v>43756</v>
      </c>
      <c r="C27" s="40" t="s">
        <v>7704</v>
      </c>
      <c r="D27" s="63">
        <v>1134.95</v>
      </c>
      <c r="E27" t="s">
        <v>7705</v>
      </c>
    </row>
    <row r="28" spans="1:5">
      <c r="A28" s="40" t="s">
        <v>7706</v>
      </c>
      <c r="B28" s="62">
        <v>43756</v>
      </c>
      <c r="C28" s="40" t="s">
        <v>7707</v>
      </c>
      <c r="D28" s="63">
        <v>170</v>
      </c>
      <c r="E28" t="s">
        <v>7708</v>
      </c>
    </row>
    <row r="29" spans="1:5">
      <c r="A29" s="40" t="s">
        <v>7709</v>
      </c>
      <c r="B29" s="62">
        <v>43756</v>
      </c>
      <c r="C29" s="40" t="s">
        <v>7710</v>
      </c>
      <c r="D29" s="63">
        <v>310</v>
      </c>
      <c r="E29" t="s">
        <v>7711</v>
      </c>
    </row>
    <row r="30" spans="1:5">
      <c r="A30" s="40" t="s">
        <v>7712</v>
      </c>
      <c r="B30" s="62">
        <v>43756</v>
      </c>
      <c r="C30" s="40" t="s">
        <v>7713</v>
      </c>
      <c r="D30" s="63">
        <v>5.7</v>
      </c>
      <c r="E30" t="s">
        <v>7714</v>
      </c>
    </row>
    <row r="31" spans="1:5">
      <c r="A31" s="40" t="s">
        <v>7715</v>
      </c>
      <c r="B31" s="62">
        <v>43756</v>
      </c>
      <c r="C31" s="40" t="s">
        <v>7716</v>
      </c>
      <c r="D31" s="63">
        <v>446.25</v>
      </c>
      <c r="E31" t="s">
        <v>7717</v>
      </c>
    </row>
    <row r="32" spans="1:5">
      <c r="A32" s="40" t="s">
        <v>7715</v>
      </c>
      <c r="B32" s="62">
        <v>43756</v>
      </c>
      <c r="C32" s="40" t="s">
        <v>7716</v>
      </c>
      <c r="D32" s="63">
        <v>170</v>
      </c>
      <c r="E32" t="s">
        <v>7718</v>
      </c>
    </row>
    <row r="33" spans="1:6">
      <c r="A33" s="40" t="s">
        <v>7593</v>
      </c>
      <c r="B33" s="62">
        <v>43756</v>
      </c>
      <c r="C33" s="40" t="s">
        <v>7719</v>
      </c>
      <c r="D33" s="63">
        <v>195.11</v>
      </c>
      <c r="E33" t="s">
        <v>7720</v>
      </c>
      <c r="F33" s="62">
        <v>43460</v>
      </c>
    </row>
    <row r="34" spans="1:6">
      <c r="A34" s="40" t="s">
        <v>7593</v>
      </c>
      <c r="B34" s="62">
        <v>43756</v>
      </c>
      <c r="C34" s="40" t="s">
        <v>7719</v>
      </c>
      <c r="D34" s="63">
        <v>97.55</v>
      </c>
      <c r="E34" t="s">
        <v>7721</v>
      </c>
      <c r="F34" s="62">
        <v>43460</v>
      </c>
    </row>
    <row r="35" spans="1:6">
      <c r="A35" s="40" t="s">
        <v>3208</v>
      </c>
      <c r="B35" s="62">
        <v>43764</v>
      </c>
      <c r="C35" s="40" t="s">
        <v>7722</v>
      </c>
      <c r="D35" s="63">
        <v>11488.55</v>
      </c>
      <c r="F35" s="62"/>
    </row>
    <row r="36" spans="1:6">
      <c r="A36" s="40" t="s">
        <v>1512</v>
      </c>
      <c r="B36" s="62">
        <v>43767</v>
      </c>
      <c r="C36" s="40" t="s">
        <v>7723</v>
      </c>
      <c r="D36" s="63">
        <v>850</v>
      </c>
      <c r="F36" s="62"/>
    </row>
    <row r="37" spans="1:6">
      <c r="A37" s="40" t="s">
        <v>7564</v>
      </c>
      <c r="B37" s="62">
        <v>43815</v>
      </c>
      <c r="C37" s="40" t="s">
        <v>7724</v>
      </c>
      <c r="D37" s="63">
        <v>377.3</v>
      </c>
      <c r="F37" s="62"/>
    </row>
    <row r="38" spans="1:6">
      <c r="A38" s="40" t="s">
        <v>7725</v>
      </c>
      <c r="B38" s="62">
        <v>43815</v>
      </c>
      <c r="C38" s="40" t="s">
        <v>7726</v>
      </c>
      <c r="D38" s="63">
        <v>170</v>
      </c>
      <c r="F38" s="62"/>
    </row>
    <row r="39" spans="1:6">
      <c r="A39" s="40" t="s">
        <v>7727</v>
      </c>
      <c r="B39" s="62">
        <v>43818</v>
      </c>
      <c r="C39" s="40" t="s">
        <v>7728</v>
      </c>
      <c r="D39" s="63">
        <v>32.5</v>
      </c>
      <c r="F39" s="62"/>
    </row>
    <row r="40" spans="1:6">
      <c r="A40" s="40" t="s">
        <v>7729</v>
      </c>
      <c r="B40" s="62">
        <v>43818</v>
      </c>
      <c r="C40" s="40" t="s">
        <v>7730</v>
      </c>
      <c r="D40" s="63">
        <v>340</v>
      </c>
      <c r="F40" s="62"/>
    </row>
    <row r="41" spans="1:6">
      <c r="A41" s="40" t="s">
        <v>7731</v>
      </c>
      <c r="B41" s="62">
        <v>43830</v>
      </c>
      <c r="C41" s="40" t="s">
        <v>7732</v>
      </c>
      <c r="D41" s="63">
        <v>1575</v>
      </c>
      <c r="F41" s="62"/>
    </row>
    <row r="42" spans="1:6">
      <c r="A42" s="40" t="s">
        <v>7733</v>
      </c>
      <c r="B42" s="62">
        <v>43854</v>
      </c>
      <c r="C42" s="40" t="s">
        <v>7734</v>
      </c>
      <c r="D42" s="63">
        <v>610.26</v>
      </c>
      <c r="F42" s="62"/>
    </row>
    <row r="43" spans="1:6">
      <c r="A43" s="40" t="s">
        <v>7735</v>
      </c>
      <c r="B43" s="62">
        <v>43868</v>
      </c>
      <c r="C43" s="40" t="s">
        <v>7736</v>
      </c>
      <c r="D43" s="63">
        <v>20</v>
      </c>
      <c r="E43" s="85" t="s">
        <v>7737</v>
      </c>
      <c r="F43" s="62">
        <v>43682</v>
      </c>
    </row>
    <row r="44" spans="1:6">
      <c r="A44" s="40" t="s">
        <v>7738</v>
      </c>
      <c r="B44" s="62">
        <v>43902</v>
      </c>
      <c r="C44" s="40" t="s">
        <v>7739</v>
      </c>
      <c r="D44" s="63">
        <v>0.3</v>
      </c>
      <c r="F44" s="62"/>
    </row>
    <row r="45" spans="1:6">
      <c r="A45" s="40" t="s">
        <v>7570</v>
      </c>
      <c r="B45" s="62">
        <v>43921</v>
      </c>
      <c r="C45" s="40" t="s">
        <v>7740</v>
      </c>
      <c r="D45" s="63">
        <v>89.25</v>
      </c>
      <c r="F45" s="62"/>
    </row>
    <row r="46" spans="1:6">
      <c r="A46" s="40" t="s">
        <v>7741</v>
      </c>
      <c r="B46" s="62">
        <v>43938</v>
      </c>
      <c r="C46" s="40" t="s">
        <v>7742</v>
      </c>
      <c r="D46" s="63">
        <v>3.18</v>
      </c>
      <c r="F46" s="62"/>
    </row>
    <row r="47" spans="1:6">
      <c r="A47" s="40" t="s">
        <v>1512</v>
      </c>
      <c r="B47" s="62">
        <v>43949</v>
      </c>
      <c r="C47" s="40" t="s">
        <v>7743</v>
      </c>
      <c r="D47" s="63">
        <v>64.239999999999995</v>
      </c>
      <c r="F47" s="62"/>
    </row>
    <row r="48" spans="1:6">
      <c r="A48" s="40" t="s">
        <v>1032</v>
      </c>
      <c r="B48" s="62">
        <v>43951</v>
      </c>
      <c r="C48" s="40" t="s">
        <v>7744</v>
      </c>
      <c r="D48" s="63">
        <v>35.479999999999997</v>
      </c>
      <c r="F48" s="62"/>
    </row>
    <row r="49" spans="1:6">
      <c r="A49" s="40" t="s">
        <v>1032</v>
      </c>
      <c r="B49" s="62">
        <v>43951</v>
      </c>
      <c r="C49" s="40" t="s">
        <v>7745</v>
      </c>
      <c r="D49" s="63">
        <v>3079.36</v>
      </c>
      <c r="F49" s="62"/>
    </row>
    <row r="50" spans="1:6">
      <c r="A50" s="40" t="s">
        <v>168</v>
      </c>
      <c r="B50" s="62">
        <v>44126</v>
      </c>
      <c r="C50" s="40" t="s">
        <v>7746</v>
      </c>
      <c r="D50" s="63">
        <v>13.04</v>
      </c>
      <c r="F50" s="62"/>
    </row>
    <row r="51" spans="1:6">
      <c r="A51" s="40" t="s">
        <v>30</v>
      </c>
      <c r="B51" s="62">
        <v>44182</v>
      </c>
      <c r="C51" s="40" t="s">
        <v>7747</v>
      </c>
      <c r="D51" s="63">
        <v>340</v>
      </c>
      <c r="F51" s="62"/>
    </row>
    <row r="52" spans="1:6">
      <c r="A52" s="40" t="s">
        <v>1967</v>
      </c>
      <c r="B52" s="62">
        <v>44207</v>
      </c>
      <c r="C52" s="40" t="s">
        <v>7748</v>
      </c>
      <c r="D52" s="63">
        <v>255</v>
      </c>
      <c r="F52" s="62"/>
    </row>
    <row r="53" spans="1:6">
      <c r="A53" s="40" t="s">
        <v>7749</v>
      </c>
      <c r="B53" s="62">
        <v>43832</v>
      </c>
      <c r="C53" s="40" t="s">
        <v>7750</v>
      </c>
      <c r="D53" s="63">
        <v>3413.39</v>
      </c>
      <c r="F53" s="62"/>
    </row>
    <row r="54" spans="1:6">
      <c r="A54" s="40" t="s">
        <v>7695</v>
      </c>
      <c r="B54" s="62">
        <v>44260</v>
      </c>
      <c r="C54" s="40" t="s">
        <v>7751</v>
      </c>
      <c r="D54" s="63">
        <v>95</v>
      </c>
      <c r="F54" s="62"/>
    </row>
    <row r="55" spans="1:6">
      <c r="A55" s="40" t="s">
        <v>2903</v>
      </c>
      <c r="B55" s="62">
        <v>44280</v>
      </c>
      <c r="C55" s="40" t="s">
        <v>7752</v>
      </c>
      <c r="D55" s="63">
        <v>485.42</v>
      </c>
      <c r="E55" t="s">
        <v>7753</v>
      </c>
      <c r="F55" s="62"/>
    </row>
    <row r="56" spans="1:6">
      <c r="A56" s="40" t="s">
        <v>7754</v>
      </c>
      <c r="B56" s="62">
        <v>44320</v>
      </c>
      <c r="C56" s="40" t="s">
        <v>7755</v>
      </c>
      <c r="D56" s="63">
        <v>1538.69</v>
      </c>
      <c r="E56" t="s">
        <v>7756</v>
      </c>
      <c r="F56" s="62"/>
    </row>
    <row r="57" spans="1:6">
      <c r="A57" s="40" t="s">
        <v>7757</v>
      </c>
      <c r="B57" s="62">
        <v>44320</v>
      </c>
      <c r="C57" s="40" t="s">
        <v>7758</v>
      </c>
      <c r="D57" s="63">
        <v>388.5</v>
      </c>
      <c r="E57" t="s">
        <v>7759</v>
      </c>
      <c r="F57" s="62"/>
    </row>
    <row r="58" spans="1:6">
      <c r="A58" s="40" t="s">
        <v>7760</v>
      </c>
      <c r="B58" s="62">
        <v>44389</v>
      </c>
      <c r="C58" s="40" t="s">
        <v>7755</v>
      </c>
      <c r="D58" s="63">
        <v>575</v>
      </c>
      <c r="F58" s="62"/>
    </row>
    <row r="59" spans="1:6">
      <c r="A59" s="40" t="s">
        <v>2413</v>
      </c>
      <c r="B59" s="62">
        <v>43978</v>
      </c>
      <c r="C59" s="40" t="s">
        <v>7761</v>
      </c>
      <c r="D59" s="63">
        <v>1591.52</v>
      </c>
      <c r="F59" s="62"/>
    </row>
    <row r="60" spans="1:6">
      <c r="A60" s="40" t="s">
        <v>5043</v>
      </c>
      <c r="B60" s="62">
        <v>44249</v>
      </c>
      <c r="C60" s="40" t="s">
        <v>7762</v>
      </c>
      <c r="D60" s="63">
        <v>1012.5</v>
      </c>
      <c r="F60" s="62"/>
    </row>
    <row r="61" spans="1:6">
      <c r="A61" s="40" t="s">
        <v>7763</v>
      </c>
      <c r="B61" s="62">
        <v>44306</v>
      </c>
      <c r="C61" s="40" t="s">
        <v>7764</v>
      </c>
      <c r="D61" s="63">
        <v>51.58</v>
      </c>
      <c r="F61" s="62"/>
    </row>
    <row r="62" spans="1:6">
      <c r="A62" s="40" t="s">
        <v>2238</v>
      </c>
      <c r="B62" s="62">
        <v>44384</v>
      </c>
      <c r="C62" s="40" t="s">
        <v>7765</v>
      </c>
      <c r="D62" s="63">
        <v>30</v>
      </c>
      <c r="F62" s="62"/>
    </row>
    <row r="63" spans="1:6">
      <c r="A63" s="40" t="s">
        <v>1970</v>
      </c>
      <c r="B63" s="62">
        <v>44379</v>
      </c>
      <c r="C63" s="40" t="s">
        <v>7766</v>
      </c>
      <c r="D63" s="63">
        <v>1089.1199999999999</v>
      </c>
      <c r="F63" s="62"/>
    </row>
    <row r="64" spans="1:6">
      <c r="A64" s="40" t="s">
        <v>1970</v>
      </c>
      <c r="B64" s="62">
        <v>44403</v>
      </c>
      <c r="C64" s="40" t="s">
        <v>7767</v>
      </c>
      <c r="D64" s="63">
        <v>107.68</v>
      </c>
      <c r="F64" s="62"/>
    </row>
    <row r="65" spans="1:6">
      <c r="A65" s="40" t="s">
        <v>7709</v>
      </c>
      <c r="B65" s="62">
        <v>44319</v>
      </c>
      <c r="C65" s="40" t="s">
        <v>7768</v>
      </c>
      <c r="D65" s="63">
        <v>560</v>
      </c>
      <c r="F65" s="62"/>
    </row>
    <row r="66" spans="1:6">
      <c r="A66" s="40" t="s">
        <v>2022</v>
      </c>
      <c r="B66" s="62">
        <v>44130</v>
      </c>
      <c r="C66" s="40" t="s">
        <v>7769</v>
      </c>
      <c r="D66" s="63">
        <v>3200</v>
      </c>
      <c r="F66" s="62"/>
    </row>
    <row r="67" spans="1:6">
      <c r="A67" s="40" t="s">
        <v>2022</v>
      </c>
      <c r="B67" s="62">
        <v>44007</v>
      </c>
      <c r="C67" s="40" t="s">
        <v>7770</v>
      </c>
      <c r="D67" s="63">
        <v>2928.34</v>
      </c>
      <c r="F67" s="62"/>
    </row>
    <row r="68" spans="1:6">
      <c r="A68" s="40" t="s">
        <v>2403</v>
      </c>
      <c r="B68" s="62">
        <v>44041</v>
      </c>
      <c r="C68" s="40" t="s">
        <v>7771</v>
      </c>
      <c r="D68" s="63">
        <v>217.17</v>
      </c>
      <c r="F68" s="62"/>
    </row>
    <row r="69" spans="1:6">
      <c r="A69" s="40" t="s">
        <v>7564</v>
      </c>
      <c r="B69" s="62">
        <v>44259</v>
      </c>
      <c r="C69" s="40" t="s">
        <v>7772</v>
      </c>
      <c r="D69" s="63">
        <v>170</v>
      </c>
      <c r="F69" s="62"/>
    </row>
    <row r="70" spans="1:6">
      <c r="A70" s="40" t="s">
        <v>7564</v>
      </c>
      <c r="B70" s="62">
        <v>43993</v>
      </c>
      <c r="C70" s="40" t="s">
        <v>7773</v>
      </c>
      <c r="D70" s="63">
        <v>1020</v>
      </c>
      <c r="F70" s="62"/>
    </row>
    <row r="71" spans="1:6">
      <c r="A71" s="40" t="s">
        <v>7564</v>
      </c>
      <c r="B71" s="62">
        <v>43906</v>
      </c>
      <c r="C71" s="40" t="s">
        <v>7774</v>
      </c>
      <c r="D71" s="63">
        <v>170</v>
      </c>
      <c r="F71" s="62"/>
    </row>
    <row r="72" spans="1:6">
      <c r="A72" s="40" t="s">
        <v>7775</v>
      </c>
      <c r="B72" s="62">
        <v>44130</v>
      </c>
      <c r="C72" s="40" t="s">
        <v>7776</v>
      </c>
      <c r="D72" s="63">
        <v>459.46</v>
      </c>
      <c r="F72" s="62"/>
    </row>
    <row r="73" spans="1:6">
      <c r="A73" s="40" t="s">
        <v>7775</v>
      </c>
      <c r="B73" s="62">
        <v>43752</v>
      </c>
      <c r="C73" s="40" t="s">
        <v>7777</v>
      </c>
      <c r="D73" s="63">
        <v>94.82</v>
      </c>
      <c r="F73" s="62"/>
    </row>
    <row r="74" spans="1:6">
      <c r="A74" s="40" t="s">
        <v>2391</v>
      </c>
      <c r="B74" s="62">
        <v>44361</v>
      </c>
      <c r="C74" s="40" t="s">
        <v>7778</v>
      </c>
      <c r="D74" s="63">
        <v>321.56</v>
      </c>
      <c r="F74" s="62"/>
    </row>
    <row r="75" spans="1:6">
      <c r="A75" s="40" t="s">
        <v>3377</v>
      </c>
      <c r="B75" s="62">
        <v>44344</v>
      </c>
      <c r="C75" s="40" t="s">
        <v>7779</v>
      </c>
      <c r="D75" s="63">
        <v>4170</v>
      </c>
      <c r="F75" s="62"/>
    </row>
    <row r="76" spans="1:6">
      <c r="A76" s="40" t="s">
        <v>3377</v>
      </c>
      <c r="B76" s="62">
        <v>44375</v>
      </c>
      <c r="C76" s="40" t="s">
        <v>7780</v>
      </c>
      <c r="D76" s="63">
        <v>1905</v>
      </c>
      <c r="F76" s="62"/>
    </row>
    <row r="77" spans="1:6">
      <c r="A77" s="40" t="s">
        <v>7781</v>
      </c>
      <c r="B77" s="62">
        <v>44384</v>
      </c>
      <c r="C77" s="40" t="s">
        <v>7782</v>
      </c>
      <c r="D77" s="63">
        <v>222</v>
      </c>
      <c r="F77" s="62"/>
    </row>
    <row r="78" spans="1:6">
      <c r="A78" s="40" t="s">
        <v>7671</v>
      </c>
      <c r="B78" s="62">
        <v>44057</v>
      </c>
      <c r="C78" s="40" t="s">
        <v>7783</v>
      </c>
      <c r="D78" s="63">
        <v>1653</v>
      </c>
      <c r="F78" s="62"/>
    </row>
    <row r="79" spans="1:6">
      <c r="A79" s="40" t="s">
        <v>1634</v>
      </c>
      <c r="B79" s="62">
        <v>43952</v>
      </c>
      <c r="C79" s="40" t="s">
        <v>7784</v>
      </c>
      <c r="D79" s="63">
        <v>680</v>
      </c>
      <c r="F79" s="62"/>
    </row>
    <row r="80" spans="1:6">
      <c r="A80" s="40" t="s">
        <v>1634</v>
      </c>
      <c r="B80" s="62">
        <v>43906</v>
      </c>
      <c r="C80" s="40" t="s">
        <v>7785</v>
      </c>
      <c r="D80" s="63">
        <v>97.5</v>
      </c>
      <c r="F80" s="62"/>
    </row>
    <row r="81" spans="1:6">
      <c r="A81" s="40" t="s">
        <v>7786</v>
      </c>
      <c r="B81" s="62">
        <v>44392</v>
      </c>
      <c r="C81" s="40" t="s">
        <v>7787</v>
      </c>
      <c r="D81" s="63">
        <v>3050</v>
      </c>
      <c r="F81" s="62"/>
    </row>
    <row r="82" spans="1:6">
      <c r="A82" s="40" t="s">
        <v>7788</v>
      </c>
      <c r="B82" s="62">
        <v>44616</v>
      </c>
      <c r="C82" s="40" t="s">
        <v>7789</v>
      </c>
      <c r="D82" s="63">
        <v>3180</v>
      </c>
      <c r="F82" s="62"/>
    </row>
    <row r="83" spans="1:6">
      <c r="A83" s="40" t="s">
        <v>7790</v>
      </c>
      <c r="B83" s="62">
        <v>44624</v>
      </c>
      <c r="C83" s="40" t="s">
        <v>7791</v>
      </c>
      <c r="D83" s="63">
        <v>5794.7</v>
      </c>
      <c r="F83" s="62"/>
    </row>
    <row r="84" spans="1:6">
      <c r="A84" s="40" t="s">
        <v>161</v>
      </c>
      <c r="B84" s="62">
        <v>44629</v>
      </c>
      <c r="C84" s="40" t="s">
        <v>7792</v>
      </c>
      <c r="D84" s="63">
        <v>740</v>
      </c>
      <c r="F84" s="62"/>
    </row>
    <row r="85" spans="1:6">
      <c r="A85" s="40" t="s">
        <v>7695</v>
      </c>
      <c r="B85" s="62">
        <v>44778</v>
      </c>
      <c r="C85" s="40" t="s">
        <v>7793</v>
      </c>
      <c r="D85" s="63">
        <v>1970</v>
      </c>
      <c r="F85" s="62"/>
    </row>
    <row r="86" spans="1:6">
      <c r="A86" s="40" t="s">
        <v>7794</v>
      </c>
      <c r="B86" s="62">
        <v>44829</v>
      </c>
      <c r="C86" s="40" t="s">
        <v>7795</v>
      </c>
      <c r="D86" s="63">
        <v>1500</v>
      </c>
      <c r="F86" s="62"/>
    </row>
    <row r="87" spans="1:6">
      <c r="A87" s="40" t="s">
        <v>1634</v>
      </c>
      <c r="B87" s="62">
        <v>44829</v>
      </c>
      <c r="C87" s="40" t="s">
        <v>7796</v>
      </c>
      <c r="D87" s="63">
        <v>350</v>
      </c>
      <c r="F87" s="62"/>
    </row>
    <row r="88" spans="1:6">
      <c r="A88" s="40" t="s">
        <v>4812</v>
      </c>
      <c r="B88" s="62">
        <v>44829</v>
      </c>
      <c r="C88" s="40" t="s">
        <v>7797</v>
      </c>
      <c r="D88" s="63">
        <v>485</v>
      </c>
      <c r="F88" s="62"/>
    </row>
    <row r="89" spans="1:6">
      <c r="A89" s="40" t="s">
        <v>3201</v>
      </c>
      <c r="B89" s="62">
        <v>44859</v>
      </c>
      <c r="C89" s="40" t="s">
        <v>7798</v>
      </c>
      <c r="D89" s="63">
        <v>4618</v>
      </c>
      <c r="F89" s="62"/>
    </row>
    <row r="90" spans="1:6">
      <c r="A90" s="40" t="s">
        <v>6757</v>
      </c>
      <c r="B90" s="62">
        <v>44887</v>
      </c>
      <c r="C90" s="40" t="s">
        <v>7799</v>
      </c>
      <c r="D90" s="63">
        <v>94</v>
      </c>
      <c r="F90" s="62"/>
    </row>
    <row r="91" spans="1:6">
      <c r="A91" s="40" t="s">
        <v>7800</v>
      </c>
      <c r="B91" s="62">
        <v>44901</v>
      </c>
      <c r="C91" s="40" t="s">
        <v>7801</v>
      </c>
      <c r="D91" s="63">
        <v>803.21</v>
      </c>
      <c r="F91" s="62"/>
    </row>
    <row r="92" spans="1:6">
      <c r="A92" s="40" t="s">
        <v>7802</v>
      </c>
      <c r="B92" s="62">
        <v>44948</v>
      </c>
      <c r="C92" s="40" t="s">
        <v>7803</v>
      </c>
      <c r="D92" s="63">
        <v>420</v>
      </c>
      <c r="F92" s="62"/>
    </row>
    <row r="93" spans="1:6">
      <c r="A93" s="40" t="s">
        <v>7804</v>
      </c>
      <c r="B93" s="62">
        <v>44950</v>
      </c>
      <c r="C93" s="40" t="s">
        <v>7805</v>
      </c>
      <c r="D93" s="63">
        <v>630</v>
      </c>
      <c r="F93" s="62"/>
    </row>
    <row r="94" spans="1:6">
      <c r="A94" s="40" t="s">
        <v>7806</v>
      </c>
      <c r="B94" s="62">
        <v>44995</v>
      </c>
      <c r="C94" s="40" t="s">
        <v>7807</v>
      </c>
      <c r="D94" s="63">
        <v>379.48</v>
      </c>
      <c r="F94" s="62"/>
    </row>
    <row r="95" spans="1:6">
      <c r="A95" s="40" t="s">
        <v>7808</v>
      </c>
      <c r="B95" s="62">
        <v>44973</v>
      </c>
      <c r="C95" s="40" t="s">
        <v>7809</v>
      </c>
      <c r="D95" s="63">
        <v>204.2</v>
      </c>
      <c r="F95" s="62"/>
    </row>
    <row r="96" spans="1:6">
      <c r="A96" s="40" t="s">
        <v>3567</v>
      </c>
      <c r="B96" s="62">
        <v>44973</v>
      </c>
      <c r="C96" s="40" t="s">
        <v>7810</v>
      </c>
      <c r="D96" s="63">
        <v>344.25</v>
      </c>
      <c r="F96" s="62"/>
    </row>
    <row r="97" spans="1:6">
      <c r="A97" s="40" t="s">
        <v>3567</v>
      </c>
      <c r="B97" s="62">
        <v>44973</v>
      </c>
      <c r="C97" s="40" t="s">
        <v>7811</v>
      </c>
      <c r="D97" s="63">
        <v>38.25</v>
      </c>
      <c r="F97" s="62"/>
    </row>
    <row r="98" spans="1:6">
      <c r="A98" s="40" t="s">
        <v>7812</v>
      </c>
      <c r="B98" s="62">
        <v>44998</v>
      </c>
      <c r="C98" s="40" t="s">
        <v>7813</v>
      </c>
      <c r="D98" s="63">
        <v>527.96</v>
      </c>
      <c r="E98" t="s">
        <v>7814</v>
      </c>
      <c r="F98" s="62"/>
    </row>
    <row r="99" spans="1:6">
      <c r="A99" s="40" t="s">
        <v>7815</v>
      </c>
      <c r="B99" s="62">
        <v>44998</v>
      </c>
      <c r="C99" s="40" t="s">
        <v>7816</v>
      </c>
      <c r="D99" s="63">
        <v>2250</v>
      </c>
      <c r="F99" s="62"/>
    </row>
    <row r="100" spans="1:6">
      <c r="A100" s="40" t="s">
        <v>7817</v>
      </c>
      <c r="B100" s="62">
        <v>45000</v>
      </c>
      <c r="C100" s="40" t="s">
        <v>7818</v>
      </c>
      <c r="D100" s="63">
        <v>677.66</v>
      </c>
      <c r="F100" s="62"/>
    </row>
    <row r="101" spans="1:6">
      <c r="A101" s="40" t="s">
        <v>7695</v>
      </c>
      <c r="B101" s="62">
        <v>45023</v>
      </c>
      <c r="C101" s="40" t="s">
        <v>7819</v>
      </c>
      <c r="D101" s="63">
        <v>176.4</v>
      </c>
      <c r="F101" s="62"/>
    </row>
    <row r="102" spans="1:6">
      <c r="A102" s="40" t="s">
        <v>7695</v>
      </c>
      <c r="B102" s="62">
        <v>45023</v>
      </c>
      <c r="C102" s="40" t="s">
        <v>7820</v>
      </c>
      <c r="D102" s="63">
        <v>1085</v>
      </c>
      <c r="F102" s="62"/>
    </row>
    <row r="103" spans="1:6">
      <c r="A103" s="40" t="s">
        <v>7695</v>
      </c>
      <c r="B103" s="62">
        <v>45023</v>
      </c>
      <c r="C103" s="40" t="s">
        <v>7821</v>
      </c>
      <c r="D103" s="63">
        <v>555</v>
      </c>
      <c r="F103" s="62"/>
    </row>
    <row r="104" spans="1:6">
      <c r="A104" s="40" t="s">
        <v>7822</v>
      </c>
      <c r="B104" s="62">
        <v>45030</v>
      </c>
      <c r="C104" s="40" t="s">
        <v>7823</v>
      </c>
      <c r="D104" s="63">
        <v>1667.5</v>
      </c>
      <c r="F104" s="62"/>
    </row>
    <row r="105" spans="1:6">
      <c r="A105" s="40" t="s">
        <v>7824</v>
      </c>
      <c r="B105" s="98">
        <v>45287</v>
      </c>
      <c r="C105" s="40" t="s">
        <v>7825</v>
      </c>
      <c r="D105" s="63">
        <v>495</v>
      </c>
      <c r="E105" s="40" t="s">
        <v>7826</v>
      </c>
      <c r="F105" s="62"/>
    </row>
    <row r="106" spans="1:6">
      <c r="A106" s="40" t="s">
        <v>7824</v>
      </c>
      <c r="B106" s="98">
        <v>45287</v>
      </c>
      <c r="C106" s="40" t="s">
        <v>7827</v>
      </c>
      <c r="D106" s="63">
        <v>1279.08</v>
      </c>
      <c r="E106" s="40" t="s">
        <v>7826</v>
      </c>
      <c r="F106" s="62"/>
    </row>
    <row r="107" spans="1:6">
      <c r="A107" s="40" t="s">
        <v>7812</v>
      </c>
      <c r="B107" s="62">
        <v>45314</v>
      </c>
      <c r="C107" s="40" t="s">
        <v>7828</v>
      </c>
      <c r="D107" s="63">
        <v>459</v>
      </c>
      <c r="F107" s="62"/>
    </row>
    <row r="108" spans="1:6">
      <c r="A108" s="40" t="s">
        <v>7829</v>
      </c>
      <c r="B108" s="62">
        <v>45344</v>
      </c>
      <c r="C108" s="40" t="s">
        <v>7830</v>
      </c>
      <c r="D108" s="63">
        <v>2960.62</v>
      </c>
      <c r="F108" s="62"/>
    </row>
    <row r="109" spans="1:6">
      <c r="A109" s="40" t="s">
        <v>7831</v>
      </c>
      <c r="B109" s="62">
        <v>45219</v>
      </c>
      <c r="C109" s="40" t="s">
        <v>7832</v>
      </c>
      <c r="D109" s="63">
        <v>72.88</v>
      </c>
      <c r="F109" s="62"/>
    </row>
    <row r="110" spans="1:6">
      <c r="A110" s="40" t="s">
        <v>7695</v>
      </c>
      <c r="B110" s="62">
        <v>45473</v>
      </c>
      <c r="C110" s="40" t="s">
        <v>7833</v>
      </c>
      <c r="D110" s="63">
        <v>817.89</v>
      </c>
      <c r="F110" s="62"/>
    </row>
    <row r="111" spans="1:6">
      <c r="A111" s="40" t="s">
        <v>7671</v>
      </c>
      <c r="B111" s="62">
        <v>45561</v>
      </c>
      <c r="C111" s="40" t="s">
        <v>7834</v>
      </c>
      <c r="D111" s="63">
        <v>2446.25</v>
      </c>
      <c r="F111" s="62"/>
    </row>
    <row r="112" spans="1:6">
      <c r="A112" s="40" t="s">
        <v>3377</v>
      </c>
      <c r="B112" s="62">
        <v>45642</v>
      </c>
      <c r="C112" s="40" t="s">
        <v>7835</v>
      </c>
      <c r="D112" s="63">
        <v>418.84</v>
      </c>
      <c r="F112" s="62"/>
    </row>
    <row r="113" spans="1:6">
      <c r="A113" s="40" t="s">
        <v>741</v>
      </c>
      <c r="B113" s="62">
        <v>45657</v>
      </c>
      <c r="C113" s="40" t="s">
        <v>7836</v>
      </c>
      <c r="D113" s="63">
        <v>20.61</v>
      </c>
      <c r="F113" s="62"/>
    </row>
    <row r="114" spans="1:6">
      <c r="A114" s="158" t="s">
        <v>7837</v>
      </c>
      <c r="B114" s="62">
        <v>45657</v>
      </c>
      <c r="C114" s="40" t="s">
        <v>7838</v>
      </c>
      <c r="D114" s="63">
        <v>120</v>
      </c>
      <c r="F114" s="62"/>
    </row>
    <row r="115" spans="1:6">
      <c r="A115" s="158" t="s">
        <v>7839</v>
      </c>
      <c r="B115" s="62">
        <v>45657</v>
      </c>
      <c r="C115" s="40" t="s">
        <v>7840</v>
      </c>
      <c r="D115" s="63">
        <v>1170</v>
      </c>
      <c r="F115" s="62"/>
    </row>
    <row r="116" spans="1:6">
      <c r="A116" s="40"/>
      <c r="C116" s="40"/>
      <c r="F116" s="62"/>
    </row>
    <row r="117" spans="1:6">
      <c r="A117" s="40"/>
      <c r="C117" s="40"/>
      <c r="F117" s="62"/>
    </row>
    <row r="118" spans="1:6">
      <c r="A118" s="40"/>
      <c r="C118" s="40"/>
      <c r="F118" s="62"/>
    </row>
    <row r="119" spans="1:6">
      <c r="A119" s="40"/>
      <c r="C119" s="40"/>
      <c r="F119" s="62"/>
    </row>
    <row r="120" spans="1:6">
      <c r="A120" s="40"/>
      <c r="C120" s="40"/>
      <c r="F120" s="62"/>
    </row>
    <row r="121" spans="1:6">
      <c r="A121" s="40"/>
      <c r="C121" s="40"/>
      <c r="F121" s="62"/>
    </row>
    <row r="122" spans="1:6">
      <c r="A122" s="40"/>
      <c r="C122" s="40"/>
      <c r="F122" s="62"/>
    </row>
    <row r="123" spans="1:6">
      <c r="A123" s="40"/>
      <c r="C123" s="40"/>
      <c r="F123" s="62"/>
    </row>
    <row r="124" spans="1:6">
      <c r="A124" s="40"/>
      <c r="C124" s="40"/>
      <c r="F124" s="62"/>
    </row>
    <row r="125" spans="1:6">
      <c r="A125" s="40"/>
      <c r="C125" s="40"/>
      <c r="F125" s="62"/>
    </row>
    <row r="126" spans="1:6">
      <c r="A126" s="40"/>
      <c r="C126" s="40"/>
      <c r="F126" s="62"/>
    </row>
    <row r="127" spans="1:6">
      <c r="D127" s="63">
        <f>SUM(D4:D126)</f>
        <v>96574.2</v>
      </c>
      <c r="E127" t="s">
        <v>7841</v>
      </c>
    </row>
    <row r="129" spans="1:6">
      <c r="C129" s="40" t="s">
        <v>7842</v>
      </c>
    </row>
    <row r="130" spans="1:6">
      <c r="A130" s="40"/>
    </row>
    <row r="131" spans="1:6">
      <c r="A131" s="40" t="s">
        <v>7843</v>
      </c>
      <c r="B131" s="62">
        <v>45657</v>
      </c>
      <c r="C131" s="40" t="s">
        <v>7844</v>
      </c>
      <c r="D131" s="63">
        <v>1370</v>
      </c>
      <c r="F131" s="62"/>
    </row>
    <row r="132" spans="1:6">
      <c r="A132" s="40" t="s">
        <v>7845</v>
      </c>
      <c r="B132" s="62">
        <v>45657</v>
      </c>
      <c r="C132" s="40" t="s">
        <v>7846</v>
      </c>
      <c r="D132" s="63">
        <v>975</v>
      </c>
      <c r="F132" s="62"/>
    </row>
    <row r="133" spans="1:6">
      <c r="A133" s="40" t="s">
        <v>7534</v>
      </c>
      <c r="B133" s="62">
        <v>45657</v>
      </c>
      <c r="C133" s="40" t="s">
        <v>7847</v>
      </c>
      <c r="D133" s="63">
        <v>211</v>
      </c>
      <c r="F133" s="62"/>
    </row>
    <row r="134" spans="1:6">
      <c r="A134" s="40" t="s">
        <v>7848</v>
      </c>
      <c r="B134" s="62">
        <v>45657</v>
      </c>
      <c r="C134" s="40" t="s">
        <v>7849</v>
      </c>
      <c r="D134" s="63">
        <v>1189.53</v>
      </c>
      <c r="F134" s="62"/>
    </row>
    <row r="135" spans="1:6">
      <c r="A135" s="40" t="s">
        <v>7850</v>
      </c>
      <c r="B135" s="62">
        <v>45657</v>
      </c>
      <c r="C135" s="40" t="s">
        <v>7851</v>
      </c>
      <c r="D135" s="63">
        <v>240</v>
      </c>
      <c r="F135" s="62"/>
    </row>
    <row r="136" spans="1:6">
      <c r="A136" s="40" t="s">
        <v>7852</v>
      </c>
      <c r="B136" s="62">
        <v>45657</v>
      </c>
      <c r="C136" s="40" t="s">
        <v>7853</v>
      </c>
      <c r="D136" s="63">
        <v>1075.1400000000001</v>
      </c>
      <c r="F136" s="62"/>
    </row>
    <row r="137" spans="1:6">
      <c r="A137" s="40" t="s">
        <v>7854</v>
      </c>
      <c r="B137" s="62">
        <v>45657</v>
      </c>
      <c r="C137" s="40" t="s">
        <v>7855</v>
      </c>
      <c r="D137" s="63">
        <v>480</v>
      </c>
      <c r="E137" t="s">
        <v>7856</v>
      </c>
      <c r="F137" s="62"/>
    </row>
    <row r="138" spans="1:6">
      <c r="A138" s="40" t="s">
        <v>7857</v>
      </c>
      <c r="B138" s="62">
        <v>45657</v>
      </c>
      <c r="C138" s="40" t="s">
        <v>7858</v>
      </c>
      <c r="D138" s="63">
        <v>264</v>
      </c>
      <c r="E138" t="s">
        <v>7859</v>
      </c>
      <c r="F138" s="62"/>
    </row>
    <row r="139" spans="1:6">
      <c r="A139" s="158" t="s">
        <v>7860</v>
      </c>
      <c r="B139" s="62">
        <v>45657</v>
      </c>
      <c r="C139" s="40" t="s">
        <v>7861</v>
      </c>
      <c r="D139" s="63">
        <v>575</v>
      </c>
      <c r="F139" s="62"/>
    </row>
    <row r="140" spans="1:6">
      <c r="A140" s="158" t="s">
        <v>7520</v>
      </c>
      <c r="B140" s="62">
        <v>45657</v>
      </c>
      <c r="C140" s="40" t="s">
        <v>7862</v>
      </c>
      <c r="D140" s="63">
        <v>840</v>
      </c>
      <c r="F140" s="62"/>
    </row>
    <row r="141" spans="1:6">
      <c r="A141" s="158" t="s">
        <v>7863</v>
      </c>
      <c r="B141" s="62">
        <v>45657</v>
      </c>
      <c r="C141" s="40" t="s">
        <v>7864</v>
      </c>
      <c r="D141" s="63">
        <v>165</v>
      </c>
      <c r="F141" s="62"/>
    </row>
    <row r="142" spans="1:6">
      <c r="A142" s="158" t="s">
        <v>7515</v>
      </c>
      <c r="B142" s="62">
        <v>45657</v>
      </c>
      <c r="C142" s="40" t="s">
        <v>7865</v>
      </c>
      <c r="D142" s="63">
        <v>1200</v>
      </c>
      <c r="E142" s="95" t="s">
        <v>7866</v>
      </c>
      <c r="F142" s="95" t="s">
        <v>7867</v>
      </c>
    </row>
    <row r="143" spans="1:6">
      <c r="A143" s="158" t="s">
        <v>7452</v>
      </c>
      <c r="B143" s="62">
        <v>45657</v>
      </c>
      <c r="C143" s="40" t="s">
        <v>7868</v>
      </c>
      <c r="D143" s="63">
        <v>900</v>
      </c>
      <c r="F143" s="62"/>
    </row>
    <row r="144" spans="1:6">
      <c r="A144" s="158" t="s">
        <v>161</v>
      </c>
      <c r="B144" s="62">
        <v>45657</v>
      </c>
      <c r="C144" s="40" t="s">
        <v>7869</v>
      </c>
      <c r="D144" s="63">
        <v>3926.15</v>
      </c>
      <c r="F144" s="62"/>
    </row>
    <row r="145" spans="1:6">
      <c r="A145" s="158" t="s">
        <v>2903</v>
      </c>
      <c r="B145" s="62">
        <v>45657</v>
      </c>
      <c r="C145" s="40" t="s">
        <v>7870</v>
      </c>
      <c r="D145" s="63">
        <v>1667.27</v>
      </c>
      <c r="F145" s="62"/>
    </row>
    <row r="146" spans="1:6">
      <c r="A146" s="158" t="s">
        <v>4277</v>
      </c>
      <c r="B146" s="62">
        <v>45657</v>
      </c>
      <c r="C146" s="40" t="s">
        <v>7871</v>
      </c>
      <c r="D146" s="63">
        <v>4113.3</v>
      </c>
      <c r="F146" s="62"/>
    </row>
    <row r="147" spans="1:6">
      <c r="A147" s="158" t="s">
        <v>4277</v>
      </c>
      <c r="B147" s="62">
        <v>45657</v>
      </c>
      <c r="C147" s="40" t="s">
        <v>7872</v>
      </c>
      <c r="D147" s="63">
        <v>83.1</v>
      </c>
      <c r="F147" s="62"/>
    </row>
    <row r="148" spans="1:6">
      <c r="A148" s="158" t="s">
        <v>7873</v>
      </c>
      <c r="B148" s="62">
        <v>45657</v>
      </c>
      <c r="C148" s="40" t="s">
        <v>7874</v>
      </c>
      <c r="D148" s="63">
        <v>3519.74</v>
      </c>
      <c r="F148" s="62"/>
    </row>
    <row r="149" spans="1:6">
      <c r="A149" s="158" t="s">
        <v>7875</v>
      </c>
      <c r="B149" s="62">
        <v>45657</v>
      </c>
      <c r="C149" s="40" t="s">
        <v>7876</v>
      </c>
      <c r="D149" s="63">
        <v>333.83</v>
      </c>
      <c r="F149" s="62"/>
    </row>
    <row r="150" spans="1:6">
      <c r="A150" s="40"/>
      <c r="F150" s="62"/>
    </row>
    <row r="151" spans="1:6">
      <c r="A151" t="s">
        <v>7877</v>
      </c>
      <c r="B151" s="62">
        <v>45486</v>
      </c>
      <c r="C151" t="s">
        <v>7878</v>
      </c>
      <c r="D151" s="63">
        <v>439.66</v>
      </c>
      <c r="E151" t="s">
        <v>7879</v>
      </c>
    </row>
    <row r="152" spans="1:6">
      <c r="A152" t="s">
        <v>7877</v>
      </c>
      <c r="B152" s="62">
        <v>45716</v>
      </c>
      <c r="C152" t="s">
        <v>7880</v>
      </c>
      <c r="D152" s="63">
        <v>275.88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4EBD-D11B-4C05-A71B-A497FFBBC62D}">
  <dimension ref="A1:K13"/>
  <sheetViews>
    <sheetView workbookViewId="0">
      <selection activeCell="P14" sqref="P14"/>
    </sheetView>
  </sheetViews>
  <sheetFormatPr defaultRowHeight="12.75"/>
  <sheetData>
    <row r="1" spans="1:11" ht="15.75">
      <c r="A1" s="181" t="s">
        <v>7881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</row>
    <row r="2" spans="1:11">
      <c r="A2" t="s">
        <v>7882</v>
      </c>
    </row>
    <row r="4" spans="1:11">
      <c r="A4" s="179" t="s">
        <v>7883</v>
      </c>
      <c r="B4" s="179"/>
      <c r="C4" s="179"/>
      <c r="D4" s="179"/>
      <c r="E4" s="179"/>
      <c r="F4" s="179"/>
    </row>
    <row r="6" spans="1:11" ht="18">
      <c r="A6" s="182" t="s">
        <v>7884</v>
      </c>
    </row>
    <row r="7" spans="1:11" ht="15.75">
      <c r="A7" s="177" t="s">
        <v>7885</v>
      </c>
    </row>
    <row r="8" spans="1:11" ht="15.75">
      <c r="A8" s="178" t="s">
        <v>7886</v>
      </c>
    </row>
    <row r="9" spans="1:11" ht="15.75">
      <c r="A9" s="177" t="s">
        <v>7887</v>
      </c>
    </row>
    <row r="10" spans="1:11" ht="15.75">
      <c r="A10" s="177" t="s">
        <v>7888</v>
      </c>
    </row>
    <row r="11" spans="1:11" ht="15.75">
      <c r="A11" s="177" t="s">
        <v>7889</v>
      </c>
    </row>
    <row r="13" spans="1:11">
      <c r="A13" s="180" t="s">
        <v>7890</v>
      </c>
      <c r="B13" s="180"/>
      <c r="C13" s="180"/>
      <c r="D13" s="180"/>
      <c r="E13" s="180"/>
      <c r="F13" s="180"/>
      <c r="G13" s="180"/>
      <c r="H13" s="180"/>
      <c r="I13" s="18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F0E9-8BE0-49EF-AD8C-717B87CCE618}">
  <dimension ref="A1:U52"/>
  <sheetViews>
    <sheetView zoomScale="120" zoomScaleNormal="120" workbookViewId="0">
      <selection activeCell="B16" sqref="B16"/>
    </sheetView>
  </sheetViews>
  <sheetFormatPr defaultRowHeight="12.75"/>
  <cols>
    <col min="1" max="1" width="21.42578125" customWidth="1"/>
    <col min="2" max="2" width="9.42578125" style="81"/>
    <col min="3" max="3" width="91" customWidth="1"/>
    <col min="4" max="4" width="2.140625" hidden="1" customWidth="1"/>
    <col min="5" max="5" width="0.140625" customWidth="1"/>
    <col min="15" max="15" width="5.42578125" customWidth="1"/>
    <col min="16" max="16" width="0" hidden="1" customWidth="1"/>
    <col min="22" max="22" width="10.5703125" customWidth="1"/>
  </cols>
  <sheetData>
    <row r="1" spans="1:21">
      <c r="A1" s="65" t="s">
        <v>7891</v>
      </c>
      <c r="B1" s="82"/>
      <c r="C1" s="22" t="s">
        <v>7892</v>
      </c>
      <c r="Q1" s="180" t="s">
        <v>7893</v>
      </c>
      <c r="R1" s="180"/>
      <c r="S1" s="180"/>
      <c r="T1" s="180"/>
      <c r="U1" s="180"/>
    </row>
    <row r="2" spans="1:21">
      <c r="A2" t="s">
        <v>7894</v>
      </c>
      <c r="B2" s="81">
        <v>650</v>
      </c>
      <c r="C2" t="s">
        <v>7895</v>
      </c>
      <c r="F2" t="s">
        <v>7896</v>
      </c>
      <c r="I2" t="s">
        <v>7897</v>
      </c>
      <c r="Q2" t="s">
        <v>7898</v>
      </c>
    </row>
    <row r="3" spans="1:21" ht="15">
      <c r="A3" s="40" t="s">
        <v>7899</v>
      </c>
      <c r="B3" s="81">
        <v>1500</v>
      </c>
      <c r="C3" t="s">
        <v>7900</v>
      </c>
      <c r="Q3" s="185" t="s">
        <v>7901</v>
      </c>
    </row>
    <row r="4" spans="1:21" ht="15">
      <c r="A4" s="40" t="s">
        <v>7902</v>
      </c>
      <c r="B4" s="81">
        <v>600</v>
      </c>
      <c r="C4" s="170" t="s">
        <v>7903</v>
      </c>
      <c r="Q4" s="186" t="s">
        <v>7637</v>
      </c>
    </row>
    <row r="5" spans="1:21" ht="15">
      <c r="A5" s="40" t="s">
        <v>7904</v>
      </c>
      <c r="B5" s="81">
        <v>450</v>
      </c>
      <c r="C5" s="40" t="s">
        <v>7905</v>
      </c>
      <c r="F5" s="22" t="s">
        <v>7906</v>
      </c>
      <c r="G5" s="22"/>
      <c r="H5" s="22"/>
      <c r="Q5" s="186" t="s">
        <v>7907</v>
      </c>
    </row>
    <row r="6" spans="1:21" ht="15">
      <c r="A6" s="40" t="s">
        <v>7908</v>
      </c>
      <c r="B6" s="81">
        <v>1000</v>
      </c>
      <c r="C6" s="40" t="s">
        <v>7905</v>
      </c>
      <c r="F6" s="22" t="s">
        <v>7906</v>
      </c>
      <c r="G6" s="22"/>
      <c r="H6" s="22"/>
      <c r="Q6" s="186" t="s">
        <v>7909</v>
      </c>
    </row>
    <row r="7" spans="1:21" ht="15">
      <c r="A7" s="140" t="s">
        <v>7910</v>
      </c>
      <c r="B7" s="141">
        <v>1869.5</v>
      </c>
      <c r="C7" s="40" t="s">
        <v>7900</v>
      </c>
      <c r="F7" t="s">
        <v>7911</v>
      </c>
      <c r="Q7" s="186" t="s">
        <v>7912</v>
      </c>
    </row>
    <row r="8" spans="1:21" ht="15">
      <c r="A8" s="142" t="s">
        <v>7913</v>
      </c>
      <c r="B8" s="143">
        <f>150+1507.31</f>
        <v>1657.31</v>
      </c>
      <c r="C8" s="149" t="s">
        <v>7914</v>
      </c>
      <c r="D8" s="40"/>
      <c r="F8" s="227" t="s">
        <v>7915</v>
      </c>
      <c r="Q8" s="186" t="s">
        <v>7916</v>
      </c>
    </row>
    <row r="9" spans="1:21" ht="15">
      <c r="A9" s="40" t="s">
        <v>7917</v>
      </c>
      <c r="B9" s="81" t="s">
        <v>7918</v>
      </c>
      <c r="C9" t="s">
        <v>7919</v>
      </c>
      <c r="Q9" s="186" t="s">
        <v>7920</v>
      </c>
    </row>
    <row r="10" spans="1:21" ht="15">
      <c r="A10" s="131" t="s">
        <v>7921</v>
      </c>
      <c r="B10" s="132">
        <v>2598</v>
      </c>
      <c r="C10" s="133" t="s">
        <v>7922</v>
      </c>
      <c r="Q10" s="186" t="s">
        <v>7923</v>
      </c>
    </row>
    <row r="11" spans="1:21" ht="15">
      <c r="A11" s="128" t="s">
        <v>7924</v>
      </c>
      <c r="B11" s="129">
        <f>3066-500</f>
        <v>2566</v>
      </c>
      <c r="C11" s="130" t="s">
        <v>7925</v>
      </c>
      <c r="Q11" s="186" t="s">
        <v>7926</v>
      </c>
    </row>
    <row r="12" spans="1:21">
      <c r="A12" s="40" t="s">
        <v>7927</v>
      </c>
      <c r="B12" s="81">
        <v>3100</v>
      </c>
      <c r="C12" s="222" t="s">
        <v>7928</v>
      </c>
    </row>
    <row r="13" spans="1:21">
      <c r="A13" s="40" t="s">
        <v>7929</v>
      </c>
      <c r="B13" s="81">
        <v>1050</v>
      </c>
      <c r="C13" t="s">
        <v>7900</v>
      </c>
    </row>
    <row r="14" spans="1:21">
      <c r="A14" t="s">
        <v>7930</v>
      </c>
      <c r="B14" s="81">
        <v>1100</v>
      </c>
      <c r="C14" t="s">
        <v>7931</v>
      </c>
      <c r="F14" t="s">
        <v>7932</v>
      </c>
    </row>
    <row r="15" spans="1:21" ht="15">
      <c r="A15" s="40" t="s">
        <v>7933</v>
      </c>
      <c r="B15" s="81">
        <v>1470</v>
      </c>
      <c r="Q15" s="187" t="s">
        <v>7934</v>
      </c>
    </row>
    <row r="16" spans="1:21">
      <c r="A16" s="136" t="s">
        <v>7935</v>
      </c>
      <c r="B16" s="137">
        <v>1785</v>
      </c>
      <c r="C16" t="s">
        <v>7936</v>
      </c>
    </row>
    <row r="18" spans="1:11">
      <c r="A18" s="40" t="s">
        <v>7937</v>
      </c>
      <c r="B18" s="81">
        <v>0</v>
      </c>
    </row>
    <row r="19" spans="1:11">
      <c r="A19" t="s">
        <v>7938</v>
      </c>
      <c r="C19" t="s">
        <v>7939</v>
      </c>
    </row>
    <row r="20" spans="1:11">
      <c r="A20" s="40" t="s">
        <v>7940</v>
      </c>
      <c r="B20" s="81">
        <f>850</f>
        <v>850</v>
      </c>
      <c r="C20" s="40" t="s">
        <v>7941</v>
      </c>
      <c r="F20" s="227" t="s">
        <v>7942</v>
      </c>
      <c r="I20" t="s">
        <v>7943</v>
      </c>
      <c r="J20" t="s">
        <v>7944</v>
      </c>
      <c r="K20" s="227" t="s">
        <v>7945</v>
      </c>
    </row>
    <row r="21" spans="1:11">
      <c r="A21" s="40"/>
      <c r="C21" s="40"/>
    </row>
    <row r="22" spans="1:11">
      <c r="A22" s="174" t="s">
        <v>7946</v>
      </c>
      <c r="B22" s="175"/>
      <c r="C22" s="176"/>
      <c r="D22" s="176"/>
      <c r="E22" s="176"/>
    </row>
    <row r="25" spans="1:11">
      <c r="A25" s="125" t="s">
        <v>7947</v>
      </c>
      <c r="B25" s="126"/>
      <c r="C25" s="127"/>
    </row>
    <row r="26" spans="1:11">
      <c r="A26" t="s">
        <v>7948</v>
      </c>
    </row>
    <row r="27" spans="1:11">
      <c r="A27" t="s">
        <v>7949</v>
      </c>
    </row>
    <row r="28" spans="1:11">
      <c r="A28" s="22" t="s">
        <v>7950</v>
      </c>
      <c r="B28" s="124"/>
      <c r="C28" s="22"/>
    </row>
    <row r="29" spans="1:11">
      <c r="A29" s="22" t="s">
        <v>7951</v>
      </c>
      <c r="B29" s="124" t="s">
        <v>7952</v>
      </c>
      <c r="C29" s="22"/>
    </row>
    <row r="30" spans="1:11">
      <c r="A30" s="22" t="s">
        <v>7953</v>
      </c>
      <c r="B30" s="124" t="s">
        <v>7954</v>
      </c>
      <c r="C30" s="22"/>
    </row>
    <row r="31" spans="1:11">
      <c r="A31" t="s">
        <v>7955</v>
      </c>
    </row>
    <row r="34" spans="1:8">
      <c r="A34" s="133" t="s">
        <v>7956</v>
      </c>
      <c r="B34" s="132"/>
      <c r="C34" s="180" t="s">
        <v>7957</v>
      </c>
      <c r="D34" s="180"/>
      <c r="E34" s="180"/>
    </row>
    <row r="35" spans="1:8">
      <c r="A35" t="s">
        <v>7958</v>
      </c>
    </row>
    <row r="36" spans="1:8" ht="76.5">
      <c r="A36" s="4" t="s">
        <v>7959</v>
      </c>
    </row>
    <row r="38" spans="1:8">
      <c r="A38" s="144" t="s">
        <v>7960</v>
      </c>
      <c r="B38" s="143"/>
    </row>
    <row r="39" spans="1:8">
      <c r="A39" t="s">
        <v>7961</v>
      </c>
    </row>
    <row r="40" spans="1:8" ht="15">
      <c r="A40" s="145" t="s">
        <v>7962</v>
      </c>
    </row>
    <row r="41" spans="1:8">
      <c r="A41" t="s">
        <v>7963</v>
      </c>
    </row>
    <row r="43" spans="1:8">
      <c r="A43" s="135" t="s">
        <v>7964</v>
      </c>
    </row>
    <row r="44" spans="1:8">
      <c r="A44" t="s">
        <v>7965</v>
      </c>
    </row>
    <row r="45" spans="1:8">
      <c r="A45" t="s">
        <v>7966</v>
      </c>
    </row>
    <row r="46" spans="1:8">
      <c r="A46" t="s">
        <v>7967</v>
      </c>
    </row>
    <row r="48" spans="1:8">
      <c r="A48" s="138" t="s">
        <v>7968</v>
      </c>
      <c r="B48" s="139"/>
      <c r="C48" s="138"/>
      <c r="D48" s="138" t="s">
        <v>7969</v>
      </c>
      <c r="E48" s="138"/>
      <c r="F48" s="138" t="s">
        <v>7970</v>
      </c>
      <c r="G48" s="138"/>
      <c r="H48" s="138"/>
    </row>
    <row r="49" spans="1:1">
      <c r="A49" t="s">
        <v>7971</v>
      </c>
    </row>
    <row r="50" spans="1:1">
      <c r="A50" t="s">
        <v>7972</v>
      </c>
    </row>
    <row r="51" spans="1:1">
      <c r="A51" t="s">
        <v>7973</v>
      </c>
    </row>
    <row r="52" spans="1:1">
      <c r="A52" t="s">
        <v>7974</v>
      </c>
    </row>
  </sheetData>
  <sortState xmlns:xlrd2="http://schemas.microsoft.com/office/spreadsheetml/2017/richdata2" ref="A3:C11">
    <sortCondition ref="A2"/>
  </sortState>
  <hyperlinks>
    <hyperlink ref="F20" r:id="rId1" xr:uid="{46E7A347-A9F5-4ED5-8B4A-6C65F017408E}"/>
    <hyperlink ref="K20" r:id="rId2" xr:uid="{20BBFB89-7783-4201-BA97-31010EF04B3D}"/>
    <hyperlink ref="F8" r:id="rId3" xr:uid="{0197196C-F9AB-4E88-932E-79C04758DDE4}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D77F-E37E-4E6E-84FC-28CC7005AF46}">
  <dimension ref="A1"/>
  <sheetViews>
    <sheetView workbookViewId="0">
      <selection activeCell="L13" sqref="L13"/>
    </sheetView>
  </sheetViews>
  <sheetFormatPr defaultRowHeight="12.7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1733393CBFFF48A5393EF64F6E6E40" ma:contentTypeVersion="25" ma:contentTypeDescription="Create a new document." ma:contentTypeScope="" ma:versionID="a08f0fa373aefddbb6505bbf5302800b">
  <xsd:schema xmlns:xsd="http://www.w3.org/2001/XMLSchema" xmlns:xs="http://www.w3.org/2001/XMLSchema" xmlns:p="http://schemas.microsoft.com/office/2006/metadata/properties" xmlns:ns2="d3bba364-9819-4bb3-b122-f81a0a9699c1" xmlns:ns3="af4cba2f-a9f2-447d-9036-41102d09ce07" targetNamespace="http://schemas.microsoft.com/office/2006/metadata/properties" ma:root="true" ma:fieldsID="ba4c8d7bffc2ed666cab5a17dbb8578c" ns2:_="" ns3:_="">
    <xsd:import namespace="d3bba364-9819-4bb3-b122-f81a0a9699c1"/>
    <xsd:import namespace="af4cba2f-a9f2-447d-9036-41102d09ce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ocation2" minOccurs="0"/>
                <xsd:element ref="ns2:ProjectName" minOccurs="0"/>
                <xsd:element ref="ns2:ContractorName" minOccurs="0"/>
                <xsd:element ref="ns2:Estimat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ba364-9819-4bb3-b122-f81a0a9699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a85233-7211-4a87-ab21-86bfc8bb1d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ocation2" ma:index="21" nillable="true" ma:displayName="Project Address" ma:format="Dropdown" ma:internalName="Location2">
      <xsd:simpleType>
        <xsd:restriction base="dms:Text">
          <xsd:maxLength value="255"/>
        </xsd:restriction>
      </xsd:simpleType>
    </xsd:element>
    <xsd:element name="ProjectName" ma:index="22" nillable="true" ma:displayName="Project Name" ma:format="Dropdown" ma:internalName="ProjectName">
      <xsd:simpleType>
        <xsd:restriction base="dms:Text">
          <xsd:maxLength value="255"/>
        </xsd:restriction>
      </xsd:simpleType>
    </xsd:element>
    <xsd:element name="ContractorName" ma:index="23" nillable="true" ma:displayName="Contractor Name" ma:format="Dropdown" ma:internalName="ContractorName">
      <xsd:simpleType>
        <xsd:restriction base="dms:Text">
          <xsd:maxLength value="255"/>
        </xsd:restriction>
      </xsd:simpleType>
    </xsd:element>
    <xsd:element name="EstimateID" ma:index="24" nillable="true" ma:displayName="Estimate ID" ma:format="Dropdown" ma:internalName="Estimate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cba2f-a9f2-447d-9036-41102d09ce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af301b-9613-4ceb-afbf-bd0da5914f4b}" ma:internalName="TaxCatchAll" ma:showField="CatchAllData" ma:web="af4cba2f-a9f2-447d-9036-41102d09ce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4cba2f-a9f2-447d-9036-41102d09ce07" xsi:nil="true"/>
    <lcf76f155ced4ddcb4097134ff3c332f xmlns="d3bba364-9819-4bb3-b122-f81a0a9699c1">
      <Terms xmlns="http://schemas.microsoft.com/office/infopath/2007/PartnerControls"/>
    </lcf76f155ced4ddcb4097134ff3c332f>
    <ContractorName xmlns="d3bba364-9819-4bb3-b122-f81a0a9699c1" xsi:nil="true"/>
    <Location2 xmlns="d3bba364-9819-4bb3-b122-f81a0a9699c1" xsi:nil="true"/>
    <ProjectName xmlns="d3bba364-9819-4bb3-b122-f81a0a9699c1" xsi:nil="true"/>
    <EstimateID xmlns="d3bba364-9819-4bb3-b122-f81a0a9699c1" xsi:nil="true"/>
  </documentManagement>
</p:properties>
</file>

<file path=customXml/itemProps1.xml><?xml version="1.0" encoding="utf-8"?>
<ds:datastoreItem xmlns:ds="http://schemas.openxmlformats.org/officeDocument/2006/customXml" ds:itemID="{12D1417B-715C-43C3-8B01-11FFF9C98841}"/>
</file>

<file path=customXml/itemProps2.xml><?xml version="1.0" encoding="utf-8"?>
<ds:datastoreItem xmlns:ds="http://schemas.openxmlformats.org/officeDocument/2006/customXml" ds:itemID="{530BF90F-44F3-4CBF-B09F-453544729E39}"/>
</file>

<file path=customXml/itemProps3.xml><?xml version="1.0" encoding="utf-8"?>
<ds:datastoreItem xmlns:ds="http://schemas.openxmlformats.org/officeDocument/2006/customXml" ds:itemID="{D66E8C36-F7D4-4543-B01D-746985F0E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Desert Services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Lanning</dc:creator>
  <cp:keywords/>
  <dc:description/>
  <cp:lastModifiedBy>Kendra Ash</cp:lastModifiedBy>
  <cp:revision/>
  <dcterms:created xsi:type="dcterms:W3CDTF">2007-02-28T23:01:48Z</dcterms:created>
  <dcterms:modified xsi:type="dcterms:W3CDTF">2025-12-05T18:01:19Z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0x0101004B1733393CBFFF48A5393EF64F6E6E40</vt:lpwstr>
  </property>
  <property fmtid="{D5CDD505-2E9C-101B-9397-08002B2CF9AE}" pid="3" name="MediaServiceImageTags">
    <vt:lpwstr/>
  </property>
</Properties>
</file>