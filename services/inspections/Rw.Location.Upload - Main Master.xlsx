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autoCompressPictures="0"/>
  <mc:AlternateContent xmlns:mc="http://schemas.openxmlformats.org/markup-compatibility/2006">
    <mc:Choice Requires="x15">
      <x15ac:absPath xmlns:x15ac="http://schemas.microsoft.com/office/spreadsheetml/2010/11/ac" url="https://desertservices.sharepoint.com/sites/DataDrive/Shared Documents/SWPPP/INSPECTIONS/PROJECTS/1 1 THE SWPPP MASTER/"/>
    </mc:Choice>
  </mc:AlternateContent>
  <xr:revisionPtr revIDLastSave="10476" documentId="13_ncr:1_{667F6B73-5F6F-4E0F-8915-497BD4BC538C}" xr6:coauthVersionLast="47" xr6:coauthVersionMax="47" xr10:uidLastSave="{D42FE247-C7FF-4F14-A7AB-7F6D7CDE4EAC}"/>
  <bookViews>
    <workbookView xWindow="-120" yWindow="-120" windowWidth="29040" windowHeight="15720" xr2:uid="{00000000-000D-0000-FFFF-FFFF00000000}"/>
  </bookViews>
  <sheets>
    <sheet name="Uploads" sheetId="1" r:id="rId1"/>
    <sheet name="Completed" sheetId="6" r:id="rId2"/>
    <sheet name="Need to Start" sheetId="5" r:id="rId3"/>
    <sheet name="Sheet1" sheetId="11" r:id="rId4"/>
    <sheet name="Billing- Invoices" sheetId="10" r:id="rId5"/>
    <sheet name="Contract billing" sheetId="8" r:id="rId6"/>
  </sheets>
  <definedNames>
    <definedName name="_xlnm._FilterDatabase" localSheetId="0" hidden="1">Uploads!$A$1:$AL$132</definedName>
    <definedName name="_xlnm.Print_Area" localSheetId="2">Uploads!#REF!</definedName>
    <definedName name="_xlnm.Print_Area" localSheetId="0">Uploads!$B$1:$I$53</definedName>
    <definedName name="_xlnm.Print_Area" localSheetId="4">'Billing- Invoices'!$A$1:$E$39</definedName>
    <definedName name="_xlnm.Print_Area" localSheetId="5">'Contract billing'!$A$1:$E$66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098" i="6" l="1"/>
  <c r="F1097" i="6"/>
  <c r="F108" i="1"/>
  <c r="F121" i="1"/>
  <c r="F86" i="1"/>
  <c r="F76" i="1"/>
  <c r="F1096" i="6"/>
  <c r="F3" i="1"/>
  <c r="F177" i="1"/>
  <c r="F176" i="1"/>
  <c r="F104" i="1"/>
  <c r="F1095" i="6"/>
  <c r="F7" i="1"/>
  <c r="F159" i="1"/>
  <c r="F53" i="1"/>
  <c r="F1094" i="6"/>
  <c r="F1093" i="6"/>
  <c r="F62" i="1"/>
  <c r="F97" i="1"/>
  <c r="F1092" i="6"/>
  <c r="F1091" i="6"/>
  <c r="F1090" i="6"/>
  <c r="F141" i="1"/>
  <c r="F1089" i="6"/>
  <c r="F204" i="1"/>
  <c r="F181" i="1"/>
  <c r="F138" i="1"/>
  <c r="F106" i="1"/>
  <c r="F72" i="1"/>
  <c r="F74" i="1"/>
  <c r="F1088" i="6"/>
  <c r="F1087" i="6"/>
  <c r="F1086" i="6"/>
  <c r="F1085" i="6"/>
  <c r="F1084" i="6"/>
  <c r="F11" i="1"/>
  <c r="F1083" i="6"/>
  <c r="F1082" i="6"/>
  <c r="F61" i="1"/>
  <c r="F1081" i="6"/>
  <c r="F4" i="1"/>
  <c r="F23" i="5"/>
  <c r="F1080" i="6"/>
  <c r="F1079" i="6"/>
  <c r="F146" i="1"/>
  <c r="F137" i="1"/>
  <c r="F1078" i="6"/>
  <c r="F1077" i="6"/>
  <c r="F1076" i="6"/>
  <c r="F1075" i="6"/>
  <c r="F1074" i="6"/>
  <c r="F1073" i="6"/>
  <c r="F1072" i="6"/>
  <c r="F1071" i="6"/>
  <c r="F152" i="1"/>
  <c r="F162" i="1"/>
  <c r="F1070" i="6"/>
  <c r="F1069" i="6"/>
  <c r="F1068" i="6"/>
  <c r="F1067" i="6"/>
  <c r="F1066" i="6"/>
  <c r="F32" i="1"/>
  <c r="F1065" i="6"/>
  <c r="F1064" i="6"/>
  <c r="F1063" i="6"/>
  <c r="F1062" i="6"/>
  <c r="F1061" i="6"/>
  <c r="F1060" i="6"/>
  <c r="F128" i="1"/>
  <c r="F165" i="1"/>
  <c r="F1059" i="6"/>
  <c r="F143" i="1"/>
  <c r="F173" i="1"/>
  <c r="F1058" i="6"/>
  <c r="F1057" i="6"/>
  <c r="F1056" i="6"/>
  <c r="F117" i="1"/>
  <c r="F88" i="1"/>
  <c r="F1055" i="6"/>
  <c r="F1054" i="6"/>
  <c r="F1053" i="6"/>
  <c r="F112" i="1"/>
  <c r="F81" i="1"/>
  <c r="F1052" i="6"/>
  <c r="F197" i="1"/>
  <c r="F174" i="1"/>
  <c r="F140" i="1"/>
  <c r="F202" i="1"/>
  <c r="F201" i="1"/>
  <c r="F185" i="1"/>
  <c r="F1051" i="6"/>
  <c r="F1050" i="6"/>
  <c r="F12" i="1"/>
  <c r="F163" i="1"/>
  <c r="F1049" i="6"/>
  <c r="F1048" i="6"/>
  <c r="F1047" i="6"/>
  <c r="F1046" i="6"/>
  <c r="F1045" i="6"/>
  <c r="F1044" i="6"/>
  <c r="F1043" i="6"/>
  <c r="F2" i="1"/>
  <c r="F1042" i="6"/>
  <c r="F1041" i="6"/>
  <c r="F1040" i="6"/>
  <c r="F125" i="1"/>
  <c r="F1039" i="6"/>
  <c r="F1038" i="6"/>
  <c r="F35" i="1"/>
  <c r="F1037" i="6"/>
  <c r="F34" i="1"/>
  <c r="F1036" i="6"/>
  <c r="F1035" i="6"/>
  <c r="F195" i="1"/>
  <c r="F1034" i="6"/>
  <c r="F1033" i="6"/>
  <c r="F182" i="1"/>
  <c r="F107" i="1"/>
  <c r="F79" i="1"/>
  <c r="F67" i="1"/>
  <c r="F80" i="1"/>
  <c r="F116" i="1"/>
  <c r="F1032" i="6"/>
  <c r="F1031" i="6"/>
  <c r="F118" i="1"/>
  <c r="F1030" i="6"/>
  <c r="F1029" i="6"/>
  <c r="F1028" i="6"/>
  <c r="F151" i="1"/>
  <c r="F166" i="1"/>
  <c r="F192" i="1"/>
  <c r="F69" i="1"/>
  <c r="F175" i="1"/>
  <c r="F1027" i="6"/>
  <c r="F1026" i="6"/>
  <c r="F1025" i="6"/>
  <c r="F1024" i="6"/>
  <c r="F1023" i="6"/>
  <c r="F1022" i="6"/>
  <c r="F20" i="1"/>
  <c r="F33" i="1"/>
  <c r="F37" i="1"/>
  <c r="F1021" i="6"/>
  <c r="F71" i="1"/>
  <c r="F42" i="1"/>
  <c r="F1020" i="6"/>
  <c r="F1019" i="6"/>
  <c r="F1018" i="6"/>
  <c r="F1017" i="6"/>
  <c r="F1016" i="6"/>
  <c r="F1015" i="6"/>
  <c r="F1014" i="6"/>
  <c r="F1013" i="6"/>
  <c r="F1012" i="6"/>
  <c r="F1011" i="6"/>
  <c r="F73" i="1"/>
  <c r="F203" i="1"/>
  <c r="F169" i="1"/>
  <c r="F1010" i="6"/>
  <c r="F1009" i="6"/>
  <c r="F1008" i="6"/>
  <c r="F1007" i="6"/>
  <c r="F1006" i="6"/>
  <c r="F54" i="1"/>
  <c r="F24" i="1"/>
  <c r="F105" i="1"/>
  <c r="F142" i="1"/>
  <c r="F1005" i="6"/>
  <c r="F113" i="1"/>
  <c r="F1004" i="6"/>
  <c r="F1003" i="6"/>
  <c r="F1002" i="6"/>
  <c r="F1001" i="6"/>
  <c r="F149" i="1"/>
  <c r="F1000" i="6"/>
  <c r="F999" i="6"/>
  <c r="F36" i="1"/>
  <c r="F77" i="1"/>
  <c r="F998" i="6"/>
  <c r="F194" i="1"/>
  <c r="F997" i="6"/>
  <c r="F139" i="1"/>
  <c r="F996" i="6"/>
  <c r="F70" i="1"/>
  <c r="F995" i="6"/>
  <c r="F994" i="6"/>
  <c r="F993" i="6"/>
  <c r="F992" i="6"/>
  <c r="F991" i="6"/>
  <c r="F990" i="6"/>
  <c r="F989" i="6"/>
  <c r="F988" i="6"/>
  <c r="F987" i="6"/>
  <c r="F986" i="6"/>
  <c r="F985" i="6"/>
  <c r="F984" i="6"/>
  <c r="F38" i="1"/>
  <c r="F19" i="1"/>
  <c r="F983" i="6"/>
  <c r="F982" i="6"/>
  <c r="F94" i="1"/>
  <c r="F981" i="6"/>
  <c r="F17" i="1"/>
  <c r="F200" i="1"/>
  <c r="F980" i="6"/>
  <c r="F979" i="6"/>
  <c r="F6" i="1"/>
  <c r="F978" i="6"/>
  <c r="F976" i="6"/>
  <c r="F977" i="6"/>
  <c r="F975" i="6"/>
  <c r="F129" i="1"/>
  <c r="F974" i="6"/>
  <c r="F973" i="6"/>
  <c r="F972" i="6"/>
  <c r="F971" i="6"/>
  <c r="F970" i="6"/>
  <c r="F193" i="1"/>
  <c r="F969" i="6"/>
  <c r="F968" i="6"/>
  <c r="F102" i="1"/>
  <c r="F967" i="6"/>
  <c r="F966" i="6"/>
  <c r="F965" i="6"/>
  <c r="F199" i="1"/>
  <c r="F14" i="1"/>
  <c r="F964" i="6"/>
  <c r="F963" i="6"/>
  <c r="F962" i="6"/>
  <c r="F114" i="1"/>
  <c r="F187" i="1"/>
  <c r="F157" i="1"/>
  <c r="F78" i="1"/>
  <c r="F65" i="1"/>
  <c r="F64" i="1"/>
  <c r="F23" i="1"/>
  <c r="F961" i="6"/>
  <c r="F960" i="6"/>
  <c r="F959" i="6"/>
  <c r="F958" i="6"/>
  <c r="F957" i="6"/>
  <c r="F956" i="6"/>
  <c r="F955" i="6"/>
  <c r="F954" i="6"/>
  <c r="F953" i="6"/>
  <c r="F952" i="6"/>
  <c r="F951" i="6"/>
  <c r="F950" i="6"/>
  <c r="F949" i="6"/>
  <c r="F948" i="6"/>
  <c r="F134" i="1"/>
  <c r="F196" i="1"/>
  <c r="F124" i="1"/>
  <c r="F101" i="1"/>
  <c r="F41" i="1"/>
  <c r="F46" i="1"/>
  <c r="F947" i="6"/>
  <c r="F946" i="6"/>
  <c r="F945" i="6"/>
  <c r="F944" i="6"/>
  <c r="F943" i="6"/>
  <c r="F942" i="6"/>
  <c r="F941" i="6"/>
  <c r="F148" i="1"/>
  <c r="F940" i="6"/>
  <c r="F939" i="6"/>
  <c r="F938" i="6"/>
  <c r="F937" i="6"/>
  <c r="F936" i="6"/>
  <c r="F935" i="6"/>
  <c r="F934" i="6"/>
  <c r="F933" i="6"/>
  <c r="F932" i="6"/>
  <c r="F931" i="6"/>
  <c r="F930" i="6"/>
  <c r="F929" i="6"/>
  <c r="F928" i="6"/>
  <c r="F927" i="6"/>
  <c r="F92" i="1"/>
  <c r="F926" i="6"/>
  <c r="F43" i="1"/>
  <c r="F5" i="1"/>
  <c r="F925" i="6"/>
  <c r="F924" i="6"/>
  <c r="F923" i="6"/>
  <c r="F45" i="1"/>
  <c r="F132" i="1"/>
  <c r="F156" i="1"/>
  <c r="F183" i="1"/>
  <c r="F190" i="1"/>
  <c r="F922" i="6"/>
  <c r="F188" i="1"/>
  <c r="F921" i="6"/>
  <c r="F920" i="6"/>
  <c r="F919" i="6"/>
  <c r="F56" i="1"/>
  <c r="F111" i="1"/>
  <c r="F918" i="6"/>
  <c r="F179" i="1"/>
  <c r="F171" i="1"/>
  <c r="F144" i="1"/>
  <c r="F120" i="1"/>
  <c r="F917" i="6"/>
  <c r="F916" i="6"/>
  <c r="F126" i="1"/>
  <c r="F915" i="6"/>
  <c r="F914" i="6"/>
  <c r="F913" i="6"/>
  <c r="F912" i="6"/>
  <c r="F911" i="6"/>
  <c r="F910" i="6"/>
  <c r="F909" i="6"/>
  <c r="F96" i="1"/>
  <c r="F47" i="1"/>
  <c r="F908" i="6"/>
  <c r="F907" i="6"/>
  <c r="F59" i="1"/>
  <c r="F52" i="1"/>
  <c r="F60" i="1"/>
  <c r="F906" i="6"/>
  <c r="F5" i="5"/>
  <c r="F905" i="6"/>
  <c r="F904" i="6"/>
  <c r="F903" i="6"/>
  <c r="F902" i="6"/>
  <c r="F901" i="6"/>
  <c r="F900" i="6"/>
  <c r="F119" i="1"/>
  <c r="F210" i="1"/>
  <c r="F147" i="1"/>
  <c r="F21" i="5"/>
  <c r="F899" i="6"/>
  <c r="F898" i="6"/>
  <c r="F897" i="6"/>
  <c r="F896" i="6"/>
  <c r="F895" i="6"/>
  <c r="F154" i="1"/>
  <c r="F894" i="6"/>
  <c r="F893" i="6"/>
  <c r="F164" i="1"/>
  <c r="F10" i="5"/>
  <c r="F892" i="6"/>
  <c r="F891" i="6"/>
  <c r="F890" i="6"/>
  <c r="F889" i="6"/>
  <c r="F888" i="6"/>
  <c r="F887" i="6"/>
  <c r="F18" i="1"/>
  <c r="F50" i="1"/>
  <c r="F103" i="1"/>
  <c r="F886" i="6"/>
  <c r="F885" i="6"/>
  <c r="F884" i="6"/>
  <c r="F883" i="6"/>
  <c r="F882" i="6"/>
  <c r="F136" i="1"/>
  <c r="F881" i="6"/>
  <c r="F51" i="1"/>
  <c r="F90" i="1"/>
  <c r="F880" i="6"/>
  <c r="F48" i="1"/>
  <c r="F879" i="6"/>
  <c r="F878" i="6"/>
  <c r="F877" i="6"/>
  <c r="F876" i="6"/>
  <c r="F875" i="6"/>
  <c r="F874" i="6"/>
  <c r="F205" i="1"/>
  <c r="F873" i="6"/>
  <c r="F133" i="1"/>
  <c r="F872" i="6"/>
  <c r="F871" i="6"/>
  <c r="F206" i="1"/>
  <c r="F158" i="1"/>
  <c r="F8" i="1"/>
  <c r="F870" i="6"/>
  <c r="F869" i="6"/>
  <c r="F95" i="1"/>
  <c r="F868" i="6"/>
  <c r="F867" i="6"/>
  <c r="F866" i="6"/>
  <c r="F865" i="6"/>
  <c r="F131" i="1"/>
  <c r="F864" i="6"/>
  <c r="F49" i="1"/>
  <c r="F209" i="1"/>
  <c r="F863" i="6"/>
  <c r="F84" i="1"/>
  <c r="F83" i="1"/>
  <c r="F135" i="1"/>
  <c r="F58" i="1"/>
  <c r="F130" i="1"/>
  <c r="F208" i="1"/>
  <c r="F207" i="1"/>
  <c r="F57" i="1"/>
  <c r="F127" i="1"/>
  <c r="F123" i="1"/>
  <c r="F122" i="1"/>
  <c r="F55" i="1"/>
  <c r="F198" i="1"/>
  <c r="F191" i="1"/>
  <c r="F189" i="1"/>
  <c r="F186" i="1"/>
  <c r="F115" i="1"/>
  <c r="F184" i="1"/>
  <c r="F44" i="1"/>
  <c r="F180" i="1"/>
  <c r="F109" i="1"/>
  <c r="F110" i="1"/>
  <c r="F40" i="1"/>
  <c r="F39" i="1"/>
  <c r="F178" i="1"/>
  <c r="F100" i="1"/>
  <c r="F99" i="1"/>
  <c r="F172" i="1"/>
  <c r="F98" i="1"/>
  <c r="F170" i="1"/>
  <c r="F29" i="1"/>
  <c r="F28" i="1"/>
  <c r="F31" i="1"/>
  <c r="F30" i="1"/>
  <c r="F26" i="1"/>
  <c r="F27" i="1"/>
  <c r="F93" i="1"/>
  <c r="F168" i="1"/>
  <c r="F167" i="1"/>
  <c r="F25" i="1"/>
  <c r="F91" i="1"/>
  <c r="F89" i="1"/>
  <c r="F68" i="1"/>
  <c r="F87" i="1"/>
  <c r="F161" i="1"/>
  <c r="F160" i="1"/>
  <c r="F85" i="1"/>
  <c r="F155" i="1"/>
  <c r="F22" i="1"/>
  <c r="F153" i="1"/>
  <c r="F21" i="1"/>
  <c r="F82" i="1"/>
  <c r="F150" i="1"/>
  <c r="F16" i="1"/>
  <c r="F15" i="1"/>
  <c r="F75" i="1"/>
  <c r="F13" i="1"/>
  <c r="F145" i="1"/>
  <c r="F10" i="1"/>
  <c r="F9" i="1"/>
  <c r="F66" i="1"/>
  <c r="F63" i="1"/>
  <c r="F862" i="6"/>
  <c r="F861" i="6"/>
  <c r="F860" i="6"/>
  <c r="F859" i="6"/>
  <c r="F858" i="6"/>
  <c r="F857" i="6"/>
  <c r="F856" i="6"/>
  <c r="F855" i="6"/>
  <c r="F854" i="6"/>
  <c r="F853" i="6"/>
  <c r="F852" i="6"/>
  <c r="F851" i="6"/>
  <c r="F850" i="6"/>
  <c r="F849" i="6"/>
  <c r="F848" i="6"/>
  <c r="F847" i="6"/>
  <c r="F846" i="6"/>
  <c r="F845" i="6"/>
  <c r="F844" i="6"/>
  <c r="F843" i="6"/>
  <c r="F842" i="6"/>
  <c r="F841" i="6"/>
  <c r="F840" i="6"/>
  <c r="F839" i="6"/>
  <c r="F838" i="6"/>
  <c r="F837" i="6"/>
  <c r="F836" i="6"/>
  <c r="F835" i="6"/>
  <c r="F834" i="6"/>
  <c r="F833" i="6"/>
  <c r="F832" i="6"/>
  <c r="F831" i="6"/>
  <c r="F830" i="6"/>
  <c r="F829" i="6"/>
  <c r="F828" i="6"/>
  <c r="F827" i="6"/>
  <c r="F826" i="6"/>
  <c r="F825" i="6"/>
  <c r="F824" i="6"/>
  <c r="F823" i="6"/>
  <c r="F822" i="6"/>
  <c r="F821" i="6"/>
  <c r="F820" i="6"/>
  <c r="F814" i="6"/>
  <c r="F813" i="6"/>
  <c r="F812" i="6"/>
  <c r="F811" i="6"/>
  <c r="F810" i="6"/>
  <c r="F809" i="6"/>
  <c r="F6" i="5"/>
  <c r="F808" i="6"/>
  <c r="F807" i="6"/>
  <c r="F806" i="6"/>
  <c r="F3" i="5"/>
  <c r="F2" i="5"/>
  <c r="F805" i="6"/>
  <c r="F804" i="6"/>
  <c r="F803" i="6"/>
  <c r="F802" i="6"/>
  <c r="F801" i="6"/>
  <c r="F800" i="6"/>
  <c r="F799" i="6"/>
  <c r="F798" i="6"/>
  <c r="F797" i="6"/>
  <c r="F796" i="6"/>
  <c r="F795" i="6"/>
  <c r="F794" i="6"/>
  <c r="F793" i="6"/>
  <c r="F792" i="6"/>
  <c r="F791" i="6"/>
  <c r="F790" i="6"/>
  <c r="F789" i="6" l="1"/>
  <c r="F788" i="6"/>
  <c r="F787" i="6"/>
  <c r="F786" i="6"/>
  <c r="F4" i="5"/>
  <c r="F785" i="6"/>
  <c r="F784" i="6"/>
  <c r="F783" i="6"/>
  <c r="F782" i="6"/>
  <c r="F781" i="6"/>
  <c r="F780" i="6"/>
  <c r="F779" i="6"/>
  <c r="F778" i="6"/>
  <c r="F777" i="6"/>
  <c r="F776" i="6"/>
  <c r="F775" i="6"/>
  <c r="F774" i="6"/>
  <c r="F773" i="6"/>
  <c r="F772" i="6"/>
  <c r="F771" i="6"/>
  <c r="F770" i="6"/>
  <c r="F769" i="6"/>
  <c r="F768" i="6"/>
  <c r="F767" i="6"/>
  <c r="F766" i="6"/>
  <c r="F765" i="6"/>
  <c r="F764" i="6"/>
  <c r="F763" i="6"/>
  <c r="F762" i="6"/>
  <c r="F761" i="6"/>
  <c r="F760" i="6"/>
  <c r="F759" i="6"/>
  <c r="F758" i="6"/>
  <c r="F757" i="6"/>
  <c r="F756" i="6"/>
  <c r="F755" i="6"/>
  <c r="F754" i="6"/>
  <c r="F753" i="6"/>
  <c r="F752" i="6"/>
  <c r="F751" i="6"/>
  <c r="F750" i="6"/>
  <c r="F749" i="6"/>
  <c r="F748" i="6"/>
  <c r="F747" i="6" l="1"/>
  <c r="F746" i="6"/>
  <c r="F745" i="6"/>
  <c r="F744" i="6"/>
  <c r="F743" i="6"/>
  <c r="F742" i="6"/>
  <c r="F741" i="6"/>
  <c r="F740" i="6"/>
  <c r="F739" i="6"/>
  <c r="F738" i="6"/>
  <c r="F737" i="6"/>
  <c r="F736" i="6"/>
  <c r="F735" i="6"/>
  <c r="F734" i="6"/>
  <c r="F733" i="6"/>
  <c r="F732" i="6"/>
  <c r="F731" i="6"/>
  <c r="F730" i="6"/>
  <c r="F729" i="6"/>
  <c r="F728" i="6"/>
  <c r="F727" i="6"/>
  <c r="F726" i="6"/>
  <c r="F725" i="6"/>
  <c r="F724" i="6"/>
  <c r="F723" i="6" l="1"/>
  <c r="F722" i="6"/>
  <c r="F721" i="6"/>
  <c r="F720" i="6"/>
  <c r="F719" i="6"/>
  <c r="F718" i="6"/>
  <c r="F717" i="6"/>
  <c r="F716" i="6"/>
  <c r="F715" i="6"/>
  <c r="F714" i="6"/>
  <c r="F713" i="6"/>
  <c r="F712" i="6"/>
  <c r="F711" i="6"/>
  <c r="F710" i="6"/>
  <c r="F709" i="6"/>
  <c r="F708" i="6"/>
  <c r="F707" i="6"/>
  <c r="F706" i="6"/>
  <c r="F705" i="6"/>
  <c r="F704" i="6"/>
  <c r="F703" i="6" l="1"/>
  <c r="F702" i="6"/>
  <c r="F701" i="6"/>
  <c r="F700" i="6"/>
  <c r="F699" i="6"/>
  <c r="F698" i="6"/>
  <c r="F697" i="6"/>
  <c r="F696" i="6"/>
  <c r="F695" i="6"/>
  <c r="F694" i="6"/>
  <c r="F693" i="6"/>
  <c r="F692" i="6"/>
  <c r="F691" i="6"/>
  <c r="F690" i="6"/>
  <c r="F689" i="6"/>
  <c r="F688" i="6"/>
  <c r="F687" i="6"/>
  <c r="F686" i="6"/>
  <c r="F7" i="5"/>
  <c r="F685" i="6"/>
  <c r="F684" i="6"/>
  <c r="F683" i="6"/>
  <c r="F682" i="6"/>
  <c r="F681" i="6"/>
  <c r="F680" i="6"/>
  <c r="F679" i="6"/>
  <c r="F678" i="6"/>
  <c r="F677" i="6"/>
  <c r="F676" i="6"/>
  <c r="F675" i="6"/>
  <c r="F674" i="6"/>
  <c r="F673" i="6"/>
  <c r="F672" i="6"/>
  <c r="F671" i="6"/>
  <c r="F670" i="6"/>
  <c r="F669" i="6"/>
  <c r="F668" i="6"/>
  <c r="F667" i="6"/>
  <c r="F666" i="6"/>
  <c r="F665" i="6"/>
  <c r="F664" i="6"/>
  <c r="F663" i="6"/>
  <c r="F662" i="6"/>
  <c r="F661" i="6"/>
  <c r="F660" i="6"/>
  <c r="F659" i="6"/>
  <c r="F658" i="6"/>
  <c r="F657" i="6"/>
  <c r="F656" i="6"/>
  <c r="F655" i="6"/>
  <c r="F654" i="6"/>
  <c r="F653" i="6"/>
  <c r="F652" i="6"/>
  <c r="F651" i="6"/>
  <c r="F650" i="6"/>
  <c r="F649" i="6"/>
  <c r="F648" i="6"/>
  <c r="F647" i="6"/>
  <c r="F646" i="6"/>
  <c r="F645" i="6"/>
  <c r="F644" i="6"/>
  <c r="F643" i="6"/>
  <c r="F642" i="6"/>
  <c r="F641" i="6"/>
  <c r="F640" i="6"/>
  <c r="F639" i="6"/>
  <c r="F638" i="6"/>
  <c r="F637" i="6"/>
  <c r="F636" i="6"/>
  <c r="F635" i="6"/>
  <c r="F634" i="6"/>
  <c r="F633" i="6"/>
  <c r="F632" i="6"/>
  <c r="F631" i="6"/>
  <c r="F630" i="6"/>
  <c r="F629" i="6"/>
  <c r="F628" i="6"/>
  <c r="F627" i="6"/>
  <c r="F626" i="6"/>
  <c r="F625" i="6"/>
  <c r="F624" i="6"/>
  <c r="F623" i="6"/>
  <c r="F622" i="6"/>
  <c r="F621" i="6"/>
  <c r="F620" i="6"/>
  <c r="F619" i="6"/>
  <c r="F618" i="6"/>
  <c r="F617" i="6"/>
  <c r="F616" i="6"/>
  <c r="F615" i="6"/>
  <c r="F614" i="6"/>
  <c r="F613" i="6"/>
  <c r="F612" i="6"/>
  <c r="F611" i="6"/>
  <c r="F610" i="6"/>
  <c r="F609" i="6"/>
  <c r="F608" i="6"/>
  <c r="F607" i="6"/>
  <c r="F604" i="6"/>
  <c r="F603" i="6"/>
  <c r="F602" i="6"/>
  <c r="F601" i="6"/>
  <c r="F600" i="6"/>
  <c r="F599" i="6"/>
  <c r="F598" i="6"/>
  <c r="F597" i="6"/>
  <c r="F596" i="6"/>
  <c r="F595" i="6"/>
  <c r="F594" i="6"/>
  <c r="F593" i="6"/>
  <c r="F592" i="6"/>
  <c r="F591" i="6"/>
  <c r="F590" i="6"/>
  <c r="F589" i="6"/>
  <c r="F588" i="6"/>
  <c r="F587" i="6"/>
  <c r="F586" i="6"/>
  <c r="F585" i="6"/>
  <c r="F584" i="6"/>
  <c r="F583" i="6"/>
  <c r="F582" i="6"/>
  <c r="F581" i="6"/>
  <c r="F580" i="6"/>
  <c r="F579" i="6"/>
  <c r="F578" i="6"/>
  <c r="F577" i="6"/>
  <c r="F576" i="6"/>
  <c r="F575" i="6"/>
  <c r="F574" i="6"/>
  <c r="F573" i="6"/>
  <c r="F572" i="6"/>
  <c r="F571" i="6"/>
  <c r="F570" i="6"/>
  <c r="F569" i="6"/>
  <c r="F568" i="6"/>
  <c r="F567" i="6"/>
  <c r="F566" i="6"/>
  <c r="F565" i="6"/>
  <c r="F563" i="6"/>
  <c r="F562" i="6"/>
  <c r="F560" i="6"/>
  <c r="F559" i="6"/>
  <c r="F558" i="6"/>
  <c r="F557" i="6"/>
  <c r="F556" i="6"/>
  <c r="F555" i="6"/>
  <c r="F554" i="6"/>
  <c r="F553" i="6"/>
  <c r="F552" i="6"/>
  <c r="F551" i="6"/>
  <c r="F550" i="6"/>
  <c r="F549" i="6"/>
  <c r="F548" i="6"/>
  <c r="F547" i="6"/>
  <c r="F546" i="6"/>
  <c r="F545" i="6"/>
  <c r="F544" i="6"/>
  <c r="F543" i="6"/>
  <c r="F542" i="6"/>
  <c r="F541" i="6"/>
  <c r="F540" i="6"/>
  <c r="F537" i="6"/>
  <c r="F536" i="6"/>
  <c r="F535" i="6"/>
  <c r="F534" i="6"/>
  <c r="F533" i="6"/>
  <c r="F532" i="6"/>
  <c r="F531" i="6"/>
  <c r="F530" i="6"/>
  <c r="F529" i="6"/>
  <c r="F528" i="6"/>
  <c r="F527" i="6"/>
  <c r="F526" i="6"/>
  <c r="F525" i="6" l="1"/>
  <c r="F524" i="6"/>
  <c r="F523" i="6"/>
  <c r="F522" i="6"/>
  <c r="F521" i="6"/>
  <c r="F519" i="6"/>
  <c r="F517" i="6"/>
  <c r="F516" i="6"/>
  <c r="F514" i="6"/>
  <c r="F513" i="6"/>
  <c r="F512" i="6"/>
  <c r="F511" i="6"/>
  <c r="F510" i="6"/>
  <c r="F509" i="6"/>
  <c r="F508" i="6"/>
  <c r="F506" i="6"/>
  <c r="F505" i="6"/>
  <c r="F504" i="6"/>
  <c r="F503" i="6"/>
  <c r="F502" i="6"/>
  <c r="F501" i="6"/>
  <c r="F500" i="6"/>
  <c r="F498" i="6" l="1"/>
  <c r="F497" i="6"/>
  <c r="F496" i="6"/>
  <c r="F495" i="6"/>
  <c r="F493" i="6"/>
  <c r="F492" i="6" l="1"/>
  <c r="F491" i="6"/>
  <c r="F490" i="6"/>
  <c r="F489" i="6"/>
  <c r="F488" i="6"/>
  <c r="F487" i="6"/>
  <c r="F486" i="6"/>
  <c r="F485" i="6"/>
  <c r="F484" i="6"/>
  <c r="F483" i="6"/>
  <c r="F482" i="6"/>
  <c r="F481" i="6"/>
  <c r="F480" i="6"/>
  <c r="F479" i="6"/>
  <c r="F478" i="6"/>
  <c r="F476" i="6"/>
  <c r="F475" i="6"/>
  <c r="F472" i="6"/>
  <c r="F179" i="6"/>
  <c r="F303" i="6"/>
  <c r="F175" i="6"/>
  <c r="F467" i="6"/>
  <c r="F165" i="6"/>
  <c r="F376" i="6"/>
  <c r="F157" i="6"/>
  <c r="F98" i="6"/>
  <c r="F419" i="6"/>
  <c r="F405" i="6"/>
  <c r="F174" i="6"/>
  <c r="F142" i="6"/>
  <c r="F144" i="6"/>
  <c r="F145" i="6"/>
  <c r="F146" i="6"/>
  <c r="F425" i="6"/>
  <c r="F462" i="6"/>
  <c r="F97" i="6"/>
  <c r="F154" i="6"/>
  <c r="F238" i="6"/>
  <c r="F286" i="6"/>
  <c r="F302" i="6"/>
  <c r="F439" i="6"/>
  <c r="F310" i="6"/>
  <c r="F153" i="6"/>
  <c r="F404" i="6"/>
  <c r="F301" i="6"/>
  <c r="F37" i="6"/>
  <c r="F329" i="6"/>
  <c r="F342" i="6"/>
  <c r="F143" i="6"/>
  <c r="F410" i="6"/>
  <c r="F288" i="6"/>
  <c r="F4" i="6"/>
  <c r="F277" i="6"/>
  <c r="F21" i="6"/>
  <c r="F257" i="6"/>
  <c r="F62" i="6"/>
  <c r="F430" i="6"/>
  <c r="F466" i="6"/>
  <c r="F315" i="6"/>
  <c r="F233" i="6"/>
  <c r="F69" i="6" l="1"/>
  <c r="F66" i="6"/>
  <c r="F373" i="6"/>
  <c r="F308" i="6"/>
  <c r="F348" i="6"/>
  <c r="F382" i="6"/>
  <c r="F372" i="6"/>
  <c r="F276" i="6"/>
  <c r="F220" i="6"/>
  <c r="F465" i="6"/>
  <c r="F197" i="6"/>
  <c r="F193" i="6"/>
  <c r="F96" i="6"/>
  <c r="F199" i="6"/>
  <c r="F279" i="6"/>
  <c r="F3" i="6"/>
  <c r="F403" i="6"/>
  <c r="F375" i="6"/>
  <c r="F374" i="6"/>
  <c r="F275" i="6"/>
  <c r="F300" i="6"/>
  <c r="F184" i="6"/>
  <c r="F132" i="6"/>
  <c r="F285" i="6"/>
  <c r="F274" i="6"/>
  <c r="F393" i="6"/>
  <c r="F392" i="6"/>
  <c r="F161" i="6"/>
  <c r="F469" i="6"/>
  <c r="F356" i="6"/>
  <c r="F160" i="6"/>
  <c r="F133" i="6"/>
  <c r="F273" i="6"/>
  <c r="F337" i="6"/>
  <c r="F394" i="6"/>
  <c r="F226" i="6"/>
  <c r="F463" i="6"/>
  <c r="F95" i="6"/>
  <c r="F461" i="6"/>
  <c r="F227" i="6"/>
  <c r="F94" i="6"/>
  <c r="F24" i="6"/>
  <c r="F99" i="6"/>
  <c r="F202" i="6"/>
  <c r="F415" i="6"/>
  <c r="F141" i="6"/>
  <c r="F282" i="6"/>
  <c r="F180" i="6"/>
  <c r="F56" i="6"/>
  <c r="F120" i="6"/>
  <c r="F459" i="6"/>
  <c r="F438" i="6"/>
  <c r="F225" i="6"/>
  <c r="F347" i="6"/>
  <c r="F458" i="6"/>
  <c r="F278" i="6"/>
  <c r="F460" i="6"/>
  <c r="F299" i="6"/>
  <c r="F192" i="6"/>
  <c r="F63" i="6"/>
  <c r="F178" i="6"/>
  <c r="F49" i="6"/>
  <c r="F164" i="6"/>
  <c r="F316" i="6"/>
  <c r="F152" i="6"/>
  <c r="F177" i="6"/>
  <c r="F35" i="6"/>
  <c r="F339" i="6"/>
  <c r="F166" i="6" l="1"/>
  <c r="F234" i="6"/>
  <c r="F240" i="6"/>
  <c r="F457" i="6"/>
  <c r="F298" i="6"/>
  <c r="F406" i="6"/>
  <c r="F41" i="6"/>
  <c r="F20" i="6"/>
  <c r="F119" i="6"/>
  <c r="F151" i="6"/>
  <c r="F219" i="6"/>
  <c r="F272" i="6"/>
  <c r="F317" i="6"/>
  <c r="F23" i="6"/>
  <c r="F169" i="6"/>
  <c r="F140" i="6"/>
  <c r="F105" i="6"/>
  <c r="F191" i="6"/>
  <c r="F6" i="6"/>
  <c r="F195" i="6"/>
  <c r="F50" i="6"/>
  <c r="F93" i="6"/>
  <c r="F102" i="6"/>
  <c r="F323" i="6"/>
  <c r="F391" i="6"/>
  <c r="F260" i="6"/>
  <c r="F215" i="6"/>
  <c r="F256" i="6"/>
  <c r="F150" i="6"/>
  <c r="F19" i="6" l="1"/>
  <c r="F131" i="6" l="1"/>
  <c r="F74" i="6"/>
  <c r="F92" i="6" l="1"/>
  <c r="F449" i="6"/>
  <c r="F414" i="6" l="1"/>
  <c r="F321" i="6"/>
  <c r="F271" i="6"/>
  <c r="F320" i="6" l="1"/>
  <c r="F325" i="6" l="1"/>
  <c r="F371" i="6"/>
  <c r="F130" i="6"/>
  <c r="F370" i="6" l="1"/>
  <c r="F18" i="6"/>
  <c r="F346" i="6"/>
  <c r="F255" i="6"/>
  <c r="F252" i="6" l="1"/>
  <c r="F34" i="6" l="1"/>
  <c r="F251" i="6" l="1"/>
  <c r="F335" i="6"/>
  <c r="F443" i="6"/>
  <c r="F158" i="6" l="1"/>
  <c r="F297" i="6" l="1"/>
  <c r="F296" i="6"/>
  <c r="F79" i="6"/>
  <c r="F331" i="6" l="1"/>
  <c r="F353" i="6"/>
  <c r="F235" i="6"/>
  <c r="F437" i="6"/>
  <c r="F456" i="6"/>
  <c r="F46" i="6"/>
  <c r="F91" i="6"/>
  <c r="F90" i="6"/>
  <c r="F258" i="6" l="1"/>
  <c r="F224" i="6"/>
  <c r="F60" i="6" l="1"/>
  <c r="F129" i="6"/>
  <c r="F70" i="6" l="1"/>
  <c r="F201" i="6" l="1"/>
  <c r="F128" i="6"/>
  <c r="F436" i="6" l="1"/>
  <c r="F17" i="6"/>
  <c r="F89" i="6"/>
  <c r="F139" i="6"/>
  <c r="F254" i="6"/>
  <c r="F117" i="6" l="1"/>
  <c r="F455" i="6"/>
  <c r="F59" i="6"/>
  <c r="F8" i="6" l="1"/>
  <c r="F369" i="6" l="1"/>
  <c r="F127" i="6"/>
  <c r="F402" i="6"/>
  <c r="F126" i="6" l="1"/>
  <c r="F345" i="6"/>
  <c r="F263" i="6" l="1"/>
  <c r="F55" i="6" l="1"/>
  <c r="F115" i="6" l="1"/>
  <c r="F214" i="6"/>
  <c r="F54" i="6"/>
  <c r="F435" i="6" l="1"/>
  <c r="F368" i="6"/>
  <c r="F266" i="6" l="1"/>
  <c r="F295" i="6"/>
  <c r="F88" i="6" l="1"/>
  <c r="F454" i="6" l="1"/>
  <c r="F259" i="6" l="1"/>
  <c r="F232" i="6" l="1"/>
  <c r="F270" i="6"/>
  <c r="F78" i="6"/>
  <c r="F453" i="6" l="1"/>
  <c r="F294" i="6" l="1"/>
  <c r="F314" i="6"/>
  <c r="F125" i="6"/>
  <c r="F114" i="6" l="1"/>
  <c r="F231" i="6" l="1"/>
  <c r="F242" i="6"/>
  <c r="F293" i="6" l="1"/>
  <c r="F383" i="6" l="1"/>
  <c r="F173" i="6"/>
  <c r="F53" i="6" l="1"/>
  <c r="F31" i="6" l="1"/>
  <c r="F183" i="6" l="1"/>
  <c r="F30" i="6"/>
  <c r="F390" i="6"/>
  <c r="F253" i="6"/>
  <c r="F292" i="6"/>
  <c r="F200" i="6" l="1"/>
  <c r="F67" i="6"/>
  <c r="F190" i="6" l="1"/>
  <c r="F7" i="6" l="1"/>
  <c r="F103" i="6" l="1"/>
  <c r="F29" i="6"/>
  <c r="F352" i="6"/>
  <c r="F291" i="6" l="1"/>
  <c r="F168" i="6" l="1"/>
  <c r="F269" i="6"/>
  <c r="F284" i="6" l="1"/>
  <c r="F311" i="6"/>
  <c r="F332" i="6"/>
  <c r="F172" i="6" l="1"/>
  <c r="F124" i="6"/>
  <c r="F380" i="6"/>
  <c r="F344" i="6" l="1"/>
  <c r="F442" i="6"/>
  <c r="F159" i="6" l="1"/>
  <c r="F241" i="6" l="1"/>
  <c r="F113" i="6"/>
  <c r="F426" i="6" l="1"/>
  <c r="F16" i="6"/>
  <c r="F212" i="6" l="1"/>
  <c r="F156" i="6" l="1"/>
  <c r="F229" i="6" l="1"/>
  <c r="F196" i="6" l="1"/>
  <c r="F216" i="6"/>
  <c r="F194" i="6"/>
  <c r="F381" i="6" l="1"/>
  <c r="F422" i="6" l="1"/>
  <c r="F351" i="6" l="1"/>
  <c r="F434" i="6" l="1"/>
  <c r="F313" i="6" l="1"/>
  <c r="F343" i="6" l="1"/>
  <c r="F171" i="6" l="1"/>
  <c r="F112" i="6" l="1"/>
  <c r="F138" i="6" l="1"/>
  <c r="F433" i="6" l="1"/>
  <c r="F211" i="6" l="1"/>
  <c r="F326" i="6"/>
  <c r="F123" i="6" l="1"/>
  <c r="F384" i="6" l="1"/>
  <c r="F304" i="6" l="1"/>
  <c r="F350" i="6" l="1"/>
  <c r="F379" i="6" l="1"/>
  <c r="F441" i="6" l="1"/>
  <c r="F28" i="6"/>
  <c r="F427" i="6"/>
  <c r="F210" i="6" l="1"/>
  <c r="F45" i="6" l="1"/>
  <c r="F305" i="6" l="1"/>
  <c r="F319" i="6" l="1"/>
  <c r="F328" i="6" l="1"/>
  <c r="F209" i="6" l="1"/>
  <c r="F42" i="6" l="1"/>
  <c r="F182" i="6" l="1"/>
  <c r="F80" i="6"/>
  <c r="F424" i="6" l="1"/>
  <c r="F322" i="6"/>
  <c r="F137" i="6" l="1"/>
  <c r="F268" i="6" l="1"/>
  <c r="F367" i="6" l="1"/>
  <c r="F15" i="6" l="1"/>
  <c r="F324" i="6" l="1"/>
  <c r="F217" i="6" l="1"/>
  <c r="F148" i="6" l="1"/>
  <c r="F181" i="6" l="1"/>
  <c r="F73" i="6" l="1"/>
  <c r="F208" i="6" l="1"/>
  <c r="F61" i="6"/>
  <c r="F366" i="6" l="1"/>
  <c r="F247" i="6"/>
  <c r="F149" i="6" l="1"/>
  <c r="F330" i="6" l="1"/>
  <c r="F306" i="6" l="1"/>
  <c r="F428" i="6" l="1"/>
  <c r="F65" i="6" l="1"/>
  <c r="F14" i="6"/>
  <c r="F239" i="6"/>
  <c r="F307" i="6" l="1"/>
  <c r="F27" i="6"/>
  <c r="F223" i="6" l="1"/>
  <c r="F189" i="6" l="1"/>
  <c r="F365" i="6" l="1"/>
  <c r="F364" i="6" l="1"/>
  <c r="F401" i="6" l="1"/>
  <c r="F363" i="6"/>
  <c r="F77" i="6" l="1"/>
  <c r="F134" i="6" l="1"/>
  <c r="F188" i="6"/>
  <c r="F413" i="6" l="1"/>
  <c r="F207" i="6" l="1"/>
  <c r="F421" i="6" l="1"/>
  <c r="F336" i="6" l="1"/>
  <c r="F385" i="6" l="1"/>
  <c r="F355" i="6"/>
  <c r="F432" i="6" l="1"/>
  <c r="F48" i="6"/>
  <c r="F47" i="6"/>
  <c r="F222" i="6" l="1"/>
  <c r="F110" i="6" l="1"/>
  <c r="F470" i="6" l="1"/>
  <c r="F340" i="6"/>
  <c r="F250" i="6" l="1"/>
  <c r="F44" i="6" l="1"/>
  <c r="F43" i="6" l="1"/>
  <c r="F452" i="6" l="1"/>
  <c r="F440" i="6" l="1"/>
  <c r="F122" i="6" l="1"/>
  <c r="F312" i="6" l="1"/>
  <c r="F13" i="6"/>
  <c r="F109" i="6" l="1"/>
  <c r="F221" i="6" l="1"/>
  <c r="F246" i="6"/>
  <c r="F267" i="6" l="1"/>
  <c r="F448" i="6" l="1"/>
  <c r="F12" i="6" l="1"/>
  <c r="F36" i="6" l="1"/>
  <c r="F11" i="6"/>
  <c r="F5" i="6" l="1"/>
  <c r="F412" i="6" l="1"/>
  <c r="F431" i="6"/>
  <c r="F387" i="6"/>
  <c r="F261" i="6" l="1"/>
  <c r="F163" i="6" l="1"/>
  <c r="F362" i="6" l="1"/>
  <c r="F447" i="6" l="1"/>
  <c r="F87" i="6"/>
  <c r="F10" i="6" l="1"/>
  <c r="F388" i="6" l="1"/>
  <c r="F245" i="6" l="1"/>
  <c r="F22" i="6"/>
  <c r="F429" i="6" l="1"/>
  <c r="F176" i="6" l="1"/>
  <c r="F52" i="6" l="1"/>
  <c r="F244" i="6" l="1"/>
  <c r="F237" i="6" l="1"/>
  <c r="F86" i="6" l="1"/>
  <c r="F446" i="6" l="1"/>
  <c r="F26" i="6" l="1"/>
  <c r="F9" i="6" l="1"/>
  <c r="F248" i="6" l="1"/>
  <c r="F408" i="6"/>
  <c r="F206" i="6" l="1"/>
  <c r="F58" i="6"/>
  <c r="F407" i="6"/>
  <c r="F262" i="6" l="1"/>
  <c r="F464" i="6"/>
  <c r="F51" i="6"/>
  <c r="F205" i="6" l="1"/>
  <c r="F318" i="6" l="1"/>
  <c r="F228" i="6" l="1"/>
  <c r="F451" i="6" l="1"/>
  <c r="F198" i="6" l="1"/>
  <c r="F236" i="6" l="1"/>
  <c r="F349" i="6"/>
  <c r="F85" i="6"/>
  <c r="F264" i="6" l="1"/>
  <c r="F327" i="6" l="1"/>
  <c r="F40" i="6" l="1"/>
  <c r="F354" i="6" l="1"/>
  <c r="F249" i="6"/>
  <c r="F162" i="6"/>
  <c r="F155" i="6" l="1"/>
  <c r="F64" i="6"/>
  <c r="F121" i="6"/>
  <c r="F1" i="6" l="1"/>
  <c r="F395" i="6"/>
  <c r="F204" i="6" l="1"/>
  <c r="F389" i="6" l="1"/>
  <c r="F309" i="6"/>
  <c r="F423" i="6"/>
  <c r="F334" i="6"/>
  <c r="F75" i="6" l="1"/>
  <c r="F289" i="6" l="1"/>
  <c r="F445" i="6"/>
  <c r="F333" i="6" l="1"/>
  <c r="F39" i="6" l="1"/>
  <c r="F84" i="6" l="1"/>
  <c r="F361" i="6"/>
  <c r="F418" i="6" l="1"/>
  <c r="F290" i="6" l="1"/>
  <c r="F187" i="6" l="1"/>
  <c r="F186" i="6" l="1"/>
  <c r="F82" i="6" l="1"/>
  <c r="F468" i="6" l="1"/>
  <c r="F203" i="6" l="1"/>
  <c r="F378" i="6" l="1"/>
  <c r="F386" i="6" l="1"/>
  <c r="F104" i="6"/>
  <c r="F33" i="6" l="1"/>
  <c r="F287" i="6" l="1"/>
  <c r="F108" i="6" l="1"/>
  <c r="F450" i="6" l="1"/>
  <c r="F341" i="6" l="1"/>
  <c r="F25" i="6" l="1"/>
  <c r="F359" i="6" l="1"/>
  <c r="F265" i="6" l="1"/>
  <c r="F107" i="6" l="1"/>
  <c r="F444" i="6" l="1"/>
  <c r="F185" i="6"/>
  <c r="F358" i="6" l="1"/>
  <c r="F338" i="6"/>
  <c r="F243" i="6"/>
  <c r="F32" i="6" l="1"/>
  <c r="F81" i="6" l="1"/>
  <c r="F218" i="6" l="1"/>
  <c r="F23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Rico</author>
  </authors>
  <commentList>
    <comment ref="A1" authorId="0" shapeId="0" xr:uid="{00000000-0006-0000-0000-000001000000}">
      <text>
        <r>
          <rPr>
            <b/>
            <sz val="9"/>
            <color indexed="81"/>
            <rFont val="Tahoma"/>
            <family val="2"/>
          </rPr>
          <t xml:space="preserve">Required:
</t>
        </r>
        <r>
          <rPr>
            <sz val="9"/>
            <color indexed="81"/>
            <rFont val="Tahoma"/>
            <family val="2"/>
          </rPr>
          <t>Max length: 96
Used to label the stop or favorite in Road Warrior.</t>
        </r>
      </text>
    </comment>
    <comment ref="B1" authorId="0" shapeId="0" xr:uid="{00000000-0006-0000-0000-000002000000}">
      <text>
        <r>
          <rPr>
            <b/>
            <sz val="9"/>
            <color indexed="81"/>
            <rFont val="Tahoma"/>
            <family val="2"/>
          </rPr>
          <t xml:space="preserve">Required:
</t>
        </r>
        <r>
          <rPr>
            <sz val="9"/>
            <color indexed="81"/>
            <rFont val="Tahoma"/>
            <family val="2"/>
          </rPr>
          <t>Max length: 96
Used to label the stop or favorite in Road Warrior.</t>
        </r>
      </text>
    </comment>
    <comment ref="C1" authorId="0" shapeId="0" xr:uid="{00000000-0006-0000-0000-000003000000}">
      <text>
        <r>
          <rPr>
            <b/>
            <sz val="9"/>
            <color indexed="81"/>
            <rFont val="Tahoma"/>
            <family val="2"/>
          </rPr>
          <t xml:space="preserve">Optional:
</t>
        </r>
        <r>
          <rPr>
            <sz val="9"/>
            <color indexed="81"/>
            <rFont val="Tahoma"/>
            <family val="2"/>
          </rPr>
          <t>Any text up to 1000 characters.</t>
        </r>
      </text>
    </comment>
    <comment ref="H1" authorId="0" shapeId="0" xr:uid="{00000000-0006-0000-0000-000004000000}">
      <text>
        <r>
          <rPr>
            <b/>
            <sz val="9"/>
            <color indexed="81"/>
            <rFont val="Tahoma"/>
            <family val="2"/>
          </rPr>
          <t>Required:</t>
        </r>
        <r>
          <rPr>
            <sz val="9"/>
            <color indexed="81"/>
            <rFont val="Tahoma"/>
            <family val="2"/>
          </rPr>
          <t xml:space="preserve">
Max Length: 32</t>
        </r>
      </text>
    </comment>
    <comment ref="I1" authorId="0" shapeId="0" xr:uid="{00000000-0006-0000-0000-000005000000}">
      <text>
        <r>
          <rPr>
            <b/>
            <sz val="9"/>
            <color indexed="81"/>
            <rFont val="Tahoma"/>
            <family val="2"/>
          </rPr>
          <t>Required:</t>
        </r>
        <r>
          <rPr>
            <sz val="9"/>
            <color indexed="81"/>
            <rFont val="Tahoma"/>
            <family val="2"/>
          </rPr>
          <t xml:space="preserve">
Max Length: 128</t>
        </r>
      </text>
    </comment>
    <comment ref="J1" authorId="0" shapeId="0" xr:uid="{00000000-0006-0000-0000-000006000000}">
      <text>
        <r>
          <rPr>
            <b/>
            <sz val="9"/>
            <color indexed="81"/>
            <rFont val="Tahoma"/>
            <family val="2"/>
          </rPr>
          <t>Required:</t>
        </r>
        <r>
          <rPr>
            <sz val="9"/>
            <color indexed="81"/>
            <rFont val="Tahoma"/>
            <family val="2"/>
          </rPr>
          <t xml:space="preserve">
Can be omitted if Postal Code provided
</t>
        </r>
      </text>
    </comment>
    <comment ref="K1" authorId="0" shapeId="0" xr:uid="{00000000-0006-0000-0000-000007000000}">
      <text>
        <r>
          <rPr>
            <b/>
            <sz val="9"/>
            <color indexed="81"/>
            <rFont val="Tahoma"/>
            <family val="2"/>
          </rPr>
          <t>Required:</t>
        </r>
        <r>
          <rPr>
            <sz val="9"/>
            <color indexed="81"/>
            <rFont val="Tahoma"/>
            <family val="2"/>
          </rPr>
          <t xml:space="preserve">
Can be omitted if Postal Code provided
</t>
        </r>
      </text>
    </comment>
    <comment ref="L1" authorId="0" shapeId="0" xr:uid="{00000000-0006-0000-0000-000008000000}">
      <text>
        <r>
          <rPr>
            <b/>
            <sz val="9"/>
            <color indexed="81"/>
            <rFont val="Tahoma"/>
            <family val="2"/>
          </rPr>
          <t xml:space="preserve">Required:
</t>
        </r>
        <r>
          <rPr>
            <sz val="9"/>
            <color indexed="81"/>
            <rFont val="Tahoma"/>
            <family val="2"/>
          </rPr>
          <t xml:space="preserve">For US, please use 5 digit post code rather than 5+4 (e.g. 20500)
</t>
        </r>
      </text>
    </comment>
    <comment ref="M1" authorId="0" shapeId="0" xr:uid="{00000000-0006-0000-0000-000009000000}">
      <text>
        <r>
          <rPr>
            <b/>
            <sz val="9"/>
            <color indexed="81"/>
            <rFont val="Tahoma"/>
            <family val="2"/>
          </rPr>
          <t>Required:</t>
        </r>
        <r>
          <rPr>
            <sz val="9"/>
            <color indexed="81"/>
            <rFont val="Tahoma"/>
            <family val="2"/>
          </rPr>
          <t xml:space="preserve">
Two letter country code (e.g. US, FR, GB), list provided in Notes sheet</t>
        </r>
      </text>
    </comment>
    <comment ref="N1" authorId="0" shapeId="0" xr:uid="{00000000-0006-0000-0000-00000A000000}">
      <text>
        <r>
          <rPr>
            <b/>
            <sz val="9"/>
            <color indexed="81"/>
            <rFont val="Tahoma"/>
            <family val="2"/>
          </rPr>
          <t>Optional</t>
        </r>
        <r>
          <rPr>
            <sz val="9"/>
            <color indexed="81"/>
            <rFont val="Tahoma"/>
            <family val="2"/>
          </rPr>
          <t xml:space="preserve">
Color will affect the base color of the stop or favorite pin.  You can use this to visually categorize your locations.  
Please view the Notes Sheet for how to specify a color.</t>
        </r>
      </text>
    </comment>
    <comment ref="O1" authorId="0" shapeId="0" xr:uid="{00000000-0006-0000-0000-00000B000000}">
      <text>
        <r>
          <rPr>
            <b/>
            <sz val="9"/>
            <color indexed="81"/>
            <rFont val="Tahoma"/>
            <family val="2"/>
          </rPr>
          <t>Optional:</t>
        </r>
        <r>
          <rPr>
            <sz val="9"/>
            <color indexed="81"/>
            <rFont val="Tahoma"/>
            <family val="2"/>
          </rPr>
          <t xml:space="preserve">
Providing this value will enable the Call &amp; Text commands</t>
        </r>
      </text>
    </comment>
    <comment ref="S1" authorId="0" shapeId="0" xr:uid="{00000000-0006-0000-0000-00000C000000}">
      <text>
        <r>
          <rPr>
            <b/>
            <sz val="9"/>
            <color indexed="81"/>
            <rFont val="Tahoma"/>
            <family val="2"/>
          </rPr>
          <t xml:space="preserve">Optional:
</t>
        </r>
        <r>
          <rPr>
            <sz val="9"/>
            <color indexed="81"/>
            <rFont val="Tahoma"/>
            <family val="2"/>
          </rPr>
          <t>Adding Latitude &amp; Longitude will replace the geocoding process.  Coordinated will be directly used to place the location on the map.  Useful when Geocoding areas not well covered such as new development or rural areas.</t>
        </r>
      </text>
    </comment>
    <comment ref="T1" authorId="0" shapeId="0" xr:uid="{00000000-0006-0000-0000-00000D000000}">
      <text>
        <r>
          <rPr>
            <b/>
            <sz val="9"/>
            <color indexed="81"/>
            <rFont val="Tahoma"/>
            <family val="2"/>
          </rPr>
          <t>Optional</t>
        </r>
        <r>
          <rPr>
            <sz val="9"/>
            <color indexed="81"/>
            <rFont val="Tahoma"/>
            <family val="2"/>
          </rPr>
          <t>:
Adding Latitude &amp; Longitude will replace the geocoding process.  Coordinated will be directly used to place the location on the map.  Useful when Geocoding areas not well covered such as new development or rural areas.</t>
        </r>
      </text>
    </comment>
    <comment ref="U1" authorId="0" shapeId="0" xr:uid="{00000000-0006-0000-0000-00000E000000}">
      <text>
        <r>
          <rPr>
            <b/>
            <sz val="9"/>
            <color indexed="81"/>
            <rFont val="Tahoma"/>
            <family val="2"/>
          </rPr>
          <t>Optional:</t>
        </r>
        <r>
          <rPr>
            <sz val="9"/>
            <color indexed="81"/>
            <rFont val="Tahoma"/>
            <family val="2"/>
          </rPr>
          <t xml:space="preserve">
The visit time for a location in minutes.  If set, this value will be used for the visit time when adding the location to a route.
If left blank, will use default setting in app.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Rico</author>
  </authors>
  <commentList>
    <comment ref="A1" authorId="0" shapeId="0" xr:uid="{00000000-0006-0000-0100-000001000000}">
      <text>
        <r>
          <rPr>
            <b/>
            <sz val="9"/>
            <color indexed="81"/>
            <rFont val="Tahoma"/>
            <family val="2"/>
          </rPr>
          <t xml:space="preserve">Required:
</t>
        </r>
        <r>
          <rPr>
            <sz val="9"/>
            <color indexed="81"/>
            <rFont val="Tahoma"/>
            <family val="2"/>
          </rPr>
          <t>Max length: 96
Used to label the stop or favorite in Road Warrior.</t>
        </r>
      </text>
    </comment>
    <comment ref="B1" authorId="0" shapeId="0" xr:uid="{00000000-0006-0000-0100-000002000000}">
      <text>
        <r>
          <rPr>
            <b/>
            <sz val="9"/>
            <color indexed="81"/>
            <rFont val="Tahoma"/>
            <family val="2"/>
          </rPr>
          <t xml:space="preserve">Required:
</t>
        </r>
        <r>
          <rPr>
            <sz val="9"/>
            <color indexed="81"/>
            <rFont val="Tahoma"/>
            <family val="2"/>
          </rPr>
          <t>Max length: 96
Used to label the stop or favorite in Road Warrior.</t>
        </r>
      </text>
    </comment>
    <comment ref="C1" authorId="0" shapeId="0" xr:uid="{00000000-0006-0000-0100-000003000000}">
      <text>
        <r>
          <rPr>
            <b/>
            <sz val="9"/>
            <color indexed="81"/>
            <rFont val="Tahoma"/>
            <family val="2"/>
          </rPr>
          <t xml:space="preserve">Optional:
</t>
        </r>
        <r>
          <rPr>
            <sz val="9"/>
            <color indexed="81"/>
            <rFont val="Tahoma"/>
            <family val="2"/>
          </rPr>
          <t>Any text up to 1000 characters.</t>
        </r>
      </text>
    </comment>
    <comment ref="H1" authorId="0" shapeId="0" xr:uid="{00000000-0006-0000-0100-000004000000}">
      <text>
        <r>
          <rPr>
            <b/>
            <sz val="9"/>
            <color indexed="81"/>
            <rFont val="Tahoma"/>
            <family val="2"/>
          </rPr>
          <t>Required:</t>
        </r>
        <r>
          <rPr>
            <sz val="9"/>
            <color indexed="81"/>
            <rFont val="Tahoma"/>
            <family val="2"/>
          </rPr>
          <t xml:space="preserve">
Max Length: 32</t>
        </r>
      </text>
    </comment>
    <comment ref="I1" authorId="0" shapeId="0" xr:uid="{00000000-0006-0000-0100-000005000000}">
      <text>
        <r>
          <rPr>
            <b/>
            <sz val="9"/>
            <color indexed="81"/>
            <rFont val="Tahoma"/>
            <family val="2"/>
          </rPr>
          <t>Required:</t>
        </r>
        <r>
          <rPr>
            <sz val="9"/>
            <color indexed="81"/>
            <rFont val="Tahoma"/>
            <family val="2"/>
          </rPr>
          <t xml:space="preserve">
Max Length: 128</t>
        </r>
      </text>
    </comment>
    <comment ref="J1" authorId="0" shapeId="0" xr:uid="{00000000-0006-0000-0100-000006000000}">
      <text>
        <r>
          <rPr>
            <b/>
            <sz val="9"/>
            <color indexed="81"/>
            <rFont val="Tahoma"/>
            <family val="2"/>
          </rPr>
          <t>Required:</t>
        </r>
        <r>
          <rPr>
            <sz val="9"/>
            <color indexed="81"/>
            <rFont val="Tahoma"/>
            <family val="2"/>
          </rPr>
          <t xml:space="preserve">
Can be omitted if Postal Code provided
</t>
        </r>
      </text>
    </comment>
    <comment ref="K1" authorId="0" shapeId="0" xr:uid="{00000000-0006-0000-0100-000007000000}">
      <text>
        <r>
          <rPr>
            <b/>
            <sz val="9"/>
            <color indexed="81"/>
            <rFont val="Tahoma"/>
            <family val="2"/>
          </rPr>
          <t>Required:</t>
        </r>
        <r>
          <rPr>
            <sz val="9"/>
            <color indexed="81"/>
            <rFont val="Tahoma"/>
            <family val="2"/>
          </rPr>
          <t xml:space="preserve">
Can be omitted if Postal Code provided
</t>
        </r>
      </text>
    </comment>
    <comment ref="L1" authorId="0" shapeId="0" xr:uid="{00000000-0006-0000-0100-000008000000}">
      <text>
        <r>
          <rPr>
            <b/>
            <sz val="9"/>
            <color indexed="81"/>
            <rFont val="Tahoma"/>
            <family val="2"/>
          </rPr>
          <t xml:space="preserve">Required:
</t>
        </r>
        <r>
          <rPr>
            <sz val="9"/>
            <color indexed="81"/>
            <rFont val="Tahoma"/>
            <family val="2"/>
          </rPr>
          <t xml:space="preserve">For US, please use 5 digit post code rather than 5+4 (e.g. 20500)
</t>
        </r>
      </text>
    </comment>
    <comment ref="M1" authorId="0" shapeId="0" xr:uid="{00000000-0006-0000-0100-000009000000}">
      <text>
        <r>
          <rPr>
            <b/>
            <sz val="9"/>
            <color indexed="81"/>
            <rFont val="Tahoma"/>
            <family val="2"/>
          </rPr>
          <t>Required:</t>
        </r>
        <r>
          <rPr>
            <sz val="9"/>
            <color indexed="81"/>
            <rFont val="Tahoma"/>
            <family val="2"/>
          </rPr>
          <t xml:space="preserve">
Two letter country code (e.g. US, FR, GB), list provided in Notes sheet</t>
        </r>
      </text>
    </comment>
    <comment ref="N1" authorId="0" shapeId="0" xr:uid="{00000000-0006-0000-0100-00000A000000}">
      <text>
        <r>
          <rPr>
            <b/>
            <sz val="9"/>
            <color indexed="81"/>
            <rFont val="Tahoma"/>
            <family val="2"/>
          </rPr>
          <t>Optional</t>
        </r>
        <r>
          <rPr>
            <sz val="9"/>
            <color indexed="81"/>
            <rFont val="Tahoma"/>
            <family val="2"/>
          </rPr>
          <t xml:space="preserve">
Color will affect the base color of the stop or favorite pin.  You can use this to visually categorize your locations.  
Please view the Notes Sheet for how to specify a color.</t>
        </r>
      </text>
    </comment>
    <comment ref="O1" authorId="0" shapeId="0" xr:uid="{00000000-0006-0000-0100-00000B000000}">
      <text>
        <r>
          <rPr>
            <b/>
            <sz val="9"/>
            <color indexed="81"/>
            <rFont val="Tahoma"/>
            <family val="2"/>
          </rPr>
          <t>Optional:</t>
        </r>
        <r>
          <rPr>
            <sz val="9"/>
            <color indexed="81"/>
            <rFont val="Tahoma"/>
            <family val="2"/>
          </rPr>
          <t xml:space="preserve">
Providing this value will enable the Call &amp; Text commands</t>
        </r>
      </text>
    </comment>
    <comment ref="S1" authorId="0" shapeId="0" xr:uid="{00000000-0006-0000-0100-00000C000000}">
      <text>
        <r>
          <rPr>
            <b/>
            <sz val="9"/>
            <color indexed="81"/>
            <rFont val="Tahoma"/>
            <family val="2"/>
          </rPr>
          <t xml:space="preserve">Optional:
</t>
        </r>
        <r>
          <rPr>
            <sz val="9"/>
            <color indexed="81"/>
            <rFont val="Tahoma"/>
            <family val="2"/>
          </rPr>
          <t>Adding Latitude &amp; Longitude will replace the geocoding process.  Coordinated will be directly used to place the location on the map.  Useful when Geocoding areas not well covered such as new development or rural areas.</t>
        </r>
      </text>
    </comment>
    <comment ref="T1" authorId="0" shapeId="0" xr:uid="{00000000-0006-0000-0100-00000D000000}">
      <text>
        <r>
          <rPr>
            <b/>
            <sz val="9"/>
            <color indexed="81"/>
            <rFont val="Tahoma"/>
            <family val="2"/>
          </rPr>
          <t>Optional</t>
        </r>
        <r>
          <rPr>
            <sz val="9"/>
            <color indexed="81"/>
            <rFont val="Tahoma"/>
            <family val="2"/>
          </rPr>
          <t>:
Adding Latitude &amp; Longitude will replace the geocoding process.  Coordinated will be directly used to place the location on the map.  Useful when Geocoding areas not well covered such as new development or rural areas.</t>
        </r>
      </text>
    </comment>
    <comment ref="U1" authorId="0" shapeId="0" xr:uid="{00000000-0006-0000-0100-00000E000000}">
      <text>
        <r>
          <rPr>
            <b/>
            <sz val="9"/>
            <color indexed="81"/>
            <rFont val="Tahoma"/>
            <family val="2"/>
          </rPr>
          <t>Optional:</t>
        </r>
        <r>
          <rPr>
            <sz val="9"/>
            <color indexed="81"/>
            <rFont val="Tahoma"/>
            <family val="2"/>
          </rPr>
          <t xml:space="preserve">
The visit time for a location in minutes.  If set, this value will be used for the visit time when adding the location to a route.
If left blank, will use default setting in app.</t>
        </r>
      </text>
    </comment>
  </commentList>
</comments>
</file>

<file path=xl/sharedStrings.xml><?xml version="1.0" encoding="utf-8"?>
<sst xmlns="http://schemas.openxmlformats.org/spreadsheetml/2006/main" count="20910" uniqueCount="6126">
  <si>
    <t>Inspector</t>
  </si>
  <si>
    <t>Company Name</t>
  </si>
  <si>
    <t>Job Name</t>
  </si>
  <si>
    <t xml:space="preserve">Install Date </t>
  </si>
  <si>
    <t>Last Insp</t>
  </si>
  <si>
    <t>Next Insp</t>
  </si>
  <si>
    <t>C/I</t>
  </si>
  <si>
    <t>Building/House Number</t>
  </si>
  <si>
    <t>Street Name</t>
  </si>
  <si>
    <t>City</t>
  </si>
  <si>
    <t>State/Region</t>
  </si>
  <si>
    <t>Postal</t>
  </si>
  <si>
    <t>Country</t>
  </si>
  <si>
    <t>Color</t>
  </si>
  <si>
    <t>Phone</t>
  </si>
  <si>
    <t>Main Site Contact</t>
  </si>
  <si>
    <t>Site Contact Email</t>
  </si>
  <si>
    <t>AZCON #</t>
  </si>
  <si>
    <t>Latitude</t>
  </si>
  <si>
    <t>Longitude</t>
  </si>
  <si>
    <t>Visit Time</t>
  </si>
  <si>
    <t>Inspector's Qualification</t>
  </si>
  <si>
    <t>Inspector's Title</t>
  </si>
  <si>
    <t>Inspector's Cell</t>
  </si>
  <si>
    <t>Inspector's Email</t>
  </si>
  <si>
    <t>Herve Gruner</t>
  </si>
  <si>
    <t>41 NORTH CONTRACTORS</t>
  </si>
  <si>
    <t>STARBUCKS MARICOPA</t>
  </si>
  <si>
    <t>I</t>
  </si>
  <si>
    <t>W MARICOPA</t>
  </si>
  <si>
    <t>CASA GRANDE</t>
  </si>
  <si>
    <t>AZ</t>
  </si>
  <si>
    <t>US</t>
  </si>
  <si>
    <t>231-357-1846</t>
  </si>
  <si>
    <t>JOSH BROOKSHIRE</t>
  </si>
  <si>
    <t>N.D.C'</t>
  </si>
  <si>
    <t>AGC-ADOT Certification, 31O Comp Dust</t>
  </si>
  <si>
    <t>Sr. Erosion Control Inspector &amp; Field Operations</t>
  </si>
  <si>
    <t>CELL: 480-231-6558</t>
  </si>
  <si>
    <t>Herve@desertservices.net</t>
  </si>
  <si>
    <t>A.R. MAYS CONSTRUCTION</t>
  </si>
  <si>
    <t>AK-CHIN WELLNESS CENTER</t>
  </si>
  <si>
    <t>C</t>
  </si>
  <si>
    <t>NEC</t>
  </si>
  <si>
    <t>COURT STREET &amp; AK-CHIN PARKWAY</t>
  </si>
  <si>
    <t>MARICOPA</t>
  </si>
  <si>
    <t>PARKVIEW AT MORRISON RANCH</t>
  </si>
  <si>
    <t>NE</t>
  </si>
  <si>
    <t>HIGLEY &amp; WARNER</t>
  </si>
  <si>
    <t>GILBERT</t>
  </si>
  <si>
    <t>602-550-2071</t>
  </si>
  <si>
    <t>BRIAN SCOTT</t>
  </si>
  <si>
    <t>bscott@armays.com</t>
  </si>
  <si>
    <t>ALISANO CORPORATION</t>
  </si>
  <si>
    <t>ELLIOT ELECTRIC</t>
  </si>
  <si>
    <t>S MERCEDES AVE</t>
  </si>
  <si>
    <t>509-640-8126</t>
  </si>
  <si>
    <t>TEO</t>
  </si>
  <si>
    <t>tae@alisano.com</t>
  </si>
  <si>
    <t>Cell:480-231-6558</t>
  </si>
  <si>
    <t>ALSTON CONSTRUCTION</t>
  </si>
  <si>
    <t>PECOS CROSSING</t>
  </si>
  <si>
    <t>E PECOS ROAD</t>
  </si>
  <si>
    <t>MESA</t>
  </si>
  <si>
    <t>480-901-1421</t>
  </si>
  <si>
    <t>ANGEL VALLEDOR</t>
  </si>
  <si>
    <t>BAYLEY CONSTRUCTION</t>
  </si>
  <si>
    <t>CENTER POINTE LOT 6A</t>
  </si>
  <si>
    <t>E IRIS PLACE</t>
  </si>
  <si>
    <t>CHANDLER</t>
  </si>
  <si>
    <t>602-781-7268</t>
  </si>
  <si>
    <t>MATTHEW HUTCHINGS</t>
  </si>
  <si>
    <t xml:space="preserve">BIG D </t>
  </si>
  <si>
    <t>TECOMA SQUARE PROJECT</t>
  </si>
  <si>
    <t>BELLA VISTA ROAD AND GANTZEL</t>
  </si>
  <si>
    <t>SAN TAN</t>
  </si>
  <si>
    <t xml:space="preserve">US </t>
  </si>
  <si>
    <t>612-231-3834</t>
  </si>
  <si>
    <t>LEWIS KNUTSON</t>
  </si>
  <si>
    <t>lewis.knutson@big-d.com</t>
  </si>
  <si>
    <t>BOULDER CREEK CAMP VERDE LLC</t>
  </si>
  <si>
    <t>HIGHVIEW AT BOULDER CREEK</t>
  </si>
  <si>
    <t>W STATE ROUTE 260</t>
  </si>
  <si>
    <t>CAMP VERDE</t>
  </si>
  <si>
    <t>928-300-4448</t>
  </si>
  <si>
    <t>JEREMY BACH</t>
  </si>
  <si>
    <t>jeremy@abisaz.com</t>
  </si>
  <si>
    <t>BPR COMPANIES</t>
  </si>
  <si>
    <t>ELLIOT &amp; ELLSWORTH</t>
  </si>
  <si>
    <t>S ELLSWORTH ROAD</t>
  </si>
  <si>
    <t>602-480-0128</t>
  </si>
  <si>
    <t>SEAN CONNER</t>
  </si>
  <si>
    <t>seanc@bprcompanies.com</t>
  </si>
  <si>
    <t>BRINKMANN CONSTRUCTION</t>
  </si>
  <si>
    <t>LHM FORD PRO-ELITE</t>
  </si>
  <si>
    <t xml:space="preserve">E AUTO CENTER DRIVE </t>
  </si>
  <si>
    <t>602-486-1466</t>
  </si>
  <si>
    <t>LANCE TOLES</t>
  </si>
  <si>
    <t>CELL: 602-877-1939</t>
  </si>
  <si>
    <t>james@desertservices.net</t>
  </si>
  <si>
    <t>SYSCO VMF LOT CONSTRUCTION</t>
  </si>
  <si>
    <t xml:space="preserve">E WARNER RD </t>
  </si>
  <si>
    <t>480-274-1788</t>
  </si>
  <si>
    <t>WOODY GLASS</t>
  </si>
  <si>
    <t>wglass@brinkmannconstructors.com</t>
  </si>
  <si>
    <t>BRYCON CONSTRUCTION</t>
  </si>
  <si>
    <t>AMERICANA OUT-DOORS BUILDING</t>
  </si>
  <si>
    <t>S SIGNAL BUTTE ROAD</t>
  </si>
  <si>
    <t>602-600-7257</t>
  </si>
  <si>
    <t xml:space="preserve">TODD SELMAN </t>
  </si>
  <si>
    <t>tselman@brycon.com</t>
  </si>
  <si>
    <t>CALIENTE CONSTRUCTION</t>
  </si>
  <si>
    <t>MSA-HUB (REDHAWK HUB)</t>
  </si>
  <si>
    <t>E ELLIOT ROAD</t>
  </si>
  <si>
    <t>480-392-4121</t>
  </si>
  <si>
    <t>DAVID TARWATER</t>
  </si>
  <si>
    <t>dtarwater@calienteconstruction.com</t>
  </si>
  <si>
    <t>CARUSO CONSTRUCTION</t>
  </si>
  <si>
    <t>HORNER RESIDENCE</t>
  </si>
  <si>
    <t>CATHEDRAL RANCH DRIVE</t>
  </si>
  <si>
    <t>SEDONA</t>
  </si>
  <si>
    <t>970-553-1670 / 602-695-7820</t>
  </si>
  <si>
    <t>CHUCK / JIM RIKE</t>
  </si>
  <si>
    <t>cmoenning@carusoconstruction.com;jrike@carusoconstruction.com</t>
  </si>
  <si>
    <t>WILSON RODRIGUEZ RESIDENCE</t>
  </si>
  <si>
    <t>FAY CANYON ROAD</t>
  </si>
  <si>
    <t>CATAMOUNT CONSTRUCTORS</t>
  </si>
  <si>
    <t>ELANTO AT QUEEN CREEK</t>
  </si>
  <si>
    <t>MERIDIAN ROAD &amp; RYAN ROAD</t>
  </si>
  <si>
    <t>QUEEN CREEK</t>
  </si>
  <si>
    <t>714-856-2929</t>
  </si>
  <si>
    <t>HUNTER TILL / ERIC WATERS</t>
  </si>
  <si>
    <t>hunter.till@catamountinc.com;eric.waters@catamountinc.com</t>
  </si>
  <si>
    <t>CKZ HOLDINGS, LLC</t>
  </si>
  <si>
    <t>DR GOODMAN / POWER &amp; PECOS</t>
  </si>
  <si>
    <t xml:space="preserve">S POWER ROAD </t>
  </si>
  <si>
    <t>480-213-0237</t>
  </si>
  <si>
    <t>GEOFF CALLARMAN</t>
  </si>
  <si>
    <t>geoffcallarman@ckzholdings.com</t>
  </si>
  <si>
    <t xml:space="preserve">CLAYCO </t>
  </si>
  <si>
    <t>NTT GLOBAL DATA CENTERS AMERICAS PH 4 &amp; 5</t>
  </si>
  <si>
    <t>314-706-4983 / 480-207-9658 / 480-487-0626 / 480-868-4548 / 314-941-8592</t>
  </si>
  <si>
    <t>DOUG FREY / SAHIL KHANDELWAL / TONY MAIORANA / PRASAD WAGHMARE / TONT HILLIARD</t>
  </si>
  <si>
    <t>frey@claycorp.com; khandelwals@claycorp.com; maioranat@claycorp.com; waghmarep@claycorp.com; hilliardt@claycorp.com</t>
  </si>
  <si>
    <t>CONCORD GENERAL CONTRACTING</t>
  </si>
  <si>
    <t>SUN VALLEY COMMUNITY CHURCH CHANDLER</t>
  </si>
  <si>
    <t>N JUNIPER DRIVE</t>
  </si>
  <si>
    <t>02-763-2642</t>
  </si>
  <si>
    <t>BILL HANNA</t>
  </si>
  <si>
    <t>bhanna@concordinc.com</t>
  </si>
  <si>
    <t>CORE CONSTRUCTION</t>
  </si>
  <si>
    <t>GRIC PUBLIC SAFETY FACILITY #4</t>
  </si>
  <si>
    <t>STOTONIC ROAD</t>
  </si>
  <si>
    <t>SACATON</t>
  </si>
  <si>
    <t>480-316-3312</t>
  </si>
  <si>
    <t>ZACK</t>
  </si>
  <si>
    <t>E.P.A'</t>
  </si>
  <si>
    <t>CSI CONSTRUCTION COMPANY</t>
  </si>
  <si>
    <t>IRONWOOD RANCH APARTMENTS</t>
  </si>
  <si>
    <t>W LOCOCO STREET</t>
  </si>
  <si>
    <t>602-579-4422 / 480-278-4718</t>
  </si>
  <si>
    <t>MIKE GARNICA /  LEVI DURAN</t>
  </si>
  <si>
    <t>mgarnica@csigc.com;lduran@csigc.com</t>
  </si>
  <si>
    <t>NOVEL HERITAGE PARK</t>
  </si>
  <si>
    <t>N  GILBERT ROAD</t>
  </si>
  <si>
    <t>480-241-7335</t>
  </si>
  <si>
    <t>DAN ARMSTRONG/ ZACHARY HYDE / DAVID TANG</t>
  </si>
  <si>
    <t>darmstrong@csigc.com;zhyde@csigc.com;dtang@csigc.com</t>
  </si>
  <si>
    <t>FCL BUILDERS</t>
  </si>
  <si>
    <t xml:space="preserve">FREEBERG MANUFACTURING </t>
  </si>
  <si>
    <t>S SUNLAND GIN ROAD</t>
  </si>
  <si>
    <t>ELOY</t>
  </si>
  <si>
    <t>949-562-8383</t>
  </si>
  <si>
    <t>DON SCHROAT</t>
  </si>
  <si>
    <t>dschroat2fclbuilders.com</t>
  </si>
  <si>
    <t>GREENBERG CONSTRUCTION</t>
  </si>
  <si>
    <t>TUBA CITY  - TCRHCC HOUSING</t>
  </si>
  <si>
    <t>HONOVIDRIVE</t>
  </si>
  <si>
    <t xml:space="preserve">TUBA CITY </t>
  </si>
  <si>
    <t>480-710-6432</t>
  </si>
  <si>
    <t>STEVE SMITH</t>
  </si>
  <si>
    <t>ssmith@greenburg-construction.com</t>
  </si>
  <si>
    <t>HAYDON BUILDING CORP</t>
  </si>
  <si>
    <t>SUN LIFE MOB CASA GRANDE</t>
  </si>
  <si>
    <t>SWC</t>
  </si>
  <si>
    <t xml:space="preserve"> FLORENCE &amp; HENNES ROAD</t>
  </si>
  <si>
    <t>602-369-5108</t>
  </si>
  <si>
    <t>STEPHAN SIDERS</t>
  </si>
  <si>
    <t>GOAZ MOTORCYCLES, PRESCOTT VALLEY</t>
  </si>
  <si>
    <t>E STATE ROUTE 69</t>
  </si>
  <si>
    <t>PRESCOTT VALLEY</t>
  </si>
  <si>
    <t>602-853-6258</t>
  </si>
  <si>
    <t>JAVIER NAVA</t>
  </si>
  <si>
    <t>jnava@haydonbc.com</t>
  </si>
  <si>
    <t>HOLDER CONSTRUCTION</t>
  </si>
  <si>
    <t>EDGECORE  MESA PH02</t>
  </si>
  <si>
    <t>S EVERTON TERRACE</t>
  </si>
  <si>
    <t>309-370-2569 / 602-503-3610</t>
  </si>
  <si>
    <t>KYLE  WRIGHT / LUIS SANCHEZ BURCIAGA</t>
  </si>
  <si>
    <t>lsanchezburciaga@holder.com</t>
  </si>
  <si>
    <t>EDGECORE - NORTH PARCEL</t>
  </si>
  <si>
    <t>EASTMARK PARKWAY 7 EVERTON TERRACE</t>
  </si>
  <si>
    <t>602-503-3610</t>
  </si>
  <si>
    <t>LUIS SANCHEZ</t>
  </si>
  <si>
    <t>lsanchez@holder.com</t>
  </si>
  <si>
    <t>AE PHX06</t>
  </si>
  <si>
    <t xml:space="preserve">S PRICE RD </t>
  </si>
  <si>
    <t xml:space="preserve">CHANDLER </t>
  </si>
  <si>
    <t>602-297-7411 / 334-444-4370 / 405-368-1678</t>
  </si>
  <si>
    <t>RICKY KRAH / JASON SMITH / BLAINE HUFNAGEL</t>
  </si>
  <si>
    <t>rkrah@holder.com;jlsmith@holder.com;bhufnagel@holder.com</t>
  </si>
  <si>
    <t>AE PHX06 TRADE PARKING</t>
  </si>
  <si>
    <t>334-444-4370</t>
  </si>
  <si>
    <t>JASON SMITH</t>
  </si>
  <si>
    <t>jlsmith@holder.com</t>
  </si>
  <si>
    <t>JACKSON DEAN</t>
  </si>
  <si>
    <t>COSTCO WHOLESALE CHANDLER</t>
  </si>
  <si>
    <t>PECOS ROAD AND ALMA SCHOOL ROAD</t>
  </si>
  <si>
    <t>425-531-1083</t>
  </si>
  <si>
    <t>ZACH AMENDE</t>
  </si>
  <si>
    <t>zacha@jacksondean.com</t>
  </si>
  <si>
    <t>KEYSTONE HOMES LLC</t>
  </si>
  <si>
    <t>CASADIA</t>
  </si>
  <si>
    <t>S MCQUEEN ROAD</t>
  </si>
  <si>
    <t>602-391-3151</t>
  </si>
  <si>
    <t>KEN SLOUGH</t>
  </si>
  <si>
    <t>LAYTON CONSTRUCTION COMPANY</t>
  </si>
  <si>
    <t>PECOS INDUSTRIAL PARK - CITY VIEW</t>
  </si>
  <si>
    <t>480-202-1868</t>
  </si>
  <si>
    <t>ADAM WEST/ JACK JOHNSTON</t>
  </si>
  <si>
    <t>awest@laytonconstruction.com; jack.johnston@laytonconstruction.com</t>
  </si>
  <si>
    <t>GERMANN INDUSTRIAL PARK - CITY VIEW</t>
  </si>
  <si>
    <t>GERMANN ROAD</t>
  </si>
  <si>
    <t>602-686-7001</t>
  </si>
  <si>
    <t>JOE NEU</t>
  </si>
  <si>
    <t>joe.neu@laytonconstruction.com</t>
  </si>
  <si>
    <t>LGE DESIGN BUILD</t>
  </si>
  <si>
    <t>GILBERT HERITAGE PARK</t>
  </si>
  <si>
    <t>N GILBERT ROAD</t>
  </si>
  <si>
    <t>773-595-0655</t>
  </si>
  <si>
    <t>PATRICK HOWARD  / THOMAS HANES</t>
  </si>
  <si>
    <t>phoward@lgedesignbuild.com</t>
  </si>
  <si>
    <t>PERFORM AIR</t>
  </si>
  <si>
    <t>S HAMILTON COURT</t>
  </si>
  <si>
    <t>602-397-4890</t>
  </si>
  <si>
    <t>JIM</t>
  </si>
  <si>
    <t>jimp@lgedesignbuild.com; jesslin@lgedesignbuild.com</t>
  </si>
  <si>
    <t>QUEEN CREEK SWITCHYARD</t>
  </si>
  <si>
    <t>OCOTILLO &amp; ELLSWORTH LOOP</t>
  </si>
  <si>
    <t>480-578-4412</t>
  </si>
  <si>
    <t>ROB ROBINSON</t>
  </si>
  <si>
    <t>rob@lgedesignbuild.com</t>
  </si>
  <si>
    <t>MILL CREEK RESIDENTIAL</t>
  </si>
  <si>
    <t>MODERA CHANDLER</t>
  </si>
  <si>
    <t>S ARIZONA AVE</t>
  </si>
  <si>
    <t>336-988-6307 / 909-559-1243</t>
  </si>
  <si>
    <t xml:space="preserve"> FARSHID DAMIRCHILO / HECTOR MALDONADO</t>
  </si>
  <si>
    <t>hsalgadomaldonado@mcrtrust.com;fdamirchilo@mcrtrust.com</t>
  </si>
  <si>
    <t>MT BUILDERS</t>
  </si>
  <si>
    <t>HAWES CROSSING MIXED USE</t>
  </si>
  <si>
    <t>480-250-9865</t>
  </si>
  <si>
    <t>KIM MCCORD / DYLAN VANPATTER</t>
  </si>
  <si>
    <t>kmccord@mtbprojects.com;dvanpatten@mtprojects.com</t>
  </si>
  <si>
    <t>MY STORGE GROUP</t>
  </si>
  <si>
    <t>MY STORAGE PRESCOTT</t>
  </si>
  <si>
    <t xml:space="preserve">E DRIVE </t>
  </si>
  <si>
    <t>PRESCOTT</t>
  </si>
  <si>
    <t>928-460-1241/ 208-403-9848</t>
  </si>
  <si>
    <t>HECTOR ARTEAGA / KYLE</t>
  </si>
  <si>
    <t>kyle@mystoragegroup.com</t>
  </si>
  <si>
    <t>NITTI BUILDERS, LLC</t>
  </si>
  <si>
    <t>XPO BUILDING B</t>
  </si>
  <si>
    <t>S SOSSAMAN ROAD</t>
  </si>
  <si>
    <t>80-433-9812 / 602-451-9644</t>
  </si>
  <si>
    <t>RON SMITH / LYDELL BROWN/ MIKE ROYDER</t>
  </si>
  <si>
    <t>rsmith@nittibldrs.com;lbrown@nittibldrs.com; mroyder@nittibldrs.com</t>
  </si>
  <si>
    <t>PATH CONSTRUCTION</t>
  </si>
  <si>
    <t>MARRIOT STUDIO RES POWER ROAD</t>
  </si>
  <si>
    <t>S POWER ROAD</t>
  </si>
  <si>
    <t>02-819-4510</t>
  </si>
  <si>
    <t>JERRY MATTHEWS</t>
  </si>
  <si>
    <t>jmatthews@pathcc.com</t>
  </si>
  <si>
    <t xml:space="preserve">PORTER BROTHERS </t>
  </si>
  <si>
    <t>GILBERT NORTHSIDE SPRINGHILL SUITES</t>
  </si>
  <si>
    <t>S SAN TAN VILLAGE PARKWAY</t>
  </si>
  <si>
    <t>480-665-0091</t>
  </si>
  <si>
    <t>DEREK ALLRED / CODY DREESEN</t>
  </si>
  <si>
    <t>derek@porterbrothers.com;codyd@porterbrothers.com</t>
  </si>
  <si>
    <t>PORTER KYLE BUILDERS LLC</t>
  </si>
  <si>
    <t>THE WAYNE</t>
  </si>
  <si>
    <t>N DOBSON ROAD</t>
  </si>
  <si>
    <t>CHANDER</t>
  </si>
  <si>
    <t>480-216-4886 / 480-934-4550</t>
  </si>
  <si>
    <t>MICHAEL STEPHAN / DAVID BAERWALD / ROGER HUBBARD / MATTHEW LONG</t>
  </si>
  <si>
    <t>mstephan@porterkyle.com; dbaerwald@porterkyle.com; rhubbard@porterkyle.com; mlong@porterkyle.com</t>
  </si>
  <si>
    <t>PRO STEEL STRUCTURAL</t>
  </si>
  <si>
    <t>2952 PLAZA</t>
  </si>
  <si>
    <t>W 4TH AVE</t>
  </si>
  <si>
    <t>APACHE JUNCTION</t>
  </si>
  <si>
    <t>414-899-5199/ 480-521-2853</t>
  </si>
  <si>
    <t>MIKE NEELS / ENRIQUE</t>
  </si>
  <si>
    <t>mike@prosteelstr.com;enrique@prosteelstr.com</t>
  </si>
  <si>
    <t>RENAISSANCE COMPANIES</t>
  </si>
  <si>
    <t>PETERSON &amp; ELLSWORTH SHOPS</t>
  </si>
  <si>
    <t>PETERSON AVE &amp; ELLSWORTH ROAD</t>
  </si>
  <si>
    <t>480-818-0928/ 623-980-6039</t>
  </si>
  <si>
    <t>MATTHEW SHAWCROFT / ZACH DEWITT</t>
  </si>
  <si>
    <t>mshawcroft@renconco.com; zdewitt@renconco.com</t>
  </si>
  <si>
    <t>ROERS GENERAL CONTRACTING LLC</t>
  </si>
  <si>
    <t>EMBERWOOD 55 + LIVING</t>
  </si>
  <si>
    <t>E O'NEIL DRIVE</t>
  </si>
  <si>
    <t>480-815-8473 / 480-925-9233</t>
  </si>
  <si>
    <t>JASON BEDEL / MICHAEL LYONS</t>
  </si>
  <si>
    <t>jason.bedel.roerscompanies.com;michael.lyons@roerscompanies.com</t>
  </si>
  <si>
    <t>N.D.C</t>
  </si>
  <si>
    <t>ROARS CASA GRANDE MULTI FAMILY</t>
  </si>
  <si>
    <t>N PEART ROAD</t>
  </si>
  <si>
    <t>JASON BEDAL / MICHAEL LYONS</t>
  </si>
  <si>
    <t>N.D.C.</t>
  </si>
  <si>
    <t>VIARATA - STONEGATE</t>
  </si>
  <si>
    <t>928-464-3478 / 480-589-7843</t>
  </si>
  <si>
    <t>NICHOLAS CERVANTES / CHRIS WOOTERS</t>
  </si>
  <si>
    <t>nick.cervantes@roerscompanies.com;chris.wooters@roerscompanies.com</t>
  </si>
  <si>
    <t>RYAN COMPANIES</t>
  </si>
  <si>
    <t>CHANDLER FREEWAYS</t>
  </si>
  <si>
    <t>W MORELOS PLACE</t>
  </si>
  <si>
    <t>480-710-7088 / 602-620-1950</t>
  </si>
  <si>
    <t>TIM BENNETT / HANNAH PIER</t>
  </si>
  <si>
    <t>tim.benett@ryancompanies.com;hannahpier@ryancompanies.com</t>
  </si>
  <si>
    <t>PHX065 DATA CENTER</t>
  </si>
  <si>
    <t xml:space="preserve">E PECOS ROAD </t>
  </si>
  <si>
    <t>480-622-1641 / 602-509-9788 / 480-812-5555</t>
  </si>
  <si>
    <t>JOSH FRETWELL / TOMAS ALMANZA / RYAN SVETICHAN</t>
  </si>
  <si>
    <t>josh.fretwell@ryancompanies.com;tomas.almanza@ryancompanies.com;ryan.svetichan@ryancompanies.com</t>
  </si>
  <si>
    <t>STEVENS-LEINWEBER</t>
  </si>
  <si>
    <t>MERIDIAN COMMERCE PARK</t>
  </si>
  <si>
    <t>SWC MERIDIAN RD &amp; HWY 24</t>
  </si>
  <si>
    <t>435-840-5147</t>
  </si>
  <si>
    <t>SHANON JOHNSON</t>
  </si>
  <si>
    <t>sjohnson@stevensleinweber.com</t>
  </si>
  <si>
    <t>SUNSTONE TWO TREE</t>
  </si>
  <si>
    <t>VILLAS ON BASELINE</t>
  </si>
  <si>
    <t xml:space="preserve">E BASELINE ROAD </t>
  </si>
  <si>
    <t>JODY KEIFER</t>
  </si>
  <si>
    <t>SWELL STEEL LLC</t>
  </si>
  <si>
    <t>CANNON BEACH</t>
  </si>
  <si>
    <t>4503</t>
  </si>
  <si>
    <t>85286</t>
  </si>
  <si>
    <t>801-860-6439</t>
  </si>
  <si>
    <t>MIKE</t>
  </si>
  <si>
    <t>mike@swellsteel.com</t>
  </si>
  <si>
    <t>THE WHITING TURNER COMPANY</t>
  </si>
  <si>
    <t xml:space="preserve">MEDINA STATION </t>
  </si>
  <si>
    <t>S SIGNAL BUTTE</t>
  </si>
  <si>
    <t>302-245-6834</t>
  </si>
  <si>
    <t>CHANDLER MARTONCIK AXTELL</t>
  </si>
  <si>
    <t>chandler.martoncik-axtell@whiting-turner.com ; steven.kenzevich@whiting-turner.com</t>
  </si>
  <si>
    <t>VERDE BUILDING CORPORATION</t>
  </si>
  <si>
    <t>ROOSEVELT COTTAGES</t>
  </si>
  <si>
    <t>AZ 188 &amp; N MCLELLAND DRIVE</t>
  </si>
  <si>
    <t>TONTO BASIN</t>
  </si>
  <si>
    <t>602-803-3583</t>
  </si>
  <si>
    <t>SAWYER GOLFORTH / RAY MCMANIS</t>
  </si>
  <si>
    <t xml:space="preserve">sawyer@verdebuild.com; projectassist@verdebuild.com </t>
  </si>
  <si>
    <t xml:space="preserve"> </t>
  </si>
  <si>
    <t>WESTATES COMPANIES</t>
  </si>
  <si>
    <t xml:space="preserve">CANYON DEL RIO </t>
  </si>
  <si>
    <t xml:space="preserve">BUTLER AVE &amp; FOURTH STREET </t>
  </si>
  <si>
    <t>FLAGSTAAFF</t>
  </si>
  <si>
    <t>801-694-5202 / 480-222-5804</t>
  </si>
  <si>
    <t>GARRET SAILER</t>
  </si>
  <si>
    <t>brianh@westates.us</t>
  </si>
  <si>
    <t>WILLMENG CONSTRUCTION INC</t>
  </si>
  <si>
    <t>POWER VILLAGE</t>
  </si>
  <si>
    <t>E UNIVERSITY DRIVE</t>
  </si>
  <si>
    <t>480-577-5119</t>
  </si>
  <si>
    <t>MARK MASSARO</t>
  </si>
  <si>
    <t>mmassaro@willmeng.com</t>
  </si>
  <si>
    <t>GATEWAY INTERCHANGE</t>
  </si>
  <si>
    <t>NWC</t>
  </si>
  <si>
    <t>LOOP 202 &amp; HAWES</t>
  </si>
  <si>
    <t>480-244-1606 / 602-358-4465</t>
  </si>
  <si>
    <t>ALEX SMITH / DEAN LUTGEN</t>
  </si>
  <si>
    <t>asmith@willmeng.com;dlutgen@willmeng.com</t>
  </si>
  <si>
    <t>SCAHCC</t>
  </si>
  <si>
    <t>PERIDOT</t>
  </si>
  <si>
    <t>480-797-9526 / 602-342-6150 / 928-432-2319</t>
  </si>
  <si>
    <t>KEITH MATY / TRACY GARDNER / BOB KELLEY</t>
  </si>
  <si>
    <t>WOLFF CONSTRUCTION</t>
  </si>
  <si>
    <t>APACHE TRAILS MULTI FAMILY</t>
  </si>
  <si>
    <t>SW</t>
  </si>
  <si>
    <t>IDAHO ROAD &amp; SUPERSTITION BLVD</t>
  </si>
  <si>
    <t>402-992-8778</t>
  </si>
  <si>
    <t>JASON BEDEL</t>
  </si>
  <si>
    <t>JAMES NEAL</t>
  </si>
  <si>
    <t>3411 BUILDERS</t>
  </si>
  <si>
    <t>ATLAS KEIRLAND</t>
  </si>
  <si>
    <t>W MARILYN ROAD</t>
  </si>
  <si>
    <t>SCOTTSDALE</t>
  </si>
  <si>
    <t>949-237-8710 / 402-992-8778</t>
  </si>
  <si>
    <t>KYLE MESSNER / JASON BEDEL</t>
  </si>
  <si>
    <t>kyle.messner@tdc-properties.com</t>
  </si>
  <si>
    <t xml:space="preserve">3411/RICHMOND BUILDERS </t>
  </si>
  <si>
    <t>LEGACY NORTH TOWNHOMES</t>
  </si>
  <si>
    <t xml:space="preserve">C </t>
  </si>
  <si>
    <t>LEGACY BOULEVARD</t>
  </si>
  <si>
    <t>480-720-7882</t>
  </si>
  <si>
    <t>ROBERT GONZALEZ</t>
  </si>
  <si>
    <t>JIM.JOHNSTON@TDC-PROPERTIES.COM;robert.gonzalez@tdc-properties.com</t>
  </si>
  <si>
    <t>LEGACY NORTH APARTMENTS</t>
  </si>
  <si>
    <t>480-688-1366/ 480-720-7882</t>
  </si>
  <si>
    <t>JIM JOHNSTON / ROBERT GONZALEZ</t>
  </si>
  <si>
    <t xml:space="preserve">ARMAYS </t>
  </si>
  <si>
    <t>THE MARSHALL</t>
  </si>
  <si>
    <t>E APACHE BLVD</t>
  </si>
  <si>
    <t>TEMPE</t>
  </si>
  <si>
    <t>602-550-6048</t>
  </si>
  <si>
    <t>TROY MUNG</t>
  </si>
  <si>
    <t>tmunig@armays.com</t>
  </si>
  <si>
    <t>PAPAGO MARKETPLACE RETAIL</t>
  </si>
  <si>
    <t>N SCOTTSDALE RD</t>
  </si>
  <si>
    <t>602-550-8981</t>
  </si>
  <si>
    <t>MICAH HENIGE</t>
  </si>
  <si>
    <t>mhenige@armays.com</t>
  </si>
  <si>
    <t>ARMSTRONG</t>
  </si>
  <si>
    <t>RITZ CARLTON - PARADISE VALLEY</t>
  </si>
  <si>
    <t>MOCKINGBIRD LANE &amp; PARADISE VALLEY</t>
  </si>
  <si>
    <t>PARADISE VALLEY</t>
  </si>
  <si>
    <t>909-373-5440 / 661-600-8479</t>
  </si>
  <si>
    <t>RYAN MCPHERSON</t>
  </si>
  <si>
    <t>ryan.mcpherson@acgarizona.com</t>
  </si>
  <si>
    <t>BFL CONSTRUCTION CO INC</t>
  </si>
  <si>
    <t>MC LIBRARY DISTRIBUTION CENTER</t>
  </si>
  <si>
    <t>W DURANGO ST</t>
  </si>
  <si>
    <t>PHOENIX</t>
  </si>
  <si>
    <t>602-722-1167</t>
  </si>
  <si>
    <t>JEREMY GARRETT</t>
  </si>
  <si>
    <t>j.garrett@bflconstruction.com; r.dunlop@bflconstruction.com</t>
  </si>
  <si>
    <t>FALCON FIELD EXECUTIVE HANGARS</t>
  </si>
  <si>
    <t>E FALCON DR</t>
  </si>
  <si>
    <t>760-818-5588</t>
  </si>
  <si>
    <t>ROBBIE CARDEN</t>
  </si>
  <si>
    <t>robbiec@bprcompanies.com</t>
  </si>
  <si>
    <t>AGC-ADOT Certification</t>
  </si>
  <si>
    <t>PV DEVELOPMENT PH5</t>
  </si>
  <si>
    <t>E CACTUS RD</t>
  </si>
  <si>
    <t>623-202-4051</t>
  </si>
  <si>
    <t>JOSH MEINKE</t>
  </si>
  <si>
    <t>joshm@bprcompanies.com</t>
  </si>
  <si>
    <t>PV LOT C3</t>
  </si>
  <si>
    <t>chrisj@bprcompanies.com</t>
  </si>
  <si>
    <t>SHEA RESIDENCES/BLOCK 7000 (AKA COSANTI COMMONS)</t>
  </si>
  <si>
    <t xml:space="preserve">E. SHEA BLVD </t>
  </si>
  <si>
    <t>720-309-0663</t>
  </si>
  <si>
    <t>SHANE RICKS</t>
  </si>
  <si>
    <t>sricks@brinkmannconstructors.com; alowry@brinkmannconstructors.com; neddleman@brinkmannconstructors.com; rcollier@brinkmannconstructors.com</t>
  </si>
  <si>
    <t>COT PARKS JOC KIWANIS PARK NORTH PLAYGROUND IMPS</t>
  </si>
  <si>
    <t>W BASELINE RD</t>
  </si>
  <si>
    <t>602-363-8120</t>
  </si>
  <si>
    <t>DAVID EATINGER</t>
  </si>
  <si>
    <t>deatinger@calienteconstruction.com</t>
  </si>
  <si>
    <t>CAMDEN LIVING</t>
  </si>
  <si>
    <t>BRINSHORE STF SCHOLAR HOUSE</t>
  </si>
  <si>
    <t>N 18TH PL</t>
  </si>
  <si>
    <t>832-579-7188</t>
  </si>
  <si>
    <t>WILL CLARK</t>
  </si>
  <si>
    <t>wclark@camdenliving.com; zfairbairn@camdenliving.com; drietfors@camdenliving.com</t>
  </si>
  <si>
    <t>CANYON BUILDING AND DESIGN</t>
  </si>
  <si>
    <t>LEGACY SPORTS ARENA &amp; HOTEL</t>
  </si>
  <si>
    <t>N 28TH AVE</t>
  </si>
  <si>
    <t>520-269-3031</t>
  </si>
  <si>
    <t>BRANDON BRACKENBURY</t>
  </si>
  <si>
    <t>bbrackenbury@canyonbd.com</t>
  </si>
  <si>
    <t>PAVILLION @ CAMELBACK SENIOR LIVING COMMUNITY</t>
  </si>
  <si>
    <t>E CAMELBACK RD</t>
  </si>
  <si>
    <t>702-345-654</t>
  </si>
  <si>
    <t>MATT ZAMOTTO</t>
  </si>
  <si>
    <t>matt.zanotto@catamountinc.com</t>
  </si>
  <si>
    <t>CHASSE BUILDING TEAM, INC</t>
  </si>
  <si>
    <t>PCDS - NEW MUSIC BUILDING</t>
  </si>
  <si>
    <t>E STANFORD DRIVE</t>
  </si>
  <si>
    <t>PARIDISE VALLEY</t>
  </si>
  <si>
    <t>602-380-5402</t>
  </si>
  <si>
    <t>BEN DALLMANN</t>
  </si>
  <si>
    <t>bdallmann@chasse.us</t>
  </si>
  <si>
    <t>TONALEA MS BOYS &amp; GIRLS CLUB BUILDING</t>
  </si>
  <si>
    <t>E CONTINENTAL DR</t>
  </si>
  <si>
    <t>480-489-1898</t>
  </si>
  <si>
    <t>MATT GRAVERT</t>
  </si>
  <si>
    <t>mgravert@chasse.us</t>
  </si>
  <si>
    <t>CLARK CONSTRUCTION GROUP</t>
  </si>
  <si>
    <t>ASU MCCAIN</t>
  </si>
  <si>
    <t>E CURRY ROAD</t>
  </si>
  <si>
    <t>415-716-7549</t>
  </si>
  <si>
    <t>JJ BITTNER</t>
  </si>
  <si>
    <t>jjbittner@chasse.us</t>
  </si>
  <si>
    <t>LIFETIME LIVING PV</t>
  </si>
  <si>
    <t>E CACTUS ROAD</t>
  </si>
  <si>
    <t>DYLAN GREENE</t>
  </si>
  <si>
    <t>greened@claycorp.com</t>
  </si>
  <si>
    <t>SOUTH PIER</t>
  </si>
  <si>
    <t>E VISTA DEL LAGO DRIVE</t>
  </si>
  <si>
    <t>314-708-1235/ 480-209-9702</t>
  </si>
  <si>
    <t>MIKE ABRAHAM</t>
  </si>
  <si>
    <t>abrahamm@claycorp.com; mccuec@claycorp.com; beaumonta@claycorp.com</t>
  </si>
  <si>
    <t>AZOLA AT DESERT RIDGE</t>
  </si>
  <si>
    <t xml:space="preserve">N 56TH ST </t>
  </si>
  <si>
    <t>480-686-1718</t>
  </si>
  <si>
    <t>JOHN WATERS</t>
  </si>
  <si>
    <t>jwaters@csigc.com; ngarrett@csigc.com</t>
  </si>
  <si>
    <t>MEZZO AT DESERT RIDGE</t>
  </si>
  <si>
    <t>602-980-3704</t>
  </si>
  <si>
    <t>JIM DOONAN</t>
  </si>
  <si>
    <t>jdoonan@csigc.com; nblanchard@csigc.com</t>
  </si>
  <si>
    <t>DEVCO US CONSTRUCTION</t>
  </si>
  <si>
    <t>JESSE OWENS PARKWAY APARTMENTS</t>
  </si>
  <si>
    <t>30 day</t>
  </si>
  <si>
    <t>E JESSE OWENS PARKWAY</t>
  </si>
  <si>
    <t>520-252-6477</t>
  </si>
  <si>
    <t>ALBERT SANTA CRUZ</t>
  </si>
  <si>
    <t>albert.santacruz@devcous.com</t>
  </si>
  <si>
    <t>EMBREY BUILDERS</t>
  </si>
  <si>
    <t>EMBREY 12TH &amp; GREENWAY APARTMENTS</t>
  </si>
  <si>
    <t>E GREENWAY</t>
  </si>
  <si>
    <t>480-707-8153</t>
  </si>
  <si>
    <t>KIRT HYDE</t>
  </si>
  <si>
    <t>FD CONSTRUCTION</t>
  </si>
  <si>
    <t>ARISE NORTH PHOENIX</t>
  </si>
  <si>
    <t>SEC</t>
  </si>
  <si>
    <t xml:space="preserve">ARROYO NORTE DR </t>
  </si>
  <si>
    <t xml:space="preserve">NEW RIVER </t>
  </si>
  <si>
    <t>760-776-8300</t>
  </si>
  <si>
    <t>RAYMOND HERRERA</t>
  </si>
  <si>
    <t>raymond@fdgroup.us;robert@fdgroup.us;dan@fdgroup.us</t>
  </si>
  <si>
    <t>FINDORF</t>
  </si>
  <si>
    <t>CORE TEMPE HOUSE OF TRICKS 7TH ST RESIDENTIAL</t>
  </si>
  <si>
    <t>E7TH STREET</t>
  </si>
  <si>
    <t>85281</t>
  </si>
  <si>
    <t>206-381-8783</t>
  </si>
  <si>
    <t>RYAN EDWARDS</t>
  </si>
  <si>
    <t>redwards@findorff.com</t>
  </si>
  <si>
    <t>GARDEN COMMUNITIES</t>
  </si>
  <si>
    <t>GARDEN AT DESERT RIDGE</t>
  </si>
  <si>
    <t>DEER VALLEY AND TATUM</t>
  </si>
  <si>
    <t>714-815-8960</t>
  </si>
  <si>
    <t>Jeff Snyder</t>
  </si>
  <si>
    <t>jeffreyr@gardencommunitiesca.com; jakep@gardencommunitiesca.com; jillb@gardencommunitiesca.com</t>
  </si>
  <si>
    <t>GARRETT CONSTRUCTION</t>
  </si>
  <si>
    <t xml:space="preserve">INSPIRE SONORAN DESERT </t>
  </si>
  <si>
    <t>N 29TH AVE</t>
  </si>
  <si>
    <t>463-283-4940</t>
  </si>
  <si>
    <t>DREW STECKENBACH</t>
  </si>
  <si>
    <t>dstreckenbach@TheGarrettCo.com; bsmith@TheGarrettCo.com; hdingess@TheGarrettCo.com</t>
  </si>
  <si>
    <t>UPTOWN COMMONS</t>
  </si>
  <si>
    <t> </t>
  </si>
  <si>
    <t xml:space="preserve">N ARIZONA AVE </t>
  </si>
  <si>
    <t>480-640-2701</t>
  </si>
  <si>
    <t>DAVID BENJAMIN</t>
  </si>
  <si>
    <t>dbenjamin@thegarrettco.com; wblasdell@thegarrettco.com; mheist@thegarrettco.com; jgarcia@thegarrettco.com; karl@thegarrettco.com</t>
  </si>
  <si>
    <t>GCON INC</t>
  </si>
  <si>
    <t>FALCON FIELD  G</t>
  </si>
  <si>
    <t>E MCDOWELL ROAD</t>
  </si>
  <si>
    <t>480-789-0877 / 480-578-4604</t>
  </si>
  <si>
    <t>RYAN TODARO / JUSTIN WILSON</t>
  </si>
  <si>
    <t>rtodaro@gconinc.com;justinw@gconinc.com</t>
  </si>
  <si>
    <t>GUEFEN CONSTRUCTION</t>
  </si>
  <si>
    <t>HAVEN @ WASHINGTON</t>
  </si>
  <si>
    <t>E JEFFERSON STREET</t>
  </si>
  <si>
    <t>970-888-0770</t>
  </si>
  <si>
    <t>JOHN LEONARD</t>
  </si>
  <si>
    <t>jleonard@guefen.com</t>
  </si>
  <si>
    <t>HAWK BUILDERS</t>
  </si>
  <si>
    <t>LINKS AT SOUTH MOUNTAIN</t>
  </si>
  <si>
    <t>S 32ND ST</t>
  </si>
  <si>
    <t>520-809-0002</t>
  </si>
  <si>
    <t>JUSTIN OWENS</t>
  </si>
  <si>
    <t>justino@hawkbuilders.net</t>
  </si>
  <si>
    <t>HBI CONSTRUCTION</t>
  </si>
  <si>
    <t>PUBLIC STORAGE MESA</t>
  </si>
  <si>
    <t xml:space="preserve">S COUNTRY CLUB DRIVE </t>
  </si>
  <si>
    <t xml:space="preserve">MESA </t>
  </si>
  <si>
    <t>480-353-9315</t>
  </si>
  <si>
    <t>JUSTIN</t>
  </si>
  <si>
    <t>justin@hbiconstruction.com</t>
  </si>
  <si>
    <t>AMERICAN EXPRESS PROJECT ODYSSEY</t>
  </si>
  <si>
    <t>N 56TH STREET</t>
  </si>
  <si>
    <t>602-723-9131</t>
  </si>
  <si>
    <t>BILL FERRIS</t>
  </si>
  <si>
    <t>wfarris@holder.com; rsnyder@holder.com; sarahbarr@holder.com; gsaacks@holder.com</t>
  </si>
  <si>
    <t>IDM BUILD AZ LLC</t>
  </si>
  <si>
    <t>35TH AVE TOWNHOMES</t>
  </si>
  <si>
    <t>W SOUTHERN AVE</t>
  </si>
  <si>
    <t>480-482-9345</t>
  </si>
  <si>
    <t>JONATHAN HESTON</t>
  </si>
  <si>
    <t xml:space="preserve">JLB BUILDERS </t>
  </si>
  <si>
    <t>64TH &amp; MAYO</t>
  </si>
  <si>
    <t>E MAYO BLVD</t>
  </si>
  <si>
    <t>480-280-4656</t>
  </si>
  <si>
    <t>MATT ANDERSON</t>
  </si>
  <si>
    <t>MANDERSON@JLBPARTNERS.COM; tanderson@jlbpartners.com</t>
  </si>
  <si>
    <t>NEXT WAVE TEMPE INDUSTRIAL PARK</t>
  </si>
  <si>
    <t>N MCCLINTOCK DRIVE</t>
  </si>
  <si>
    <t>602-309-2845</t>
  </si>
  <si>
    <t>TRAVIS BECKER</t>
  </si>
  <si>
    <t>vanessa.sanchez@laytonconstruction.com; hunter.honebein@laytonconstruction.com; travis.becker@laytonconstruction.com</t>
  </si>
  <si>
    <t>SKY HARBOR CENTER WEST</t>
  </si>
  <si>
    <t>BUCKEYE RD &amp; SKY HARBOR CIRCLE</t>
  </si>
  <si>
    <t>480-4440-0722</t>
  </si>
  <si>
    <t>TIM SERGENT</t>
  </si>
  <si>
    <t>tim.sergent@laytonconstruction.com; bgreen@laytonconstruction.com; abodine@laytonconstruction.com</t>
  </si>
  <si>
    <t>QTS- PHX3- DC1 (Job# 257001)</t>
  </si>
  <si>
    <t>W CAMELBACK RD</t>
  </si>
  <si>
    <t>LITCHFIELD</t>
  </si>
  <si>
    <t>623-696-8082</t>
  </si>
  <si>
    <t>CHRIS MOTT</t>
  </si>
  <si>
    <t>chris.mott@laytonconstruction.com; jake.perry@laytonconstruction.com; michael.cheung@laytonconstruction.com</t>
  </si>
  <si>
    <t>CELL: 602-421-5587</t>
  </si>
  <si>
    <t>logan@desertservices.net</t>
  </si>
  <si>
    <t xml:space="preserve">LAYTON CONSTRUCTON COMPANY </t>
  </si>
  <si>
    <t>ASTRIA</t>
  </si>
  <si>
    <t>E 7TH STREET</t>
  </si>
  <si>
    <t>602-708-4617</t>
  </si>
  <si>
    <t>SKI SANTIAGO</t>
  </si>
  <si>
    <t>shannon.santiago@laytonconstruction.com; nicholas.severa@layton.com</t>
  </si>
  <si>
    <t>NEXUS COMMERCE CENTER</t>
  </si>
  <si>
    <t>W ELLIOT ROAD</t>
  </si>
  <si>
    <t>623-308-2471</t>
  </si>
  <si>
    <t>CHRIS COPPOLA</t>
  </si>
  <si>
    <t>ccoppola@lgedesignbuild.com</t>
  </si>
  <si>
    <t>SKYPORT AT REDFIELD HANGERS</t>
  </si>
  <si>
    <t xml:space="preserve">E REDFIELD ROAD </t>
  </si>
  <si>
    <t>602-820-2021</t>
  </si>
  <si>
    <t>BRANDON</t>
  </si>
  <si>
    <t>bchristiansen@lgedesignbuild.com</t>
  </si>
  <si>
    <t>THE LOOP - 101 &amp; PRINCESS</t>
  </si>
  <si>
    <t>85TH ST</t>
  </si>
  <si>
    <t>480-966-4001</t>
  </si>
  <si>
    <t>KODY KELLEY</t>
  </si>
  <si>
    <t>kodyk@lgedesignbuild.com; dspangle@lgedesignbuild.com; hglascock@lgedesignbuild.com; aluu@lgedesignbuild.com</t>
  </si>
  <si>
    <t>THUNDERBIRD ACADEMY NEW MAINTENANCE BUILDING</t>
  </si>
  <si>
    <t>E SUTTON DRIVE</t>
  </si>
  <si>
    <t>775-440-7194</t>
  </si>
  <si>
    <t>JEREMY ESSLIN</t>
  </si>
  <si>
    <t>1400 W 3RD STREET</t>
  </si>
  <si>
    <t>W 3RD ST</t>
  </si>
  <si>
    <t>623-980-4048</t>
  </si>
  <si>
    <t>DAMON SPANGLE</t>
  </si>
  <si>
    <t>dspangle@lgedesignbuild.com; aluu@lgedesignbuild.com; rshepard@lgedesignbuild.com</t>
  </si>
  <si>
    <t>MUSCULAR MOVING MEN STORAGE</t>
  </si>
  <si>
    <t xml:space="preserve">C  </t>
  </si>
  <si>
    <t>E ROSE GARDEN LN</t>
  </si>
  <si>
    <t>DARRELL MALIN</t>
  </si>
  <si>
    <t>THE ARDEN</t>
  </si>
  <si>
    <t xml:space="preserve">W RIVERVIEW AUTO DRIVE </t>
  </si>
  <si>
    <t>602-390-0477</t>
  </si>
  <si>
    <t>EDDIE ESTRADA</t>
  </si>
  <si>
    <t>eestrada@mtbprojects.com</t>
  </si>
  <si>
    <t>PARADISE VALLEY MALL</t>
  </si>
  <si>
    <t>N TATUM BLVD</t>
  </si>
  <si>
    <t>602-525-9800</t>
  </si>
  <si>
    <t>MATT LEGGE</t>
  </si>
  <si>
    <t>mlegge@mtbprojects.com</t>
  </si>
  <si>
    <t>MAGNOLIA WATERSIDE AT OLD TOWN</t>
  </si>
  <si>
    <t>E INDIAN SCHOOL ROAD</t>
  </si>
  <si>
    <t>480-560-1312</t>
  </si>
  <si>
    <t>JOSH STEWART</t>
  </si>
  <si>
    <t>jstewart@mtbprojects.com</t>
  </si>
  <si>
    <t>THE HOMESTEAD AT LEHI CROSSING</t>
  </si>
  <si>
    <t>MCDOWELL &amp; SR 202</t>
  </si>
  <si>
    <t>480-390-2683</t>
  </si>
  <si>
    <t>TODD BURDA</t>
  </si>
  <si>
    <t>tburda@mtbprojects.com</t>
  </si>
  <si>
    <t>NEW GENERATION CONSTRUCTION GROUP INC</t>
  </si>
  <si>
    <t>RESIDENCE INN COTTON CENTER</t>
  </si>
  <si>
    <t xml:space="preserve"> S 44TH PL</t>
  </si>
  <si>
    <t>85040</t>
  </si>
  <si>
    <t>402-615-5375</t>
  </si>
  <si>
    <t>WILL SEMERAD</t>
  </si>
  <si>
    <t>will.semerad@ngcgroupinc.com</t>
  </si>
  <si>
    <t>MARRIOTT STUDIO RES PHOENIX</t>
  </si>
  <si>
    <t xml:space="preserve">W PINICLE PEAK RD </t>
  </si>
  <si>
    <t>602-739-6125</t>
  </si>
  <si>
    <t>JAMES BROWN</t>
  </si>
  <si>
    <t>jbrown@pathcc.com</t>
  </si>
  <si>
    <t>RADIUS CONTRACTING</t>
  </si>
  <si>
    <t>ARCADIA 32</t>
  </si>
  <si>
    <t>N 32ND ST</t>
  </si>
  <si>
    <t>480-598-0270</t>
  </si>
  <si>
    <t>STUART RAYBURN</t>
  </si>
  <si>
    <t>STU@RCCDESIGNGROUP.COM; bill@radiuscontractors.com</t>
  </si>
  <si>
    <t>ROBERT E PORTER CONSTRUCTION</t>
  </si>
  <si>
    <t>TEMPLE CHAI NEW CAMPUS DEVELOPMENT</t>
  </si>
  <si>
    <t>E BELL ROAD</t>
  </si>
  <si>
    <t>602-931-7585</t>
  </si>
  <si>
    <t>RYAN SNIEZEK</t>
  </si>
  <si>
    <t>ryan@robertporterconstruction.com</t>
  </si>
  <si>
    <t>FRIENDSHIP VILLAGE OF TEMPE PHASE 3</t>
  </si>
  <si>
    <t>E SOUTHERN AVE</t>
  </si>
  <si>
    <t>480-392-2374</t>
  </si>
  <si>
    <t>RAY GOMEZ</t>
  </si>
  <si>
    <t>ray.gomez@ryancompanies.com</t>
  </si>
  <si>
    <t>S.D. CRANE BUILDERS INC.</t>
  </si>
  <si>
    <t>HEADQUARTERS MULTI-USE BUILDING CAP MULTI PURPOSE</t>
  </si>
  <si>
    <t>N 7TH ST</t>
  </si>
  <si>
    <t>480-254-6787</t>
  </si>
  <si>
    <t>MIKE KUHL</t>
  </si>
  <si>
    <t>mkuhl@sdcranebuilders.com; cgardner@cap-az.com</t>
  </si>
  <si>
    <t>SDC INC</t>
  </si>
  <si>
    <t>PALO VERDE AT RIVERVIEW INDUSTRIAL PARK</t>
  </si>
  <si>
    <t>W WATKINS ST</t>
  </si>
  <si>
    <t>480-968-4755</t>
  </si>
  <si>
    <t>JEREMY GRAY</t>
  </si>
  <si>
    <t>jgray@willmeng.com</t>
  </si>
  <si>
    <t>SONORA WEST DEVELOPMENT CO</t>
  </si>
  <si>
    <t>56TH STEET AND CAMELBACK</t>
  </si>
  <si>
    <t>5716 / 5728</t>
  </si>
  <si>
    <t>E CAMELBACK</t>
  </si>
  <si>
    <t>602-667-3145</t>
  </si>
  <si>
    <t>STEVE WEBER</t>
  </si>
  <si>
    <t>steve@sonorawestdev.com</t>
  </si>
  <si>
    <t>STEVENS LEINWEBER CONSTRUCTION INC.</t>
  </si>
  <si>
    <t>QTS PARKING LOT (303 PHASE II )</t>
  </si>
  <si>
    <t xml:space="preserve">I   </t>
  </si>
  <si>
    <t>303 AND CAMELBACK</t>
  </si>
  <si>
    <t xml:space="preserve">MARICOPA </t>
  </si>
  <si>
    <t>TAD MENTZER</t>
  </si>
  <si>
    <t>tmentzer@stevensleinweber.com</t>
  </si>
  <si>
    <t xml:space="preserve">TB PENICK &amp; SONS INC </t>
  </si>
  <si>
    <t>THE HENRI APTS</t>
  </si>
  <si>
    <t>5TH AVE &amp; VAN BUREN</t>
  </si>
  <si>
    <t>619-806-6973</t>
  </si>
  <si>
    <t>JOHN PAEZ</t>
  </si>
  <si>
    <t>monicag@tbpenick.com; keenem@tbpenick.com; johnpa@tbpenick.com; armandoc@tbpenick.com</t>
  </si>
  <si>
    <t>MARAVILLA - PHASE 3</t>
  </si>
  <si>
    <t>E PRINCESS BLVD</t>
  </si>
  <si>
    <t>602-284-8687 / 602-657-0041</t>
  </si>
  <si>
    <t>ADNREW DOWD / GABE GALLAHER</t>
  </si>
  <si>
    <t>andy.dowd@whiting-turner.com;bret.sczruba@whiting-turner.com; trenton.beachy@whiting-turner.com</t>
  </si>
  <si>
    <t>CITY NORTH DUAL BRAND HOTEL</t>
  </si>
  <si>
    <t>E CROWN PL</t>
  </si>
  <si>
    <t>602-445-8900</t>
  </si>
  <si>
    <t>AUSTIN ALLEN/TRENTON BEACHY</t>
  </si>
  <si>
    <t>austin.allen@whiting-turner.com;trenton.beachy@whiting-turner.com</t>
  </si>
  <si>
    <t>TRUE NORTH BUILDERS, INC.</t>
  </si>
  <si>
    <t>KIMBRELL RESIDENCE LOT 2 ESPERANZA</t>
  </si>
  <si>
    <t>95TH STREET</t>
  </si>
  <si>
    <t>602-919-1337</t>
  </si>
  <si>
    <t>HAROLD BOLIN</t>
  </si>
  <si>
    <t>harold@truenorth.builders</t>
  </si>
  <si>
    <t>FIRE ROCK CONTRY CLUB - SPORTS COMPLEX</t>
  </si>
  <si>
    <t>E FIREROCK COUNTRY CLUB DRIVE</t>
  </si>
  <si>
    <t>FOUNTAIN HILLS</t>
  </si>
  <si>
    <t>480-322-3411</t>
  </si>
  <si>
    <t>BRUCE MILLER</t>
  </si>
  <si>
    <t>bruce@truenorth.builders</t>
  </si>
  <si>
    <t>US DEVELOPMENT</t>
  </si>
  <si>
    <t>38TH STREET INDUSTRIAL STORAGE</t>
  </si>
  <si>
    <t>S 38TH ST</t>
  </si>
  <si>
    <t>602-909-6100</t>
  </si>
  <si>
    <t>KURT KOERNER</t>
  </si>
  <si>
    <t>kurt@usdevcon.com; barryp@usdevcon.com</t>
  </si>
  <si>
    <t>VEQUITY CONSTRUCTION</t>
  </si>
  <si>
    <t>7-ELEVEN #25011</t>
  </si>
  <si>
    <t xml:space="preserve">E BELL RD </t>
  </si>
  <si>
    <t>85032</t>
  </si>
  <si>
    <t>623-512-7511</t>
  </si>
  <si>
    <t>LARRY PIATZ</t>
  </si>
  <si>
    <t>l.piatz@vequity.com</t>
  </si>
  <si>
    <t xml:space="preserve">W.E ONEIL </t>
  </si>
  <si>
    <t>TRG GLENDALE - SENIOR LIVING APARTMENTS</t>
  </si>
  <si>
    <t>W 27TH AVE</t>
  </si>
  <si>
    <t>85017</t>
  </si>
  <si>
    <t>970-692-4158</t>
  </si>
  <si>
    <t>DREW SULLIVAN</t>
  </si>
  <si>
    <t>dsullivan@weoneil.com</t>
  </si>
  <si>
    <t>WEITZ CONSTRUCTIONS</t>
  </si>
  <si>
    <t>IMDC AZP3</t>
  </si>
  <si>
    <t>E ROOOSEVELT</t>
  </si>
  <si>
    <t>707-802-8918</t>
  </si>
  <si>
    <t>NIXON RODRIGUEZ</t>
  </si>
  <si>
    <t>nixon.rodriguez@weitz.com; john.lapp@weitz.com; ethan.schneider@weitz.com; brian.lawrensin@weitz.com; chris.morrow@weitz.com</t>
  </si>
  <si>
    <t>WESPAC</t>
  </si>
  <si>
    <t>GOLD DUST APARTMENTS</t>
  </si>
  <si>
    <t>N SCOTTSDALE ROAD</t>
  </si>
  <si>
    <t>928-699-5124 / 602-350-6391</t>
  </si>
  <si>
    <t>JUSTIN LINDER / BLANE BROSA</t>
  </si>
  <si>
    <t>jlinder@wespacaz.com;bbrosa@wespacaz.com</t>
  </si>
  <si>
    <t>SPROUTS FARMER'S MARKET HEADQUARTERS</t>
  </si>
  <si>
    <t xml:space="preserve">56TH ST &amp; CITY NORTH DR </t>
  </si>
  <si>
    <t>602-859-9385</t>
  </si>
  <si>
    <t>TED SANCHEZ</t>
  </si>
  <si>
    <t>teds@wespacaz.com; wpace@wespacaz.com</t>
  </si>
  <si>
    <t>WOOD PARTNERS</t>
  </si>
  <si>
    <t>RESIDENCE AT GOLDWATER</t>
  </si>
  <si>
    <t>NW</t>
  </si>
  <si>
    <t>INDIAN SCHOOL &amp; GOLDWATER</t>
  </si>
  <si>
    <t>636-221-5368</t>
  </si>
  <si>
    <t>ROB BANNING/ JASON WILLIAMSON</t>
  </si>
  <si>
    <t>rob.banning@woodpartners.com; jason.williamsen@woodpartners.com</t>
  </si>
  <si>
    <t xml:space="preserve">WOOD PARTNERS   </t>
  </si>
  <si>
    <t>ALTA DOVE VALLEY</t>
  </si>
  <si>
    <t>W DOVE VALLEY RD</t>
  </si>
  <si>
    <t>85085</t>
  </si>
  <si>
    <t>602-561-1060</t>
  </si>
  <si>
    <t>ANTHONY  AGUNZO</t>
  </si>
  <si>
    <t>anthony.agunzo@woodpartners.com; shawn.harte@woodpartners.com</t>
  </si>
  <si>
    <t>WW CLYDE</t>
  </si>
  <si>
    <t>STACK PHOENIX 02A</t>
  </si>
  <si>
    <t>ROOSEVELT STREET &amp;  40TH STREET</t>
  </si>
  <si>
    <t>602-297-7411</t>
  </si>
  <si>
    <t>RICKY KRAH</t>
  </si>
  <si>
    <t xml:space="preserve">rkrah@holder.com; </t>
  </si>
  <si>
    <t>LOGAN CAMPBELL</t>
  </si>
  <si>
    <t>AP GLOBAL</t>
  </si>
  <si>
    <t>COBBLESTONE EXPRESS CAR WASH CENTER C65</t>
  </si>
  <si>
    <t>480-673-2299</t>
  </si>
  <si>
    <t>BRANT TANNER</t>
  </si>
  <si>
    <t>c.buchler@apglobalgc.com</t>
  </si>
  <si>
    <t>ARCO CONSTRUCTION COMPANY</t>
  </si>
  <si>
    <t>KTEC PHX</t>
  </si>
  <si>
    <t>16741</t>
  </si>
  <si>
    <t>W NORTHERN AVE</t>
  </si>
  <si>
    <t>GLENDALE</t>
  </si>
  <si>
    <t>85355</t>
  </si>
  <si>
    <t>314-536-3307</t>
  </si>
  <si>
    <t>DAN GRUMICH</t>
  </si>
  <si>
    <t>dgrumich@arco1.com; jvanderbeck@arco1.com</t>
  </si>
  <si>
    <t>AGC-ADOT CERTIFICATION</t>
  </si>
  <si>
    <t>ARMAYS</t>
  </si>
  <si>
    <t>ENCANTO STORAGE BUCKEYE</t>
  </si>
  <si>
    <t>N JACKRABBIT TRAIL &amp; W MONTE VISTA RD</t>
  </si>
  <si>
    <t>BUCKEYE</t>
  </si>
  <si>
    <t>602-980-8014</t>
  </si>
  <si>
    <t>JASON SLOCUM</t>
  </si>
  <si>
    <t>jslocum@armays.com</t>
  </si>
  <si>
    <t>WADDELL CROSSING</t>
  </si>
  <si>
    <t>COTTON LN &amp; WADDELL RD</t>
  </si>
  <si>
    <t>SURPRISE</t>
  </si>
  <si>
    <t>602-550-0738</t>
  </si>
  <si>
    <t>JOE ZOZAYA</t>
  </si>
  <si>
    <t>jzozaya@armays.com</t>
  </si>
  <si>
    <t>ATLAS BUILDING GROUP</t>
  </si>
  <si>
    <t>GOODYEAR WILLIS ROAD - SELF STORAGE</t>
  </si>
  <si>
    <t>W WILLIS RD</t>
  </si>
  <si>
    <t>GOODYEAR</t>
  </si>
  <si>
    <t>336-705-8090</t>
  </si>
  <si>
    <t>ALEX ROMINE</t>
  </si>
  <si>
    <t>kfeldman@atlasbuilds.com</t>
  </si>
  <si>
    <t>BECK BUILD</t>
  </si>
  <si>
    <t>CARING FOR ANGELS</t>
  </si>
  <si>
    <t>W CACTUS RD</t>
  </si>
  <si>
    <t>PEORIA</t>
  </si>
  <si>
    <t>BENSON CONSTRUCTION</t>
  </si>
  <si>
    <t>LUXE LOCKER</t>
  </si>
  <si>
    <t>W EL SOL BLVD</t>
  </si>
  <si>
    <t>480-369-5342</t>
  </si>
  <si>
    <t>RON BLONDHEIM</t>
  </si>
  <si>
    <t>ronb@benson-inc.com</t>
  </si>
  <si>
    <t>BIG-D CONSTRUCTION SOUTHWEST</t>
  </si>
  <si>
    <t>MARBELLA RANCH</t>
  </si>
  <si>
    <t>N EL MIRAGE RD</t>
  </si>
  <si>
    <t>405-410-2898</t>
  </si>
  <si>
    <t>DANIEL JIMISON</t>
  </si>
  <si>
    <t>daniel.jimison@big-d.com; bill.vance@big-d.com</t>
  </si>
  <si>
    <t>BLEUWAVE</t>
  </si>
  <si>
    <t>AFCU- GLENDALE</t>
  </si>
  <si>
    <t>83RD AVE</t>
  </si>
  <si>
    <t>218-251-8826</t>
  </si>
  <si>
    <t>J.J. LEVENSKE</t>
  </si>
  <si>
    <t>jj@bleuwave.com</t>
  </si>
  <si>
    <t>BROOKFIELD PROPERTIES</t>
  </si>
  <si>
    <t>ALAMAR PHASE 4</t>
  </si>
  <si>
    <t>ALAMAR BLVD &amp; 126TH AVE</t>
  </si>
  <si>
    <t>AVONDALE</t>
  </si>
  <si>
    <t>480-540-1826</t>
  </si>
  <si>
    <t xml:space="preserve">BRYAN </t>
  </si>
  <si>
    <t>bryan.brown@brookfieldrp.com; cliff.campbell@brookfieldrp.com; kevin.halliburton@brookfieldrp.com; john.odowd@brookfieldrp.com; connie.albano@brookfieldrp.com</t>
  </si>
  <si>
    <t>FLATS @ BALLPARK VILLAGE</t>
  </si>
  <si>
    <t>S BULLARD AVE</t>
  </si>
  <si>
    <t>623-326-2285</t>
  </si>
  <si>
    <t>WILL GULLETT</t>
  </si>
  <si>
    <t>will.gullett@catamountinc.com; jennifer.seibert@catamountinc.com</t>
  </si>
  <si>
    <t>WEST-MEC SOUTHEAST CAMPUS</t>
  </si>
  <si>
    <t xml:space="preserve">N 93RD AVE </t>
  </si>
  <si>
    <t>602-410-6524</t>
  </si>
  <si>
    <t>BRENNAN PARKER</t>
  </si>
  <si>
    <t>brennanparker@chasse.us</t>
  </si>
  <si>
    <t>RESD MIT</t>
  </si>
  <si>
    <t>S 55TH AVE</t>
  </si>
  <si>
    <t>480-490-2114</t>
  </si>
  <si>
    <t>TOM GEARY</t>
  </si>
  <si>
    <t>tgeary@chasse.us; jvanderhoff@chasse.us</t>
  </si>
  <si>
    <t>TOLLESON AQUATIC CENTER</t>
  </si>
  <si>
    <t>W VAN BUREN ST</t>
  </si>
  <si>
    <t>TOLLESON</t>
  </si>
  <si>
    <t>520-247-3607</t>
  </si>
  <si>
    <t>ANDRES CASTEL DE ORO</t>
  </si>
  <si>
    <t>acasteldeoro@chasse.us; dkelley@chasse.us; jgolden@chasse.us; mfinch@chasse.us; mhoward@chasse.us</t>
  </si>
  <si>
    <t>CLAYCO</t>
  </si>
  <si>
    <t>STACK AVONDALE PEARL</t>
  </si>
  <si>
    <t>W LOWER BUCKEYE RD &amp; LITCHFIELD RD</t>
  </si>
  <si>
    <t>480-290-1934</t>
  </si>
  <si>
    <t>MIKE JUDGES</t>
  </si>
  <si>
    <t>floresm@claycorp.com; judgesm@claycorp.com; barnsb@claycorp.com; carinoz@claycorp.com; ventural@claycorp.com</t>
  </si>
  <si>
    <t xml:space="preserve">CLUNE CONSTRUCTIION </t>
  </si>
  <si>
    <t>U-HAUL LOWER BUCKEYE &amp; 59TH AVE</t>
  </si>
  <si>
    <t xml:space="preserve">S 59TH AVE </t>
  </si>
  <si>
    <t xml:space="preserve">CORE CONSTRUCTION  </t>
  </si>
  <si>
    <t>LAVEEN SCHOOL NO. 10</t>
  </si>
  <si>
    <t xml:space="preserve">S 57TH AVE </t>
  </si>
  <si>
    <t>LAVEEN VILLAGE</t>
  </si>
  <si>
    <t>480-327-8458</t>
  </si>
  <si>
    <t>JAIRO SARAGOZA</t>
  </si>
  <si>
    <t>jairosaragoza@coreconstruction.com; Bengeraty@coreconstruction.com; Mattmetivier@coreconstruction.com; kennygill@coreconstruction.com</t>
  </si>
  <si>
    <t>CITY OF TUCSON - SOUTHSIDE PUBLIC SAFETY COMPLEX</t>
  </si>
  <si>
    <t>S PARK AVE</t>
  </si>
  <si>
    <t>TUCSON</t>
  </si>
  <si>
    <t>520-991-1990</t>
  </si>
  <si>
    <t>JOSEPH RIESGO</t>
  </si>
  <si>
    <t>josephriesgo@coreconstruction.com</t>
  </si>
  <si>
    <t>CAPSTONE APARTMENTS</t>
  </si>
  <si>
    <t>E SPEEDWAY BLVD</t>
  </si>
  <si>
    <t>623-432-4295</t>
  </si>
  <si>
    <t>DAN GARRIPOLI</t>
  </si>
  <si>
    <t>dangarripoli@coreconstruction.com; franciscogarduno@coreconstruction.com; rossvalenzuela@coreconstruction.com</t>
  </si>
  <si>
    <t>DAYS EXCAVATING INC</t>
  </si>
  <si>
    <t>SAIA TRUCKING FREIGHT FACILITY</t>
  </si>
  <si>
    <t>S SWAN ROAD</t>
  </si>
  <si>
    <t>480-971-3264</t>
  </si>
  <si>
    <t>EVAN ROY</t>
  </si>
  <si>
    <t>eroy@frampton.construction; zhollifield@frampton.construction</t>
  </si>
  <si>
    <t>DESERT TRUSS</t>
  </si>
  <si>
    <t>DESERT TRUSS WEST</t>
  </si>
  <si>
    <t xml:space="preserve">N DYSART RD </t>
  </si>
  <si>
    <t>EL MIRAGE</t>
  </si>
  <si>
    <t>602-402-7238</t>
  </si>
  <si>
    <t>JIM PENROD</t>
  </si>
  <si>
    <t>jim@deserttruss.com</t>
  </si>
  <si>
    <t>DOUBLE AA BUILDERS LTD</t>
  </si>
  <si>
    <t>59TH AVE &amp; ELLIOT - SELF STORAGE</t>
  </si>
  <si>
    <t>602-284-8761</t>
  </si>
  <si>
    <t>MARK AUSTIN</t>
  </si>
  <si>
    <t>marka@doubleaabuilders.com</t>
  </si>
  <si>
    <t>GUARDIAN SELF STORAGE</t>
  </si>
  <si>
    <t>W GLENDALE AVE</t>
  </si>
  <si>
    <t>602-320-6552</t>
  </si>
  <si>
    <t>DAREN</t>
  </si>
  <si>
    <t>dennis@doubleaabuilders.com; daren@doubleaabuilders.com</t>
  </si>
  <si>
    <t>GOODYEAR SELF STORAGE</t>
  </si>
  <si>
    <t>CITRUS &amp; INDIAN SCHOOL RD</t>
  </si>
  <si>
    <t>daren@doubleaabuilders.com</t>
  </si>
  <si>
    <t>EMJ CONSTRUCTION, LLC</t>
  </si>
  <si>
    <t>BAUTISTA APARTMENTS</t>
  </si>
  <si>
    <t>S LINDA AVE</t>
  </si>
  <si>
    <t>214-762-5340</t>
  </si>
  <si>
    <t>RYAN WILLIAMS</t>
  </si>
  <si>
    <t>ryan.williams@emjcorp.com; stuart.bussert@emjcorp.com; todd.strawdinger@emjcorp.com</t>
  </si>
  <si>
    <t>BLUE POLYMER</t>
  </si>
  <si>
    <t>S TURNER RD</t>
  </si>
  <si>
    <t>480-957-1413</t>
  </si>
  <si>
    <t>MARIO FATINO</t>
  </si>
  <si>
    <t>mfatino@fclbuilders.com</t>
  </si>
  <si>
    <t>WHITE TANK BUSINESS PARK (BETHANY BAY)</t>
  </si>
  <si>
    <t>16830</t>
  </si>
  <si>
    <t>N BETHANY HOME RD</t>
  </si>
  <si>
    <t>AUSTIN MICELI</t>
  </si>
  <si>
    <t>amiceli@fclbuilders.com; rguerrero@fclbuilders.com</t>
  </si>
  <si>
    <t>PRITZKER GRAND 45 GATEWAY BUILDING 2</t>
  </si>
  <si>
    <t>N 45TH AVENUE</t>
  </si>
  <si>
    <t>480-343-2495</t>
  </si>
  <si>
    <t>SCOTT MCLEOD</t>
  </si>
  <si>
    <t>smcleod@fclbuilders.com</t>
  </si>
  <si>
    <t xml:space="preserve">G AND J DEVELOPMENT </t>
  </si>
  <si>
    <t>THE ALEXANDER APARTMENTS</t>
  </si>
  <si>
    <t>W AERIA DR &amp; N THORNYDALE DR</t>
  </si>
  <si>
    <t>MARANA</t>
  </si>
  <si>
    <t>sprice@gjdev.com</t>
  </si>
  <si>
    <t>GANEM CONSTRUCTION</t>
  </si>
  <si>
    <t>PACIFIC TEK</t>
  </si>
  <si>
    <t>W CAMBRIDGE AVE</t>
  </si>
  <si>
    <t>602-810-1334</t>
  </si>
  <si>
    <t>ERIC WESTER</t>
  </si>
  <si>
    <t>eric.wester@ganemcompanies.com; miguel.flores@ganemcompanies.com</t>
  </si>
  <si>
    <t>ALIGNED DC PHX07-2</t>
  </si>
  <si>
    <t>N REEMS RD</t>
  </si>
  <si>
    <t>WADDELL</t>
  </si>
  <si>
    <t>206-730-3317</t>
  </si>
  <si>
    <t>SHANE WELLER</t>
  </si>
  <si>
    <t>shane.weller@lewisbuilds.com</t>
  </si>
  <si>
    <t>GREYSTAR</t>
  </si>
  <si>
    <t>ALBUM SURPRISE</t>
  </si>
  <si>
    <t>N PARKVIEW PL</t>
  </si>
  <si>
    <t>480-404-3472</t>
  </si>
  <si>
    <t>TOM MALAFA</t>
  </si>
  <si>
    <t>tom.malafa@greystar.com</t>
  </si>
  <si>
    <t>MARLOWE LOT 1 &amp; 3</t>
  </si>
  <si>
    <t>W HATCHER ROAD</t>
  </si>
  <si>
    <t>480-797-8929</t>
  </si>
  <si>
    <t>MICHAEL SCHELLER</t>
  </si>
  <si>
    <t>esteban.romero@greystar.com; luis.guzman@greystar.com; acahuiche@greystar.com; karina.nelson@greystar.com; fernando.rodriguez@greystar.com</t>
  </si>
  <si>
    <t xml:space="preserve">GYS GENERAL CONTRACTING </t>
  </si>
  <si>
    <t>BROADWAY GUARDIAN STORAGE</t>
  </si>
  <si>
    <t>W BROADWAY RD</t>
  </si>
  <si>
    <t>913-486-6292</t>
  </si>
  <si>
    <t>OTTO PILLATZKE</t>
  </si>
  <si>
    <t>otto.p@gysgeneralcontracting.com; weston.b@gysgeneralcontracting.com; mike.m@gysgeneralcontracting.com; dennis.r@gysgeneralcontracting.com</t>
  </si>
  <si>
    <t xml:space="preserve">STREAM DATA CENTER PHOENIX 2 </t>
  </si>
  <si>
    <t>602-725-6633</t>
  </si>
  <si>
    <t>CARLOS COLON</t>
  </si>
  <si>
    <t>ccolon@holder.com; dvallee@holder.com; rwood@holder.com; kfernandez@holder.com; ahydle@holder.com</t>
  </si>
  <si>
    <t>KRAUS-ANDERSON CONSTRUCTION</t>
  </si>
  <si>
    <t>ASAP CLINIC &amp; ASC</t>
  </si>
  <si>
    <t>N 95TH AVE</t>
  </si>
  <si>
    <t>602-686-9891</t>
  </si>
  <si>
    <t>DANIEL GALDEAN</t>
  </si>
  <si>
    <t>daniel.galdean@krausanderson.com</t>
  </si>
  <si>
    <t>LAKIN IV VRI</t>
  </si>
  <si>
    <t>W MC-85</t>
  </si>
  <si>
    <t>480-490-9660</t>
  </si>
  <si>
    <t>LANDON LONGFIELD</t>
  </si>
  <si>
    <t>landon.longfield@laytonconstruction.com; vanessa.sanchez@laytonconstruction.com; bhoffman@laytonconstruction.com</t>
  </si>
  <si>
    <t>LAGERHOUSE + TRAILER EXPANSION</t>
  </si>
  <si>
    <t>801-910-1073</t>
  </si>
  <si>
    <t>DARRIN GROVE</t>
  </si>
  <si>
    <t>darrin.grove@laytonconstruction.com</t>
  </si>
  <si>
    <t>PARK ALGODON BUILDINGS B &amp; C</t>
  </si>
  <si>
    <t>LOOP 101 &amp; W INDIAN SCHOOL ROAD</t>
  </si>
  <si>
    <t>602-568-4992</t>
  </si>
  <si>
    <t>JASON JONES</t>
  </si>
  <si>
    <t>jasonj@lgedesignbuild.com; mattd@lgedesignbuild.com; joshuaw@lgedesignbuild.com; jesslin@lgedesignbuild.com</t>
  </si>
  <si>
    <t>HARBOR PARK 107</t>
  </si>
  <si>
    <t>N GLEN HARBOR BLVD</t>
  </si>
  <si>
    <t>jasonj@lgedesignbuild.com</t>
  </si>
  <si>
    <t>INTERNATIONAL FURNITURE DIRECT</t>
  </si>
  <si>
    <t>N 73RD AVE</t>
  </si>
  <si>
    <t>LOBERG CONSTRUCTION</t>
  </si>
  <si>
    <t>HIPPO VET - PEORIA</t>
  </si>
  <si>
    <t>23261</t>
  </si>
  <si>
    <t>N LAKE PLEASANT PKWY</t>
  </si>
  <si>
    <t>85383</t>
  </si>
  <si>
    <t xml:space="preserve">MARKHAM </t>
  </si>
  <si>
    <t>DISTRICT AT CRYSTAL SPRINGS</t>
  </si>
  <si>
    <t>MCDOWELL &amp; AVONDALE</t>
  </si>
  <si>
    <t>480-392-9506</t>
  </si>
  <si>
    <t>STEVEN BOWLDS</t>
  </si>
  <si>
    <t>sbowlds@markhamcontracting.com</t>
  </si>
  <si>
    <t>MCMANUS CONSTRUCTION</t>
  </si>
  <si>
    <t>ARIZONA ROYAL DENTAL CLINIC/OFFICE/SITEWORK</t>
  </si>
  <si>
    <t>602-790-8815</t>
  </si>
  <si>
    <t>WADE FAIRBANKS</t>
  </si>
  <si>
    <t xml:space="preserve">Wade@mcmanusconstruction.net </t>
  </si>
  <si>
    <t>OVERLAND CONSTRUCTION</t>
  </si>
  <si>
    <t>AVONDALE COMMONS</t>
  </si>
  <si>
    <t>602-717-8492</t>
  </si>
  <si>
    <t>GEORGE CLARK</t>
  </si>
  <si>
    <t>rickl@overlandcorp.com; patrickw@overlandcorp.com; georgec@overlandcorp.com</t>
  </si>
  <si>
    <t>PEORIA GATEWAY</t>
  </si>
  <si>
    <t>W GRAND AVE</t>
  </si>
  <si>
    <t>Georgec@overlandcorp.com</t>
  </si>
  <si>
    <t>PACIFIC GENERAL CONTRACTORS BUILDERS</t>
  </si>
  <si>
    <t>AUTOZONE GOODYEAR</t>
  </si>
  <si>
    <t>VAN BUREN &amp; ESTRELLA</t>
  </si>
  <si>
    <t>909-634-4251</t>
  </si>
  <si>
    <t>KARIM LAKKEES</t>
  </si>
  <si>
    <t>karim@pgcbuilders.com</t>
  </si>
  <si>
    <t xml:space="preserve">PEGASUS CONSTRUCION </t>
  </si>
  <si>
    <t xml:space="preserve">R&amp;L CARRIERS </t>
  </si>
  <si>
    <t>S 41ST AVE</t>
  </si>
  <si>
    <t>602-400-1318</t>
  </si>
  <si>
    <t>RAY BASCOM</t>
  </si>
  <si>
    <t>ray@azpci.com</t>
  </si>
  <si>
    <t>PRIMUS BUILDERS</t>
  </si>
  <si>
    <t>KROGER PRODUCE EXPANSION</t>
  </si>
  <si>
    <t>S 99TH AVE</t>
  </si>
  <si>
    <t>470-817-3580</t>
  </si>
  <si>
    <t>DARRELL JEFF</t>
  </si>
  <si>
    <t>djeff@primusbuilders.com; gjacobs@primusbuilders.com</t>
  </si>
  <si>
    <t xml:space="preserve"> 'N.D.C.</t>
  </si>
  <si>
    <t>RASCH CONSTRUCTON INC</t>
  </si>
  <si>
    <t>BASS PRO SHOP - TUSCON</t>
  </si>
  <si>
    <t>E TUCSON MARKETPLACE BLVD</t>
  </si>
  <si>
    <t>480-400-7303</t>
  </si>
  <si>
    <t>JOHN DOYLE</t>
  </si>
  <si>
    <t>john.doyle@emjcorp.com; alex.robles@emjcorp.com</t>
  </si>
  <si>
    <t>REDPOINT CONTRACTING</t>
  </si>
  <si>
    <t>PHX80 CAMPUS- PHX81/ PHX82</t>
  </si>
  <si>
    <t>W OLIVE AVE &amp; N DYSART RD</t>
  </si>
  <si>
    <t>480-220-9654</t>
  </si>
  <si>
    <t>Jesse Nekula</t>
  </si>
  <si>
    <t>jesse.nekula@redpointcontracting.com; RFinnegan@henselphelps.com; jlarson@henselphelps.com; bbeauton@henselphelps.com; nschnabel@henselphelps.com; Lislas@henselphelps.com; twilcox@henselphelps.com</t>
  </si>
  <si>
    <t>RELIANCE COMMERCIAL CONSTRUCTION</t>
  </si>
  <si>
    <t>99 HOLDINGS</t>
  </si>
  <si>
    <t>N99TH AVE</t>
  </si>
  <si>
    <t>623-499-7578</t>
  </si>
  <si>
    <t>DANE HEWITT</t>
  </si>
  <si>
    <t>dane@rcc-az.com</t>
  </si>
  <si>
    <t xml:space="preserve">RENAISSANCE </t>
  </si>
  <si>
    <t>91ST &amp; CARDINAL RETAIL</t>
  </si>
  <si>
    <t>91ST AVE &amp; CARDINAL WAY</t>
  </si>
  <si>
    <t>602-739-2248</t>
  </si>
  <si>
    <t>ERIK STRUSS</t>
  </si>
  <si>
    <t>estruss@renconco.com; sbahena@renconco.com</t>
  </si>
  <si>
    <t>RICHARD &amp; RICHARD CONSTRUCTION</t>
  </si>
  <si>
    <t>TEMPO DUPLEX APARTMENTS</t>
  </si>
  <si>
    <t>N 60TH AVE</t>
  </si>
  <si>
    <t>760-566-4707</t>
  </si>
  <si>
    <t>MIKE WALTERS</t>
  </si>
  <si>
    <t>mwalters@rrconstruction.com</t>
  </si>
  <si>
    <t>RICOR</t>
  </si>
  <si>
    <t>SURPRISE OPERATION CENTER</t>
  </si>
  <si>
    <t>GRAND AVE &amp; DEER VALLEY RD</t>
  </si>
  <si>
    <t xml:space="preserve">SURPRISE </t>
  </si>
  <si>
    <t>85387</t>
  </si>
  <si>
    <t>561-897-3993</t>
  </si>
  <si>
    <t>NICHOLAS MALAVE</t>
  </si>
  <si>
    <t>azsuper@summitconstructionlv.com</t>
  </si>
  <si>
    <t>ROERS GENERAL CONTRACTING</t>
  </si>
  <si>
    <t>CALYPSO @ BALLPARK VILLAGE</t>
  </si>
  <si>
    <t>ESTRELLA PKWY &amp; YUMA ROAD</t>
  </si>
  <si>
    <t>602-377-6500</t>
  </si>
  <si>
    <t>DAN BROWN</t>
  </si>
  <si>
    <t>dan.brown@roerscompanies.com; danial.peddy@roerscompanies.com</t>
  </si>
  <si>
    <t xml:space="preserve">RYAN COMPANIES   </t>
  </si>
  <si>
    <t>BANNER VERRADO HEALTH CENTER PLUS</t>
  </si>
  <si>
    <t>W MARKET ST</t>
  </si>
  <si>
    <t>DARIN KRIER</t>
  </si>
  <si>
    <t>480-662-1338</t>
  </si>
  <si>
    <t>darin.krier@ryancompanies.com; don.engquist@ryancompanies.com</t>
  </si>
  <si>
    <t>SANDSTORM CONSTRUCTION</t>
  </si>
  <si>
    <t xml:space="preserve">TANGER OUTLETS WESTGATE - OUT PARCELS </t>
  </si>
  <si>
    <t>480-747-3110</t>
  </si>
  <si>
    <t>RODRIGO FRANCO</t>
  </si>
  <si>
    <t>rodrigo@sandstormconstructionaz.com; aaron@sandstormconstructionaz.com</t>
  </si>
  <si>
    <t>SAUERS LOPEZ CONSTRUCTION INC</t>
  </si>
  <si>
    <t>KEN GRAFF KIA AVONDALE</t>
  </si>
  <si>
    <t>W MCDOWELL RD</t>
  </si>
  <si>
    <t>949-939-5297</t>
  </si>
  <si>
    <t>MIKE FITZSIMMONS</t>
  </si>
  <si>
    <t>mike@slconst.com; brandon@slconst.com</t>
  </si>
  <si>
    <t>SOUTHWEST COMMERCIAL BUILDERS</t>
  </si>
  <si>
    <t>BALLPARK RETAIL SHOPS</t>
  </si>
  <si>
    <t>W YUMA RD</t>
  </si>
  <si>
    <t>480-815-7997</t>
  </si>
  <si>
    <t>BARRY ROZEBOOM</t>
  </si>
  <si>
    <t>barry@sigmasouthwest.com</t>
  </si>
  <si>
    <t xml:space="preserve">STRAIGHT ARROW CONSTRUCTION </t>
  </si>
  <si>
    <t>CASTLE STEEL</t>
  </si>
  <si>
    <t>N EL MIRAGE RD &amp; W OLIVE AVE</t>
  </si>
  <si>
    <t>480-709-8582</t>
  </si>
  <si>
    <t>SCOT SCHRUM</t>
  </si>
  <si>
    <t>scot@straightarrow.biz</t>
  </si>
  <si>
    <t>STRUCTR GROUP LLC</t>
  </si>
  <si>
    <t xml:space="preserve">PREMIER UNDERGROUND STORAGE </t>
  </si>
  <si>
    <t>E RILEY &amp; N ELISEO C. FELIX JR. WAY</t>
  </si>
  <si>
    <t>602-770-0886</t>
  </si>
  <si>
    <t>TED MANGINO</t>
  </si>
  <si>
    <t>ted@realtyassetadvisors.com</t>
  </si>
  <si>
    <t>SUB 4 DEVELOPMENT COMPANY</t>
  </si>
  <si>
    <t>REVOLVE @ BALLPARK VILLAGE</t>
  </si>
  <si>
    <t xml:space="preserve">W LOWER BUCKEYE </t>
  </si>
  <si>
    <t>602-370-2341</t>
  </si>
  <si>
    <t>SEAN CAREY</t>
  </si>
  <si>
    <t>mark.o@sub4dev.com; scott.w@sub4dev.com; chris.sanger@sub4dev.com; charles.v@sub4dev.com</t>
  </si>
  <si>
    <t>THE DWELLING COMPANIES</t>
  </si>
  <si>
    <t>LIBERTY @ ESTRELLA FALLS</t>
  </si>
  <si>
    <t>153RD &amp; VIRGINIA AVE</t>
  </si>
  <si>
    <t>480-687-2706</t>
  </si>
  <si>
    <t>RON NEWMAN</t>
  </si>
  <si>
    <t>ron.newman@thedwellingcompanies.com</t>
  </si>
  <si>
    <t>TLW CONSTRUCTION</t>
  </si>
  <si>
    <t>EL MIRAGE RV &amp; STORAGE</t>
  </si>
  <si>
    <t>602-803-4810</t>
  </si>
  <si>
    <t>BRYCE PFAFF</t>
  </si>
  <si>
    <t>bryce@tlwconstruction.com</t>
  </si>
  <si>
    <t>TOFEL DENT</t>
  </si>
  <si>
    <t>LARIAT VILLAGE</t>
  </si>
  <si>
    <t>E IRVINGTON RD</t>
  </si>
  <si>
    <t>520-989-1618</t>
  </si>
  <si>
    <t>DON VIGIL</t>
  </si>
  <si>
    <t>dvigil@tofeldent.com; rrichards@tofeldent.com; nwalker@tofeldent.com; ccobos@tofeldent.com</t>
  </si>
  <si>
    <t>DESERT DOVE APARTMENTS</t>
  </si>
  <si>
    <t>S MIDVALE PARK RD</t>
  </si>
  <si>
    <t>520-540-4604</t>
  </si>
  <si>
    <t>CRAIG REYNOLDS</t>
  </si>
  <si>
    <t>creynolds@Tofeldent.com; cnavarro@tofeldent.com; jnoller@tofeldent.com; dturner@tofeldent.com; tcahanes@Tofeldent.com</t>
  </si>
  <si>
    <t>WD BUILDERS</t>
  </si>
  <si>
    <t>THE VERGE @ BALLPARK</t>
  </si>
  <si>
    <t>W LOWER BUCKEYE &amp; BULLARD AVE</t>
  </si>
  <si>
    <t>507-844-4199</t>
  </si>
  <si>
    <t>CHAD ANDRIST</t>
  </si>
  <si>
    <t>chadandrist@weisbuilders.com; chadboehme@weisbuilders.com</t>
  </si>
  <si>
    <t>SYDNEY VILLAGE</t>
  </si>
  <si>
    <t>S APACHE RD &amp; YUMA RD</t>
  </si>
  <si>
    <t>480-206-2910</t>
  </si>
  <si>
    <t>480-490-7324</t>
  </si>
  <si>
    <t>ART MAESE</t>
  </si>
  <si>
    <t>artmaese@weisbuilders.com</t>
  </si>
  <si>
    <t>ARTERRA</t>
  </si>
  <si>
    <t>85388</t>
  </si>
  <si>
    <t>623-866-3127/ 303-877-6526</t>
  </si>
  <si>
    <t>MARK PERMENTER</t>
  </si>
  <si>
    <t>markpermenter@weisbuilders.com; mariolopez@weisbuilders.com; parkerandrist@weisbuilders.com; jaredclawiter@weisbuilders.com; petecamis@weisbuilders.com; raullopez@weisbuilders.com</t>
  </si>
  <si>
    <t>ORCHARD SPRINGS SENIOR APARTMENTS</t>
  </si>
  <si>
    <t>67 FLATS FAMILY APARTMENTS &amp; JUNIPER SQUARE</t>
  </si>
  <si>
    <t>67TH AVE &amp; MARYLAND AVE</t>
  </si>
  <si>
    <t>320-291-5774</t>
  </si>
  <si>
    <t>CASEY WILLIAMS</t>
  </si>
  <si>
    <t>caseywilliams@weisbuilders.com; raullopez@weisbuilders.com</t>
  </si>
  <si>
    <t>FLEET MAINTENANCE FACILITY</t>
  </si>
  <si>
    <t>N 79TH AVENUE</t>
  </si>
  <si>
    <t>480-978-2242</t>
  </si>
  <si>
    <t>CHAD MULLENAX</t>
  </si>
  <si>
    <t>chad.mullenax@weitz.com</t>
  </si>
  <si>
    <t>WILLMENG</t>
  </si>
  <si>
    <t>AVONDALE FIRE #171</t>
  </si>
  <si>
    <t>E WESTERN AVE</t>
  </si>
  <si>
    <t>602-527-6351</t>
  </si>
  <si>
    <t>MARK RUTHRAUFF</t>
  </si>
  <si>
    <t>mruthrauff@willmeng.com; kvekaria@willmeng.com; ddesai@willmeng.com</t>
  </si>
  <si>
    <t>PAPAGO COMMERCE CENTER - BLDG A &amp; BLDG B</t>
  </si>
  <si>
    <t>N 47TH AVE</t>
  </si>
  <si>
    <t>480-904-4716</t>
  </si>
  <si>
    <t>LARRY ANDERSON</t>
  </si>
  <si>
    <t>landerson@willmeng.com</t>
  </si>
  <si>
    <t>Derek Pooler</t>
  </si>
  <si>
    <t>Aspire II</t>
  </si>
  <si>
    <t>N TYNDALL AVE</t>
  </si>
  <si>
    <t>RED</t>
  </si>
  <si>
    <t>214-952-2821</t>
  </si>
  <si>
    <t>FRED TURK</t>
  </si>
  <si>
    <t>AGC-ADOT Certification, OSHA 30, First Aid/CPR, Purple Heart, 31O Comp Dust</t>
  </si>
  <si>
    <t>Chief Environmental Advisor</t>
  </si>
  <si>
    <t>Cell: 480-489-6368</t>
  </si>
  <si>
    <t>Email: mmoore@desertservices.net</t>
  </si>
  <si>
    <t>zJC Derek Pooler</t>
  </si>
  <si>
    <t>ASPIRE TUCSON 2</t>
  </si>
  <si>
    <t>N PARK AVE</t>
  </si>
  <si>
    <t>85719</t>
  </si>
  <si>
    <t>520-269-8386</t>
  </si>
  <si>
    <t>RYON EDWARDS</t>
  </si>
  <si>
    <t>Don Dimbatt</t>
  </si>
  <si>
    <t>MILLENIUM PARK CENTRAL</t>
  </si>
  <si>
    <t>W CATALINA DR</t>
  </si>
  <si>
    <t>85013</t>
  </si>
  <si>
    <t>805-551-9990</t>
  </si>
  <si>
    <t>STEVE COLE</t>
  </si>
  <si>
    <t>STEVE.COLE@TDC-PROPERTIES.COM</t>
  </si>
  <si>
    <t>Don@desertservices.net</t>
  </si>
  <si>
    <t>A5 DESIGN &amp; CONSTRUCTION</t>
  </si>
  <si>
    <t>U-HAUL FACILITY 828073</t>
  </si>
  <si>
    <t>E BENSON HWY</t>
  </si>
  <si>
    <t>520-578-4283</t>
  </si>
  <si>
    <t>OCTAVIO SANTAMARIA</t>
  </si>
  <si>
    <t>Erosion Control Inspector &amp; Field Operations</t>
  </si>
  <si>
    <t>Cell: 480-226-4909</t>
  </si>
  <si>
    <t>Email: bart@desertservices.net</t>
  </si>
  <si>
    <t>James Leonard</t>
  </si>
  <si>
    <t>ABC ASPHALT LLC</t>
  </si>
  <si>
    <t>WE BIX AUTO SITE</t>
  </si>
  <si>
    <t>2 ACRES</t>
  </si>
  <si>
    <t>W OLIVE AVE</t>
  </si>
  <si>
    <t>602-393-8236</t>
  </si>
  <si>
    <t>HAWZIN ALI</t>
  </si>
  <si>
    <t>hawzinali@gmail.com</t>
  </si>
  <si>
    <t>AGC-ADOT Certification, OSHA 10</t>
  </si>
  <si>
    <t>EMAIL: James@desertservices.net</t>
  </si>
  <si>
    <t>Jeff Pilkington</t>
  </si>
  <si>
    <t>ACE ASPHALT</t>
  </si>
  <si>
    <t>AVIATION PERFORMANCE</t>
  </si>
  <si>
    <t>S AVERY CIRCLE</t>
  </si>
  <si>
    <t>602-304-4053</t>
  </si>
  <si>
    <t>KEVIN GASTON</t>
  </si>
  <si>
    <t>HOME 2 SUITES AVONDALE</t>
  </si>
  <si>
    <t>85392</t>
  </si>
  <si>
    <t>602-920-4643</t>
  </si>
  <si>
    <t>TRAVIS ELMER</t>
  </si>
  <si>
    <t>AGC-ADOT Certification, OSHA 30, 31O Comp Dust</t>
  </si>
  <si>
    <t>Erosion Control Inspector &amp; Business Development</t>
  </si>
  <si>
    <t>Cell: 480-234-7583</t>
  </si>
  <si>
    <t>Email: jpilkington@desertservices.net</t>
  </si>
  <si>
    <t>Bart Ellis</t>
  </si>
  <si>
    <t>ADOLFSON &amp; PETERSON</t>
  </si>
  <si>
    <t xml:space="preserve">AVANTI SENIOR LIVING FACILITY </t>
  </si>
  <si>
    <t>480-440-3623</t>
  </si>
  <si>
    <t>DON ACORD</t>
  </si>
  <si>
    <t xml:space="preserve">ABRAZO COMMUNITY HEALTH SURPRISE </t>
  </si>
  <si>
    <t>W BELL RD</t>
  </si>
  <si>
    <t>85374</t>
  </si>
  <si>
    <t>ST JOSEPHS MICRO HOSPITAL</t>
  </si>
  <si>
    <t>S WILMOT RD</t>
  </si>
  <si>
    <t>CANYON STATE VET SPECIALIST</t>
  </si>
  <si>
    <t>W GOLDEN LANE</t>
  </si>
  <si>
    <t>480-407-8975</t>
  </si>
  <si>
    <t>PAUL ROSE</t>
  </si>
  <si>
    <t>CLUBS ON GRAND</t>
  </si>
  <si>
    <t>W Grand Ave.</t>
  </si>
  <si>
    <t>Sun City</t>
  </si>
  <si>
    <t>480-739-8468</t>
  </si>
  <si>
    <t>Kelly Salvione</t>
  </si>
  <si>
    <t>AMS AVONDALE</t>
  </si>
  <si>
    <t>W BUCKEYE RD</t>
  </si>
  <si>
    <t>602-206-1909</t>
  </si>
  <si>
    <t>Zac Byard</t>
  </si>
  <si>
    <t>CANDEO SCHOOLS-PHASE 1</t>
  </si>
  <si>
    <t>E ASHLER HILLS DRIVE</t>
  </si>
  <si>
    <t>85266</t>
  </si>
  <si>
    <t>ABRAZO MICRO HOSPITAL-CAVE CREEK</t>
  </si>
  <si>
    <t>E CAREFREE HIGH &amp; N 53 STREET</t>
  </si>
  <si>
    <t xml:space="preserve">CAVE CREEK </t>
  </si>
  <si>
    <t>Patrick Bickert</t>
  </si>
  <si>
    <t xml:space="preserve">CANDEO SCHOOLS </t>
  </si>
  <si>
    <t>E ASHLER HILLS DR</t>
  </si>
  <si>
    <t>602-558-1169</t>
  </si>
  <si>
    <t>DREW TURNAGE</t>
  </si>
  <si>
    <t>RIDGEVIEW COLLEGE PREP</t>
  </si>
  <si>
    <t>W SKYLINE DR</t>
  </si>
  <si>
    <t>623-692-7812</t>
  </si>
  <si>
    <t>SEAN RANDALL</t>
  </si>
  <si>
    <t>srandall@a-p.com</t>
  </si>
  <si>
    <t>REUNION REHAB HOSPITAL</t>
  </si>
  <si>
    <t>N 16TH ST</t>
  </si>
  <si>
    <t>85006</t>
  </si>
  <si>
    <t>ZACHARY BYARD</t>
  </si>
  <si>
    <t>zbyard@a-p.com</t>
  </si>
  <si>
    <t>HONEYWELL AMPLIFY</t>
  </si>
  <si>
    <t>W CHANDLER BLVD</t>
  </si>
  <si>
    <t>Chandler</t>
  </si>
  <si>
    <t>214-784-0796</t>
  </si>
  <si>
    <t>BETH BUTLER</t>
  </si>
  <si>
    <t>bbutler@a-p.com</t>
  </si>
  <si>
    <t>Email: Herve@desertservices.net</t>
  </si>
  <si>
    <t>AGATE CONSTRUCTION</t>
  </si>
  <si>
    <t>PHX PAVER PLANT #4</t>
  </si>
  <si>
    <t>W ELWOOD ST</t>
  </si>
  <si>
    <t xml:space="preserve">DAN UPTON </t>
  </si>
  <si>
    <t>ALEXANDER BUILDING COMPANY</t>
  </si>
  <si>
    <t>SUNRISE PROMENADE AT LAKE PLEASANT</t>
  </si>
  <si>
    <t>602-909-6106</t>
  </si>
  <si>
    <t>JIM BECHTEL</t>
  </si>
  <si>
    <t>ALEXANDER BUILDING COMPANY, INC</t>
  </si>
  <si>
    <t>MARLEY PARK PHASE 2</t>
  </si>
  <si>
    <t>WADDELL ROAD &amp; LITCHFIELD ROAD</t>
  </si>
  <si>
    <t>480-415-6861</t>
  </si>
  <si>
    <t>JUSTIN KINSLER</t>
  </si>
  <si>
    <t>jkinsler@abccre.com</t>
  </si>
  <si>
    <t>ALSTON CONTRUCTION</t>
  </si>
  <si>
    <t>BROOKLYN BEDDING</t>
  </si>
  <si>
    <t>W BETHANY HOME RD</t>
  </si>
  <si>
    <t xml:space="preserve">GLENDALE </t>
  </si>
  <si>
    <t>480-848-6830</t>
  </si>
  <si>
    <t xml:space="preserve">SCOTT ROBERTS </t>
  </si>
  <si>
    <t>sroberts@alstonco.com</t>
  </si>
  <si>
    <t>AR MAYS</t>
  </si>
  <si>
    <t>PARK 10 SHOPS B</t>
  </si>
  <si>
    <t>503-998-1717</t>
  </si>
  <si>
    <t>JAMES KYUNG</t>
  </si>
  <si>
    <t>CAVE CREEK CROSSING</t>
  </si>
  <si>
    <t>E CAREFREE HWY</t>
  </si>
  <si>
    <t>CAVE CREEK</t>
  </si>
  <si>
    <t>85331</t>
  </si>
  <si>
    <t>602-631-6109</t>
  </si>
  <si>
    <t>KEVIN WUERFELE</t>
  </si>
  <si>
    <t xml:space="preserve">MIRABEL GOLF CLUBHOUSE </t>
  </si>
  <si>
    <t>N MIRABEL CLUB DR</t>
  </si>
  <si>
    <t>913-522-2316</t>
  </si>
  <si>
    <t>PJ GUSTAFSON</t>
  </si>
  <si>
    <t>CITY NORTH PH2</t>
  </si>
  <si>
    <t>E DEER VALLEY DR</t>
  </si>
  <si>
    <t>480-850-6900</t>
  </si>
  <si>
    <t>DAVE BROWN</t>
  </si>
  <si>
    <t>999 PLAYA</t>
  </si>
  <si>
    <t>E PLAYA NORTE DRIVE</t>
  </si>
  <si>
    <t>602-541-8256</t>
  </si>
  <si>
    <t>PHILLIP PIES</t>
  </si>
  <si>
    <t>FAT CATS- QUEEN CREEK</t>
  </si>
  <si>
    <t xml:space="preserve"> RIGGS ROAD &amp; ELLSWORTH RD</t>
  </si>
  <si>
    <t>480-560-5990</t>
  </si>
  <si>
    <t>RICK CONNOLLY</t>
  </si>
  <si>
    <t xml:space="preserve">PINAL COUNTY SAN TAN </t>
  </si>
  <si>
    <t>N SCHNEPF ROAD</t>
  </si>
  <si>
    <t>SAN TAN VALLEY</t>
  </si>
  <si>
    <t>623-217-7042</t>
  </si>
  <si>
    <t>KEVIN WUEFELE</t>
  </si>
  <si>
    <t xml:space="preserve">AR MAYS </t>
  </si>
  <si>
    <t>RESIDENCE INN (SRPMIC)</t>
  </si>
  <si>
    <t>N PIMA RD</t>
  </si>
  <si>
    <t>85250</t>
  </si>
  <si>
    <t>602-541-9217</t>
  </si>
  <si>
    <t>FRANK CWICK</t>
  </si>
  <si>
    <t xml:space="preserve">LAVEENE PARK PLACE PHASE I </t>
  </si>
  <si>
    <t>85339</t>
  </si>
  <si>
    <t>602-748-3095</t>
  </si>
  <si>
    <t>KATHLEEN TAITANO</t>
  </si>
  <si>
    <t>Mike Lanning</t>
  </si>
  <si>
    <t>CARSENSE- SCOTTSDALE</t>
  </si>
  <si>
    <t>N 89TH STREET</t>
  </si>
  <si>
    <t>602-541-7019</t>
  </si>
  <si>
    <t>ALBERT ERIKSON</t>
  </si>
  <si>
    <t xml:space="preserve">TEMPE MARKET STATION </t>
  </si>
  <si>
    <t>1929</t>
  </si>
  <si>
    <t xml:space="preserve">E RIO SALADO </t>
  </si>
  <si>
    <t>602-550-7930</t>
  </si>
  <si>
    <t>SHAYNE PAUL</t>
  </si>
  <si>
    <t>spaul@armays.com</t>
  </si>
  <si>
    <t>AR MAYS CONSTRUCTION</t>
  </si>
  <si>
    <t>101 MEGA RAINTREE</t>
  </si>
  <si>
    <t>PIMA RD &amp; RAINTREE RD</t>
  </si>
  <si>
    <t xml:space="preserve">INDUSTRIAL METAL SUPPLY </t>
  </si>
  <si>
    <t>S 38TH STREET</t>
  </si>
  <si>
    <t xml:space="preserve">US  </t>
  </si>
  <si>
    <t>602-541-8283</t>
  </si>
  <si>
    <t>COREY FITZGERALD</t>
  </si>
  <si>
    <t>BARKER CONTRACTING INC</t>
  </si>
  <si>
    <t xml:space="preserve">SADDELBROOKE PICKEL BALL COURT ADDITION </t>
  </si>
  <si>
    <t>E SADDLEBROOKE BLVD</t>
  </si>
  <si>
    <t>520-512-5782</t>
  </si>
  <si>
    <t>DE'ANNA GULOTTA</t>
  </si>
  <si>
    <t xml:space="preserve">dgulotta@barkerone.com&gt; </t>
  </si>
  <si>
    <t xml:space="preserve"> Erosion Control Inspector &amp; Field Operations</t>
  </si>
  <si>
    <t>SAN TAN VILLAGE PHASE 5A</t>
  </si>
  <si>
    <t>S MARKET ST</t>
  </si>
  <si>
    <t>602-741-9625</t>
  </si>
  <si>
    <t>RICK OELKE</t>
  </si>
  <si>
    <t>WICKENBURG COMMUNITY SERVICES CENTER</t>
  </si>
  <si>
    <t>W WICKENBURG WAY</t>
  </si>
  <si>
    <t>WICKENBURG</t>
  </si>
  <si>
    <t>SCOTT TURNER</t>
  </si>
  <si>
    <t>BECKNELL</t>
  </si>
  <si>
    <t>BUILD-TO-SUIT</t>
  </si>
  <si>
    <t>17510</t>
  </si>
  <si>
    <t>W THOMAS RD</t>
  </si>
  <si>
    <t>85395</t>
  </si>
  <si>
    <t>224-500-2674</t>
  </si>
  <si>
    <t>JORGE HERNANDEZ</t>
  </si>
  <si>
    <t>jhernandez@becknellindustrial.com</t>
  </si>
  <si>
    <t>JEFF PILKINGTON</t>
  </si>
  <si>
    <t>BJERK BUILDERS INC</t>
  </si>
  <si>
    <t>INSPIRE KIDS MONTESSORI</t>
  </si>
  <si>
    <t>E QUEEN CREEK RD</t>
  </si>
  <si>
    <t>602-291-9255</t>
  </si>
  <si>
    <t>SCOTT BJERK</t>
  </si>
  <si>
    <t>BLEU WAVE</t>
  </si>
  <si>
    <t>SONORAN SCHOOL K-8</t>
  </si>
  <si>
    <t>E MCDOWELL RD</t>
  </si>
  <si>
    <t>JJ LEVENSKE</t>
  </si>
  <si>
    <t>LEADING EDGE ACADEMY</t>
  </si>
  <si>
    <t>N PORTER RD</t>
  </si>
  <si>
    <t>HERITAGE ACADEMY GYM</t>
  </si>
  <si>
    <t>LAVEEN</t>
  </si>
  <si>
    <t>602-384-8787</t>
  </si>
  <si>
    <t>GARY LONG</t>
  </si>
  <si>
    <t>INSPIRE ENTERTAINMENT NEW SPACE</t>
  </si>
  <si>
    <t>E BASELINE RD</t>
  </si>
  <si>
    <t>SCOTT</t>
  </si>
  <si>
    <t>BRASFIELD &amp; GORRIE</t>
  </si>
  <si>
    <t>BANNER HEALTH REHAB HOSPITAL PHOENIX</t>
  </si>
  <si>
    <t>E WILLETTA ST</t>
  </si>
  <si>
    <t>717-579-4781</t>
  </si>
  <si>
    <t>DAN BAKER</t>
  </si>
  <si>
    <t>BANNER SELECT MEDICAL PEORIA</t>
  </si>
  <si>
    <t>N PLAZA DEL RIO BLVD</t>
  </si>
  <si>
    <t>85381</t>
  </si>
  <si>
    <t xml:space="preserve">BANNER REHABILITATION </t>
  </si>
  <si>
    <t>US-60 &amp; 48TH ST</t>
  </si>
  <si>
    <t>907-884-1700</t>
  </si>
  <si>
    <t>JOHN HESSER</t>
  </si>
  <si>
    <t>jhesser@brasfieldgorrie.com</t>
  </si>
  <si>
    <t xml:space="preserve">BRINKMANN </t>
  </si>
  <si>
    <t>POWER 202 BUSINESS PARK</t>
  </si>
  <si>
    <t>POWER RD &amp; NUNNELEY RD</t>
  </si>
  <si>
    <t>314-309-0504</t>
  </si>
  <si>
    <t>ADAM JONES</t>
  </si>
  <si>
    <t>ajones@BrinkmannConstructors.com</t>
  </si>
  <si>
    <t>BRYCON</t>
  </si>
  <si>
    <t>FM INDUSTRIES PHOENIX FAC</t>
  </si>
  <si>
    <t>E MAGNOLIS ST</t>
  </si>
  <si>
    <t>CHANDLER AIR PRODUCTS</t>
  </si>
  <si>
    <t>S PRICE RD</t>
  </si>
  <si>
    <t>85224</t>
  </si>
  <si>
    <t>602-761-0010</t>
  </si>
  <si>
    <t>TOM DEWEY</t>
  </si>
  <si>
    <t>TOY BARN CHANDLER</t>
  </si>
  <si>
    <t>SWC DOUGLAS DR. &amp; STEARMAN DR</t>
  </si>
  <si>
    <t>480-993-6273</t>
  </si>
  <si>
    <t>DON SMITH</t>
  </si>
  <si>
    <t>TOY BARN CAVE CREEK</t>
  </si>
  <si>
    <t>N CAVE CREEK RD</t>
  </si>
  <si>
    <t>480-433-9812</t>
  </si>
  <si>
    <t>RON SMITH</t>
  </si>
  <si>
    <t>UNIVERSITY BUSINESS CENTER</t>
  </si>
  <si>
    <t>S RIVER DRIVE</t>
  </si>
  <si>
    <t>480-277-4330</t>
  </si>
  <si>
    <t>JAY GRAHAM</t>
  </si>
  <si>
    <t>J.B HENDERSON</t>
  </si>
  <si>
    <t>N DELAWARE ST</t>
  </si>
  <si>
    <t>donsmith@brycon.com</t>
  </si>
  <si>
    <t xml:space="preserve">Canceled </t>
  </si>
  <si>
    <t>BUILDER ONE</t>
  </si>
  <si>
    <t>THE 5TH APARTMENTS</t>
  </si>
  <si>
    <t>1023</t>
  </si>
  <si>
    <t>W 5TH STREET</t>
  </si>
  <si>
    <t>BUILDERS GUILD INC</t>
  </si>
  <si>
    <t>DSSA WAREHOUSE 5</t>
  </si>
  <si>
    <t>E VIRGINIA ST</t>
  </si>
  <si>
    <t>85215</t>
  </si>
  <si>
    <t>480-292-4939</t>
  </si>
  <si>
    <t>BARRY FICKETT</t>
  </si>
  <si>
    <t>BURKE</t>
  </si>
  <si>
    <t>LEGACY TRADITIONAL SCHOOLS DEER VALLEY</t>
  </si>
  <si>
    <t>W UNION HILLS DR</t>
  </si>
  <si>
    <t>PHEONIX</t>
  </si>
  <si>
    <t>702-715-4332</t>
  </si>
  <si>
    <t>MICHELE GRIERSON</t>
  </si>
  <si>
    <t>mgrierson@burkecgi.com</t>
  </si>
  <si>
    <t>LEGACY TRADITIONAL SCHOOLS MESA</t>
  </si>
  <si>
    <t>E MCKELLIPS RD</t>
  </si>
  <si>
    <t>702-786-3206</t>
  </si>
  <si>
    <t>GREG</t>
  </si>
  <si>
    <t xml:space="preserve">BURKE CONSTRUCTION </t>
  </si>
  <si>
    <t>Legacy Traditional School</t>
  </si>
  <si>
    <t>CACTUS RD &amp; COTTON LN</t>
  </si>
  <si>
    <t>BURKE CONSTRUCTION GROUP</t>
  </si>
  <si>
    <t xml:space="preserve">LEGACY SAN TAN </t>
  </si>
  <si>
    <t>E EMPIRE BLVD &amp; N GARY RD</t>
  </si>
  <si>
    <t xml:space="preserve">SAN TAN </t>
  </si>
  <si>
    <t>602-300-7890 / 702-622-6859</t>
  </si>
  <si>
    <t xml:space="preserve"> DAVID LOPEZ</t>
  </si>
  <si>
    <t>mlegrand@burkecgi.com</t>
  </si>
  <si>
    <t>CALIENTE</t>
  </si>
  <si>
    <t>HIGLEY BARNS</t>
  </si>
  <si>
    <t>E WILLIAMSFIELD ROAD</t>
  </si>
  <si>
    <t>TEMPE FIRE STATION #7 ESTRADA PARK IMP</t>
  </si>
  <si>
    <t>S MCCLINTOCK DR</t>
  </si>
  <si>
    <t>85284</t>
  </si>
  <si>
    <t>DURANGO FUEL FACILTY PROJECT</t>
  </si>
  <si>
    <t>S 27TH AVE</t>
  </si>
  <si>
    <t>602-421-4107</t>
  </si>
  <si>
    <t>Perry Gordon</t>
  </si>
  <si>
    <t>CALIENTE CONSTRUCTION, INC</t>
  </si>
  <si>
    <t>GREAT HEARTS BUCKEYE</t>
  </si>
  <si>
    <t>S JACKRABBIT TRAIL</t>
  </si>
  <si>
    <t>480-559-1812</t>
  </si>
  <si>
    <t>JON BECK</t>
  </si>
  <si>
    <t>jbeck@calienteconstruction.com</t>
  </si>
  <si>
    <t>CAMDEN DEVELOPMENT, INC</t>
  </si>
  <si>
    <t>NORTH END II</t>
  </si>
  <si>
    <t>JC Derek Pooler</t>
  </si>
  <si>
    <t xml:space="preserve">CAPITAL CONSTRUCTION </t>
  </si>
  <si>
    <t>O'REILLY'S MARANA</t>
  </si>
  <si>
    <t>N SILVERBELL RD</t>
  </si>
  <si>
    <t>847-344-8240</t>
  </si>
  <si>
    <t>MIKE BREEDING</t>
  </si>
  <si>
    <t>CAPITAL R INC</t>
  </si>
  <si>
    <t xml:space="preserve">LEGACY CHARTER SCHOOL CASA GRANDE </t>
  </si>
  <si>
    <t xml:space="preserve">E O'NEIL DR </t>
  </si>
  <si>
    <t>520-858-6284</t>
  </si>
  <si>
    <t>DANNY FARMER/CHAN BROWN-PROJECT MANAGER</t>
  </si>
  <si>
    <t>PRESTON@CAPITALRINC.COM</t>
  </si>
  <si>
    <t>CARDINAL CAPITAL MANAGEMENT</t>
  </si>
  <si>
    <t>LIBERTAD GLENDALE</t>
  </si>
  <si>
    <t>W OCOTILLO RD</t>
  </si>
  <si>
    <t>586-420-8545</t>
  </si>
  <si>
    <t>TODD LESLIE</t>
  </si>
  <si>
    <t>CATAMOUNT</t>
  </si>
  <si>
    <t>PROJECT MERLIN</t>
  </si>
  <si>
    <t>ALVERNON WAY &amp; CORONA RD</t>
  </si>
  <si>
    <t xml:space="preserve">TUCSON </t>
  </si>
  <si>
    <t xml:space="preserve">HOME GOODS PARKING </t>
  </si>
  <si>
    <t>S ALVERNO WAY</t>
  </si>
  <si>
    <t>210-996-0567</t>
  </si>
  <si>
    <t>CCV</t>
  </si>
  <si>
    <t>CCV - EAST VALLEYY</t>
  </si>
  <si>
    <t>S CRISMON RD</t>
  </si>
  <si>
    <t>623-326-6242</t>
  </si>
  <si>
    <t>MARK</t>
  </si>
  <si>
    <t xml:space="preserve">CCV </t>
  </si>
  <si>
    <t>CCV - LAVEEN</t>
  </si>
  <si>
    <t>MARC WYZEVICH</t>
  </si>
  <si>
    <t>CE RESIDENTIAL</t>
  </si>
  <si>
    <t xml:space="preserve">MOON MOUNTAIN APARTMENTS </t>
  </si>
  <si>
    <t>W THUNDERBIRD RD</t>
  </si>
  <si>
    <t>520-488-2292</t>
  </si>
  <si>
    <t>TOM ROSE</t>
  </si>
  <si>
    <t>CHASE, CARSON &amp; WHITE</t>
  </si>
  <si>
    <t>ADD/ALTER MXG ENGINE</t>
  </si>
  <si>
    <t>S CRAYCROFT RD</t>
  </si>
  <si>
    <t>85707</t>
  </si>
  <si>
    <t>CHASSE</t>
  </si>
  <si>
    <t>VALLEY CHRISTIAN HIGH SCHOOL</t>
  </si>
  <si>
    <t>W GALVESTON ST &amp; 56TH ST</t>
  </si>
  <si>
    <t>ASU ALAMEDA WAREHOUSE EXPANSION</t>
  </si>
  <si>
    <t>W ALAMEDA DR</t>
  </si>
  <si>
    <t>480-244-3100</t>
  </si>
  <si>
    <t>JAIME</t>
  </si>
  <si>
    <t xml:space="preserve">AVIVA GOODYEAR </t>
  </si>
  <si>
    <t xml:space="preserve">N FALCON DR </t>
  </si>
  <si>
    <t xml:space="preserve">GOODYEAR </t>
  </si>
  <si>
    <t>602-741-0390</t>
  </si>
  <si>
    <t>ANDRE KARROUM</t>
  </si>
  <si>
    <t xml:space="preserve">CHASSE </t>
  </si>
  <si>
    <t>WOOD ELEMENTARY SCHOOL</t>
  </si>
  <si>
    <t>W CORNELL DR</t>
  </si>
  <si>
    <t>480-822-9734</t>
  </si>
  <si>
    <t>MICHAEL MCNEW</t>
  </si>
  <si>
    <t>CHASSE BUILDING TEAM</t>
  </si>
  <si>
    <t xml:space="preserve">DESERT OASIS ELEMENTARY </t>
  </si>
  <si>
    <t>85037</t>
  </si>
  <si>
    <t>918-808-8634</t>
  </si>
  <si>
    <t>JEFF EMBRY</t>
  </si>
  <si>
    <t>CREIGHTON ELEMENTARY SCHOOL</t>
  </si>
  <si>
    <t>85008</t>
  </si>
  <si>
    <t>480-688-3548</t>
  </si>
  <si>
    <t>RUSTY DIEHL</t>
  </si>
  <si>
    <t>FRANK ELEMENTARY SCHOOL</t>
  </si>
  <si>
    <t>S AVENIDA DEL YAQUI</t>
  </si>
  <si>
    <t>GUADALUPE</t>
  </si>
  <si>
    <t>85283</t>
  </si>
  <si>
    <t>619-573-7752</t>
  </si>
  <si>
    <t>ROBERT FERRAR</t>
  </si>
  <si>
    <t xml:space="preserve">URBAN LIVING </t>
  </si>
  <si>
    <t>N 2ND AVE</t>
  </si>
  <si>
    <t>85203</t>
  </si>
  <si>
    <t>520-424-1379</t>
  </si>
  <si>
    <t>DAVE SQUIRES</t>
  </si>
  <si>
    <t xml:space="preserve">ENCORE CARRERA HIGHTS/WASHINGTON ST APT </t>
  </si>
  <si>
    <t>E VAN BUREN ST</t>
  </si>
  <si>
    <t>85034</t>
  </si>
  <si>
    <t>602-376-1085</t>
  </si>
  <si>
    <t>KENNY GUADIANA</t>
  </si>
  <si>
    <t xml:space="preserve">TOLLESON UNION HIGH SCHOOL </t>
  </si>
  <si>
    <t>W ENCANTO BLVD</t>
  </si>
  <si>
    <t>480-313-9589</t>
  </si>
  <si>
    <t>STEVE COCHRAN</t>
  </si>
  <si>
    <t>HEIDI'S VILLAGE</t>
  </si>
  <si>
    <t>N 40TH ST</t>
  </si>
  <si>
    <t>480-245-8981</t>
  </si>
  <si>
    <t>KEN BAKER</t>
  </si>
  <si>
    <t>MADISON MEADOWS PH.3</t>
  </si>
  <si>
    <t>480-436-3836</t>
  </si>
  <si>
    <t>DIEGO</t>
  </si>
  <si>
    <t>HOHOKAM</t>
  </si>
  <si>
    <t>E OAK STREET</t>
  </si>
  <si>
    <t>602-460-2305</t>
  </si>
  <si>
    <t>ADAM</t>
  </si>
  <si>
    <t>CHASSE Building Team</t>
  </si>
  <si>
    <t>GREAT HEARTS ARCHWAY SCOTTSDALE - PHASE 2B</t>
  </si>
  <si>
    <t>N 94TH STREET</t>
  </si>
  <si>
    <t>602-329-1629</t>
  </si>
  <si>
    <t>SUSAN ROJAS</t>
  </si>
  <si>
    <t>srojas@chasse.us</t>
  </si>
  <si>
    <t>MOUNTAIN VIEW HS ADDITION</t>
  </si>
  <si>
    <t>E BROWN RD</t>
  </si>
  <si>
    <t>602-803-2557</t>
  </si>
  <si>
    <t>CHRIS STRANGE</t>
  </si>
  <si>
    <t xml:space="preserve">TRIVIUM WEST EXPANSION </t>
  </si>
  <si>
    <t>N BULLARD AVE</t>
  </si>
  <si>
    <t>623-256-7327</t>
  </si>
  <si>
    <t xml:space="preserve">ART DAY </t>
  </si>
  <si>
    <t>aday@chasse.us</t>
  </si>
  <si>
    <t>FILLMORE PHASE 1</t>
  </si>
  <si>
    <t>N 5TH AVE</t>
  </si>
  <si>
    <t xml:space="preserve">PHOENIX </t>
  </si>
  <si>
    <t>480-425-7777</t>
  </si>
  <si>
    <t>AMANDA BARKENBUSH</t>
  </si>
  <si>
    <t>HAVERLY</t>
  </si>
  <si>
    <t>E THOMAS RD</t>
  </si>
  <si>
    <t>85012</t>
  </si>
  <si>
    <t>RHONDA SIMMONS</t>
  </si>
  <si>
    <t>VALLEY CHRISTIAN - BUILDING B</t>
  </si>
  <si>
    <t>W GALVESTON ST</t>
  </si>
  <si>
    <t>MGRAVERT@CHASSE.US</t>
  </si>
  <si>
    <t>2040 SCOTTSDALE</t>
  </si>
  <si>
    <t>2040 &amp; 2060</t>
  </si>
  <si>
    <t>480-825-5427</t>
  </si>
  <si>
    <t>CHRIS QUIGLEY</t>
  </si>
  <si>
    <t>HARRISON ST. PARK</t>
  </si>
  <si>
    <t>HARRISON STREET &amp; 174TH AVENUE</t>
  </si>
  <si>
    <t>602-490-0535</t>
  </si>
  <si>
    <t>623-521-8225</t>
  </si>
  <si>
    <t>CARLISLE CRAVEN</t>
  </si>
  <si>
    <t>CCRAVEN@CHASSE.US</t>
  </si>
  <si>
    <t>CASTEEL HS TENNIS COURTS CONCESSIONS</t>
  </si>
  <si>
    <t>E. IVY LANE</t>
  </si>
  <si>
    <t>303 COMMERCE</t>
  </si>
  <si>
    <t xml:space="preserve">BETHANY HOME &amp; COTTON LANE </t>
  </si>
  <si>
    <t>85338</t>
  </si>
  <si>
    <t>314-307-0529</t>
  </si>
  <si>
    <t>JON KAHNER</t>
  </si>
  <si>
    <t>THE CUBES AT GLENDALE BUILDING A</t>
  </si>
  <si>
    <t>REEMS RD &amp; ORANGEWOOD AVE</t>
  </si>
  <si>
    <t>224-250-6369</t>
  </si>
  <si>
    <t>AJ BORGMAN</t>
  </si>
  <si>
    <t>BORGMANA@CLAYCORP.COM</t>
  </si>
  <si>
    <t>JAMES</t>
  </si>
  <si>
    <t xml:space="preserve">CLYDE CAPITAL LLC </t>
  </si>
  <si>
    <t xml:space="preserve">RESIDENCE @ AGUA FRIA </t>
  </si>
  <si>
    <t>EL MERIAGE AND BUCKEYE</t>
  </si>
  <si>
    <t xml:space="preserve">AVONDALE </t>
  </si>
  <si>
    <t>602-777-0505</t>
  </si>
  <si>
    <t>JIM STOCKWELL</t>
  </si>
  <si>
    <t>JSTOCKWELL@CLYDECAP.COM</t>
  </si>
  <si>
    <t>COLTON</t>
  </si>
  <si>
    <t>BILL LUKE PHASE 2</t>
  </si>
  <si>
    <t>E MOTORPLEX LOOP</t>
  </si>
  <si>
    <t>602-828-1763</t>
  </si>
  <si>
    <t>BOB HERWIG</t>
  </si>
  <si>
    <t>bobh@coltonconst.com</t>
  </si>
  <si>
    <t>COLTON CONSTRUCTION</t>
  </si>
  <si>
    <t>BILL LUKE SAN TAN</t>
  </si>
  <si>
    <t>COLTON CONSTRUCTORS</t>
  </si>
  <si>
    <t>WASSERSTROM - PHASE 1 ADDITION</t>
  </si>
  <si>
    <t>85345</t>
  </si>
  <si>
    <t>480-967-8199</t>
  </si>
  <si>
    <t>RANDY ROSTRON</t>
  </si>
  <si>
    <t>COMMON WEALTH CONSTRUCTION</t>
  </si>
  <si>
    <t>LYNNE VILLAGE APARTMENTS</t>
  </si>
  <si>
    <t>SOUTH 11TH AVE</t>
  </si>
  <si>
    <t>84662</t>
  </si>
  <si>
    <t>602-677-851</t>
  </si>
  <si>
    <t>RYAN ELLIS</t>
  </si>
  <si>
    <t xml:space="preserve">CONCORD </t>
  </si>
  <si>
    <t>LONGVIEW ELEMENTARY</t>
  </si>
  <si>
    <t>0724/2019</t>
  </si>
  <si>
    <t>8/07/019</t>
  </si>
  <si>
    <t>E INDIAN SCHOOL RD</t>
  </si>
  <si>
    <t>480-694-4381</t>
  </si>
  <si>
    <t>RUSS GETTLER</t>
  </si>
  <si>
    <t xml:space="preserve">NEVITT ELEMENTARY SCHOOL </t>
  </si>
  <si>
    <t>E SAINT ANNE AVE</t>
  </si>
  <si>
    <t>85042</t>
  </si>
  <si>
    <t>480-694-2123</t>
  </si>
  <si>
    <t>DOUG STROM</t>
  </si>
  <si>
    <t>ROOSEVELT WATER CONSERV. DIST. MAIN. OFF</t>
  </si>
  <si>
    <t>E ELLIOT RD</t>
  </si>
  <si>
    <t>602-618-2852</t>
  </si>
  <si>
    <t>CHRIS LACOUR</t>
  </si>
  <si>
    <t>EL CONQUISTADOR SPA</t>
  </si>
  <si>
    <t>N ORACLE RD</t>
  </si>
  <si>
    <t>ROCK POINT CHURCH PHASE 2</t>
  </si>
  <si>
    <t>S POWER RD</t>
  </si>
  <si>
    <t>480-694-4337</t>
  </si>
  <si>
    <t>KYM KELSO</t>
  </si>
  <si>
    <t>CDO BAPTIST PHASE 5</t>
  </si>
  <si>
    <t>9200</t>
  </si>
  <si>
    <t>85704</t>
  </si>
  <si>
    <t>LAKE HAVASU HS-ATHLETIC IMPROVEMENTS</t>
  </si>
  <si>
    <t>PALO VERDE BLVD</t>
  </si>
  <si>
    <t>SOUTH LAKE HAVASU</t>
  </si>
  <si>
    <t>CHRIS LACOR</t>
  </si>
  <si>
    <t>PALMONA ELEMENTARY PHASE 4</t>
  </si>
  <si>
    <t>West Interstate 8 Gila Bend</t>
  </si>
  <si>
    <t>GILA BEND</t>
  </si>
  <si>
    <t xml:space="preserve"> 85337</t>
  </si>
  <si>
    <t>480-649-4337</t>
  </si>
  <si>
    <t>SUN VALLEY CHURCH- EAST MESA</t>
  </si>
  <si>
    <t>S ELLWORTH RD</t>
  </si>
  <si>
    <t>480-760-3219</t>
  </si>
  <si>
    <t>DANIEL AVIS</t>
  </si>
  <si>
    <t>SUN VALLEY CHURCH- SOUTH GILBERT</t>
  </si>
  <si>
    <t>S LINDSAY RD</t>
  </si>
  <si>
    <t>602-763-2642</t>
  </si>
  <si>
    <t>SAHUARITA REGIONAL LIBRARY</t>
  </si>
  <si>
    <t>W SAHUARITA RD</t>
  </si>
  <si>
    <t>SAHUARITA</t>
  </si>
  <si>
    <t>520-404-3329</t>
  </si>
  <si>
    <t>JEFF SHAW</t>
  </si>
  <si>
    <t xml:space="preserve">MAIS CAMPUS REBUILD </t>
  </si>
  <si>
    <t>S COLLEGE AVE</t>
  </si>
  <si>
    <t>480-694-8765</t>
  </si>
  <si>
    <t>TED KNISELY</t>
  </si>
  <si>
    <t xml:space="preserve">COATAMUNDI MIDDLE SCHOOL PARKING LOT </t>
  </si>
  <si>
    <t xml:space="preserve">W FRONTAGE RD </t>
  </si>
  <si>
    <t xml:space="preserve">RIO RICO </t>
  </si>
  <si>
    <t>520-240-0777</t>
  </si>
  <si>
    <t xml:space="preserve">AUSTIN GUTZWILLER </t>
  </si>
  <si>
    <t>agutzwiller@concordinc.com</t>
  </si>
  <si>
    <t xml:space="preserve">PEORIA SUBARU </t>
  </si>
  <si>
    <t>85382</t>
  </si>
  <si>
    <t>913-238-2437</t>
  </si>
  <si>
    <t>JP ELLIOT</t>
  </si>
  <si>
    <t>jelliott@concordinc.com</t>
  </si>
  <si>
    <t>CORNERSTONE CHRISTAIN FELLOWSHIP</t>
  </si>
  <si>
    <t>S ALMA SCHOOL ROAD</t>
  </si>
  <si>
    <t>602-418-8738</t>
  </si>
  <si>
    <t>ROBERT FLOREZ</t>
  </si>
  <si>
    <t>rflorez@concordinc.com</t>
  </si>
  <si>
    <t>CONTEGRA</t>
  </si>
  <si>
    <t>WALGREENS CHANDLER CPO PA</t>
  </si>
  <si>
    <t>S ELLIS ST</t>
  </si>
  <si>
    <t>QUEEN CREEK H.S. #2</t>
  </si>
  <si>
    <t>E RAY RD</t>
  </si>
  <si>
    <t>602-370-9448</t>
  </si>
  <si>
    <t>RICHARD DAVISON</t>
  </si>
  <si>
    <t>GOODYEAR FIRESTATION #186</t>
  </si>
  <si>
    <t>602-708-8998</t>
  </si>
  <si>
    <t>BRIAN OLTHOFF</t>
  </si>
  <si>
    <t>GOODYEAR FIRESTATION #181</t>
  </si>
  <si>
    <t>143RD AVE. &amp; CELEBRATION OF LIFE WAY</t>
  </si>
  <si>
    <t>623-363-2279</t>
  </si>
  <si>
    <t>DANNY JOHNSON</t>
  </si>
  <si>
    <t>CHEROKEE ELEMENTARY SCHOOL</t>
  </si>
  <si>
    <t>N 56TH ST</t>
  </si>
  <si>
    <t>602-918-0534</t>
  </si>
  <si>
    <t>TI MORSE</t>
  </si>
  <si>
    <t>BARNEY FARMS ELEMENTARY</t>
  </si>
  <si>
    <t>E OF SIGNAL BUTTE ON QUEEN CREEK</t>
  </si>
  <si>
    <t>602-395-3149</t>
  </si>
  <si>
    <t>COLE WOODWARD</t>
  </si>
  <si>
    <t>QUEEN CREEK #9 HARVEST</t>
  </si>
  <si>
    <t>N GARY RD &amp; GRANGE PKWY</t>
  </si>
  <si>
    <t>CASA BLANCA COMMUNITY SCHOOL</t>
  </si>
  <si>
    <t>NELSON RD &amp; PRAIRIE RD</t>
  </si>
  <si>
    <t>BAPCHULE</t>
  </si>
  <si>
    <t>602-469-4343</t>
  </si>
  <si>
    <t>BRAD DUBA</t>
  </si>
  <si>
    <t>EPA</t>
  </si>
  <si>
    <t>PVUSD ELEMENTARY</t>
  </si>
  <si>
    <t>N 33RD ST &amp; E SKYCROSSING WAY</t>
  </si>
  <si>
    <t>602-531-7663</t>
  </si>
  <si>
    <t>TODD</t>
  </si>
  <si>
    <t>MESA HIGH SCHOOL</t>
  </si>
  <si>
    <t>TI  MORSE</t>
  </si>
  <si>
    <t>timorse@coreconstruction.com</t>
  </si>
  <si>
    <t>MESA FIRE STATION #221</t>
  </si>
  <si>
    <t>E POINT TWENTY-TWO BLVD</t>
  </si>
  <si>
    <t>480-392-3932</t>
  </si>
  <si>
    <t>RYAN COOPER</t>
  </si>
  <si>
    <t>ryancooper@coreconstruction.com</t>
  </si>
  <si>
    <t>QQUSD HS #3</t>
  </si>
  <si>
    <t>E RIGGS &amp; S 220TH STREET</t>
  </si>
  <si>
    <t>RICH DAVISON</t>
  </si>
  <si>
    <t>richarddavison@coreconstruction.com</t>
  </si>
  <si>
    <t>COSTA VERDE HOMES</t>
  </si>
  <si>
    <t xml:space="preserve">MT VIEW RANCH </t>
  </si>
  <si>
    <t>N BRONCO LN</t>
  </si>
  <si>
    <t>602-558-7513</t>
  </si>
  <si>
    <t>CHRIS FOX</t>
  </si>
  <si>
    <t>CHRISFOX@COSTAVERDEHOMES.COM</t>
  </si>
  <si>
    <t>CROSSLAND CONSTRUCTION</t>
  </si>
  <si>
    <t>TRU &amp; SPRINGHILL SUITES-GOODYEAR</t>
  </si>
  <si>
    <t>806-368-1006</t>
  </si>
  <si>
    <t>AL PEDROZA</t>
  </si>
  <si>
    <t xml:space="preserve">CSI CONSTRUCION </t>
  </si>
  <si>
    <t>CARMAX #6170-TUCSON</t>
  </si>
  <si>
    <t>E 22ND ST</t>
  </si>
  <si>
    <t>949-377-5771</t>
  </si>
  <si>
    <t>SHAUN SACKRELL</t>
  </si>
  <si>
    <t>CURVE DEVELOPMENT</t>
  </si>
  <si>
    <t xml:space="preserve">CYRENE AT SOUTH MOUNTAIN </t>
  </si>
  <si>
    <t>8/22 Closed</t>
  </si>
  <si>
    <t>S 16TH STREET</t>
  </si>
  <si>
    <t>602-586-7229</t>
  </si>
  <si>
    <t>MARK ADAMS</t>
  </si>
  <si>
    <t>marka@curvedevelopment.cm</t>
  </si>
  <si>
    <t>DCBG</t>
  </si>
  <si>
    <t>GILBERT &amp; WARNER TOWN CENTER</t>
  </si>
  <si>
    <t>E WARNER RD</t>
  </si>
  <si>
    <t>702-480-4879</t>
  </si>
  <si>
    <t>JASON ROSCO</t>
  </si>
  <si>
    <t>EOS VAL VISTA</t>
  </si>
  <si>
    <t>S VAL VISTA DR</t>
  </si>
  <si>
    <t>248-860-1781</t>
  </si>
  <si>
    <t>RYAN PLUTCHAK</t>
  </si>
  <si>
    <t>EOS POWER &amp; GERMANN</t>
  </si>
  <si>
    <t>702-419-6525</t>
  </si>
  <si>
    <t>DAVE</t>
  </si>
  <si>
    <t>DEERFIELD CONSTRUCTION</t>
  </si>
  <si>
    <t>ALDI FOOD STORE</t>
  </si>
  <si>
    <t>QUEEN CREEK AND ELLSWORTH</t>
  </si>
  <si>
    <t>602-888-8931</t>
  </si>
  <si>
    <t xml:space="preserve">ROB SHELTON </t>
  </si>
  <si>
    <t>DICKENS QUALITY DEMOLITION, LLC</t>
  </si>
  <si>
    <t>52ND STREET DEMO</t>
  </si>
  <si>
    <t>N 52ND STREET</t>
  </si>
  <si>
    <t>602-653-7014</t>
  </si>
  <si>
    <t>AUSTIN LAMOTTE</t>
  </si>
  <si>
    <t>alamotte@dickensquality.com</t>
  </si>
  <si>
    <t>DIRT CHEAP</t>
  </si>
  <si>
    <t>VILLAS AT MONTANA DEL SUR</t>
  </si>
  <si>
    <t xml:space="preserve"> S 19TH AVE. /NORTH 83RD AVE SUITE </t>
  </si>
  <si>
    <t>623-755-0914</t>
  </si>
  <si>
    <t>BRAD HOLSTROM</t>
  </si>
  <si>
    <t>BRAD@DIRTCHEAPLLC.COM</t>
  </si>
  <si>
    <t xml:space="preserve">DIRT CHEAP </t>
  </si>
  <si>
    <t>OAKRIDGE FARMS</t>
  </si>
  <si>
    <t>W GREENWAY RD. &amp; E. OF N. DYSART</t>
  </si>
  <si>
    <t>602-919-6123</t>
  </si>
  <si>
    <t>CHUCK CASSIE</t>
  </si>
  <si>
    <t>CHUCK.C@MARRSINCAZ.COM</t>
  </si>
  <si>
    <t>HAYDON FARMS</t>
  </si>
  <si>
    <t>CACTUS RD &amp;COTTON LN</t>
  </si>
  <si>
    <t xml:space="preserve">VILLAS @ 35TH </t>
  </si>
  <si>
    <t xml:space="preserve">S 35TH AVE </t>
  </si>
  <si>
    <t xml:space="preserve"> 602-477-9602</t>
  </si>
  <si>
    <t>JOE ROLLASON</t>
  </si>
  <si>
    <t>JOE@dirtcheapllc.com</t>
  </si>
  <si>
    <t>SUNNYSIDE TOWN HOMES</t>
  </si>
  <si>
    <t>N GREASEWOOD ST</t>
  </si>
  <si>
    <t>DOUBLE AA BUILDERS, LTD</t>
  </si>
  <si>
    <t>BUNGALOWS ON SARIVAL</t>
  </si>
  <si>
    <t>29.8 ACRES</t>
  </si>
  <si>
    <t>BELL ROAD AND SARIVAL ROAD</t>
  </si>
  <si>
    <t>602-361-8666</t>
  </si>
  <si>
    <t>MARK TAFT</t>
  </si>
  <si>
    <t>mark@doubleaabuilders.com</t>
  </si>
  <si>
    <t>DPR</t>
  </si>
  <si>
    <t>AC HOTEL KIERLAND</t>
  </si>
  <si>
    <t>N KIERLAND BLVD</t>
  </si>
  <si>
    <t>404-319-4298</t>
  </si>
  <si>
    <t>ROB GAITHER</t>
  </si>
  <si>
    <t xml:space="preserve">DPR </t>
  </si>
  <si>
    <t>STREAM DATA CENTER</t>
  </si>
  <si>
    <t>S LITCHFIELD</t>
  </si>
  <si>
    <t>972-482-1214</t>
  </si>
  <si>
    <t>ASABAL OLAIS</t>
  </si>
  <si>
    <t>DPR CONSTRUCTION</t>
  </si>
  <si>
    <t>MAYO CLINIC- HARDSCAPE REPLACEMENT</t>
  </si>
  <si>
    <t>E SHEA BLVD</t>
  </si>
  <si>
    <t>Scittsdale</t>
  </si>
  <si>
    <t>603-494-0377</t>
  </si>
  <si>
    <t>NATE</t>
  </si>
  <si>
    <t xml:space="preserve">BDMC NEW TOWER EXPANSION </t>
  </si>
  <si>
    <t>DOBSON &amp; SOUTHERN</t>
  </si>
  <si>
    <t>85202</t>
  </si>
  <si>
    <t>602-469-0723</t>
  </si>
  <si>
    <t>LEE GOODE</t>
  </si>
  <si>
    <t>OTHOG@DPR.COM</t>
  </si>
  <si>
    <t xml:space="preserve">MAYO EAST REGINAL CHANNEL </t>
  </si>
  <si>
    <t>919-437-1166 / 602-469-0723</t>
  </si>
  <si>
    <t>CODY LABONTE</t>
  </si>
  <si>
    <t>othog@dpr.com</t>
  </si>
  <si>
    <t xml:space="preserve">MAYO CPO </t>
  </si>
  <si>
    <t>602-571-8378</t>
  </si>
  <si>
    <t>MASON MELLEMA</t>
  </si>
  <si>
    <t>MASONM@DPR.COM</t>
  </si>
  <si>
    <t>Mayo Clinic West Tower D2-A</t>
  </si>
  <si>
    <t>85054</t>
  </si>
  <si>
    <t>480-493-6280</t>
  </si>
  <si>
    <t>PEDRO MARTINEZ</t>
  </si>
  <si>
    <t>PEDROM@DPR.COM</t>
  </si>
  <si>
    <t xml:space="preserve">EMBREY BUILDERS </t>
  </si>
  <si>
    <t xml:space="preserve">RIATA APARTMENTS </t>
  </si>
  <si>
    <t>100</t>
  </si>
  <si>
    <t>N</t>
  </si>
  <si>
    <t>85226</t>
  </si>
  <si>
    <t>480-435-2016</t>
  </si>
  <si>
    <t>RICK MEXIN</t>
  </si>
  <si>
    <t>GLENDALE BEARDSLEY</t>
  </si>
  <si>
    <t>W BEARDSLEY RD</t>
  </si>
  <si>
    <t>85308</t>
  </si>
  <si>
    <t>623-235-5875</t>
  </si>
  <si>
    <t>STEVE WELLER</t>
  </si>
  <si>
    <t>EMBREY BUILDERS, LLC</t>
  </si>
  <si>
    <t xml:space="preserve">KIERLAND NORTH </t>
  </si>
  <si>
    <t>15826</t>
  </si>
  <si>
    <t>85254</t>
  </si>
  <si>
    <t>KIRK HYDE</t>
  </si>
  <si>
    <t>khyde@embreydc.com</t>
  </si>
  <si>
    <t xml:space="preserve">STANTINE-ROOSEVELT AZ PROPERTIES LLC </t>
  </si>
  <si>
    <t xml:space="preserve">W ROOSEVELT ST </t>
  </si>
  <si>
    <t>949-300-1162</t>
  </si>
  <si>
    <t>ISAAC AYALA</t>
  </si>
  <si>
    <t>MULBERRY NORTH</t>
  </si>
  <si>
    <t>N 38TH ST</t>
  </si>
  <si>
    <t>85018</t>
  </si>
  <si>
    <t>480-292-6723</t>
  </si>
  <si>
    <t>Justin</t>
  </si>
  <si>
    <t>ARISE LITCHFIELD PARK</t>
  </si>
  <si>
    <t>N 129th AVENUE</t>
  </si>
  <si>
    <t>LITCHFIELD PARK</t>
  </si>
  <si>
    <t>760-808-0449</t>
  </si>
  <si>
    <t>FLEMING COMPLETE</t>
  </si>
  <si>
    <t>IPF 27TH &amp; OSBORN PHASE II</t>
  </si>
  <si>
    <t>N 27TH AVE</t>
  </si>
  <si>
    <t>480-251-4937</t>
  </si>
  <si>
    <t>GENE GRUVER</t>
  </si>
  <si>
    <t>MESA GATEWAY HANGER 37</t>
  </si>
  <si>
    <t>S SOSSAMAN RD</t>
  </si>
  <si>
    <t>602-300-9917</t>
  </si>
  <si>
    <t>SCOT SHRUM</t>
  </si>
  <si>
    <t>FORE CONSTRUCTION</t>
  </si>
  <si>
    <t>2ND &amp; FILMORE</t>
  </si>
  <si>
    <t>3RD AVENUE &amp; FILLMORE STREET</t>
  </si>
  <si>
    <t>602-525-4546</t>
  </si>
  <si>
    <t>JEFF RANDALL</t>
  </si>
  <si>
    <t>ZANJERO II</t>
  </si>
  <si>
    <t>91ST AVE &amp; ZANJERO BLVD</t>
  </si>
  <si>
    <t>480-686-1967</t>
  </si>
  <si>
    <t>MIKE WAIKSNORIS</t>
  </si>
  <si>
    <t>MWAIKSNORIS@FOREPROPERTY.COM</t>
  </si>
  <si>
    <t>FORM THIRD</t>
  </si>
  <si>
    <t>WOOD SPRINGS SUITES HOTEL</t>
  </si>
  <si>
    <t>N 23RD AVE</t>
  </si>
  <si>
    <t>480-572-8959</t>
  </si>
  <si>
    <t>JEREMY GO</t>
  </si>
  <si>
    <t>FOUNDATION E CONSTRUCTION</t>
  </si>
  <si>
    <t>BAR Z</t>
  </si>
  <si>
    <t>E BAR Z LANE</t>
  </si>
  <si>
    <t>602-350-8560</t>
  </si>
  <si>
    <t>KALEB EYOB</t>
  </si>
  <si>
    <t>kaleb@foundationeconstruction.com</t>
  </si>
  <si>
    <t>FOUR LEAF CONSTRUCTION</t>
  </si>
  <si>
    <t>WEST PARK PHASE 2</t>
  </si>
  <si>
    <t>ROOKS RD &amp; WEST PARK LOOP</t>
  </si>
  <si>
    <t>480-356-7484</t>
  </si>
  <si>
    <t>John Gill</t>
  </si>
  <si>
    <t>AVALON VILLAS</t>
  </si>
  <si>
    <t>WEST BROADWAY RD</t>
  </si>
  <si>
    <t>85041</t>
  </si>
  <si>
    <t>JOHN GILL</t>
  </si>
  <si>
    <t>avalonsitejob@gmail.com</t>
  </si>
  <si>
    <t>G.M NORTHRUP CORPORATION</t>
  </si>
  <si>
    <t>OREILLY AUTO PARTS- TUCSON</t>
  </si>
  <si>
    <t>S PALO VERDE RD &amp; E LINCOLN ST</t>
  </si>
  <si>
    <t>85713</t>
  </si>
  <si>
    <t>VJ BASELINE SHELL BUILDING</t>
  </si>
  <si>
    <t>602-762-5600</t>
  </si>
  <si>
    <t>John</t>
  </si>
  <si>
    <t>PRECISION FLEET SERVICES</t>
  </si>
  <si>
    <t>S SMITH RD</t>
  </si>
  <si>
    <t>602-791-2940</t>
  </si>
  <si>
    <t>MARK DESISLE</t>
  </si>
  <si>
    <t>TYR TACTICAL</t>
  </si>
  <si>
    <t>N 91ST AVE</t>
  </si>
  <si>
    <t xml:space="preserve">ITC- INTERNATIONAL </t>
  </si>
  <si>
    <t>110</t>
  </si>
  <si>
    <t>85009</t>
  </si>
  <si>
    <t>623-265-4521</t>
  </si>
  <si>
    <t>CURTIS YURK</t>
  </si>
  <si>
    <t>CAREFREE COVERED RV SAN TAN</t>
  </si>
  <si>
    <t xml:space="preserve">E COMBS RD </t>
  </si>
  <si>
    <t>480-330-6784</t>
  </si>
  <si>
    <t>MARK DELISLE</t>
  </si>
  <si>
    <t>mark.delisle@ganemcompanies.com</t>
  </si>
  <si>
    <t>GATEWAY CHEVROLET</t>
  </si>
  <si>
    <t>PARKING LOT EXPANSION</t>
  </si>
  <si>
    <t>9901</t>
  </si>
  <si>
    <t>W PAPAGO FWY</t>
  </si>
  <si>
    <t>623-478-7704</t>
  </si>
  <si>
    <t>DAN BIEBER</t>
  </si>
  <si>
    <t>GCON</t>
  </si>
  <si>
    <t>SYNERGY-GYM &amp; CLASSROOM</t>
  </si>
  <si>
    <t xml:space="preserve">2701 </t>
  </si>
  <si>
    <t>303-704-5355</t>
  </si>
  <si>
    <t>JUSTIN FORSYTH</t>
  </si>
  <si>
    <t>justinf@gconinc.com</t>
  </si>
  <si>
    <t>DANIEL C GAINEY ESTATE CLUB</t>
  </si>
  <si>
    <t xml:space="preserve">E GAINEY RANCH RD </t>
  </si>
  <si>
    <t>602-688-0275</t>
  </si>
  <si>
    <t>JAKE BAEHMAN</t>
  </si>
  <si>
    <t>jakeb@gconinc.com</t>
  </si>
  <si>
    <t xml:space="preserve">GCON </t>
  </si>
  <si>
    <t>FALCON FIELD HANGARS PH 2</t>
  </si>
  <si>
    <t>E MALLORY CIR</t>
  </si>
  <si>
    <t>602-828-6128</t>
  </si>
  <si>
    <t>MIKE BRADLEY</t>
  </si>
  <si>
    <t>mikeb@gconinc.com</t>
  </si>
  <si>
    <t>GILBANE BUILDING COMPANY</t>
  </si>
  <si>
    <t>TEMPE TOWER- 100 MILL OFFICE</t>
  </si>
  <si>
    <t>S MILL AVE</t>
  </si>
  <si>
    <t>414-349-8471</t>
  </si>
  <si>
    <t>BRAD MURAWSKY</t>
  </si>
  <si>
    <t>bmurawsky@gilbaneco.com; BKisgen@gilbaneco.com</t>
  </si>
  <si>
    <t>GORMAN GENERAL CONTRACTORS</t>
  </si>
  <si>
    <t>ESPERANZA EN ESCALANTE 2</t>
  </si>
  <si>
    <t>S CALLE POLAR</t>
  </si>
  <si>
    <t>608-239-7014</t>
  </si>
  <si>
    <t>TED MCMELLEN</t>
  </si>
  <si>
    <t>GRAYCOR</t>
  </si>
  <si>
    <t>GILBERT SPECTRUM BLDG 5</t>
  </si>
  <si>
    <t>SEC OF MCQUEEN RD &amp; ELLIOTT RD</t>
  </si>
  <si>
    <t>480-261-3467</t>
  </si>
  <si>
    <t>RANDALL BALL</t>
  </si>
  <si>
    <t>RINCHEM PHASE 2</t>
  </si>
  <si>
    <t>W MORELOS BLVD</t>
  </si>
  <si>
    <t>480-468-8008</t>
  </si>
  <si>
    <t>TERRY MORRELL</t>
  </si>
  <si>
    <t>GILBERT SPECTRUM BUILDINGS 9, 10 &amp; 11</t>
  </si>
  <si>
    <t>ELLIOT RD &amp; S MCQUEEN RD</t>
  </si>
  <si>
    <t>949-596-5017</t>
  </si>
  <si>
    <t>TONY CORDOVA</t>
  </si>
  <si>
    <t>Tony_cordova@Graycor.com; Keith_Hahn@graycor.com</t>
  </si>
  <si>
    <t xml:space="preserve">GRAYCOR </t>
  </si>
  <si>
    <t>GILBERT SPECTRUM - BLDG 1</t>
  </si>
  <si>
    <t>W ELLIOT RD</t>
  </si>
  <si>
    <t>85233</t>
  </si>
  <si>
    <t>480-280-5256</t>
  </si>
  <si>
    <t>VINCE GRAUMANN</t>
  </si>
  <si>
    <t>10 WEST PARKING EXPANSION</t>
  </si>
  <si>
    <t>85043</t>
  </si>
  <si>
    <t>480-721-2778</t>
  </si>
  <si>
    <t>JAMES WILLIAMS</t>
  </si>
  <si>
    <t>CHANDLER VIRIDIAN BUIDLING C &amp; D</t>
  </si>
  <si>
    <t>W FRYE RD</t>
  </si>
  <si>
    <t>480-826-9331</t>
  </si>
  <si>
    <t>PAUL STARK</t>
  </si>
  <si>
    <t>GREENLIGHT CONSTRUCTION</t>
  </si>
  <si>
    <t>CABANA 12TH</t>
  </si>
  <si>
    <t>N 12TH ST</t>
  </si>
  <si>
    <t>85014</t>
  </si>
  <si>
    <t>480-609-6779</t>
  </si>
  <si>
    <t>MARK THOMAS</t>
  </si>
  <si>
    <t>CABANA ON WASHINGTON</t>
  </si>
  <si>
    <t>E WASHINGTON ST</t>
  </si>
  <si>
    <t>480-588-7226</t>
  </si>
  <si>
    <t>ALI FAKIH</t>
  </si>
  <si>
    <t>CABANA ON HAYDON</t>
  </si>
  <si>
    <t>N HAYDON RD</t>
  </si>
  <si>
    <t>602-828-3597</t>
  </si>
  <si>
    <t>JR</t>
  </si>
  <si>
    <t>CABANA POWER ROAD</t>
  </si>
  <si>
    <t>480-848-8246</t>
  </si>
  <si>
    <t>CHARLIE MANNINO</t>
  </si>
  <si>
    <t>cmannino@greenlightgc.com</t>
  </si>
  <si>
    <t>CABANA ON 99TH</t>
  </si>
  <si>
    <t>W MISSOURI AVE.</t>
  </si>
  <si>
    <t>541-515-8855</t>
  </si>
  <si>
    <t>DWANNE</t>
  </si>
  <si>
    <t>CABANA ON ENCANTO</t>
  </si>
  <si>
    <t>W ENCANTO BLVD &amp; N 150th DR</t>
  </si>
  <si>
    <t>480-868-0450</t>
  </si>
  <si>
    <t>JEFF DONELL</t>
  </si>
  <si>
    <t>GUNSIGHT</t>
  </si>
  <si>
    <t xml:space="preserve">CRÈME DE LE CRÈME </t>
  </si>
  <si>
    <t>SWC GERMANN &amp; DOBSON</t>
  </si>
  <si>
    <t>602-918-1221</t>
  </si>
  <si>
    <t>KEVIN RILEY</t>
  </si>
  <si>
    <t>GUTHRIE GENERAL</t>
  </si>
  <si>
    <t>SCOTTSDALE BIBLE CHURCH</t>
  </si>
  <si>
    <t xml:space="preserve">E CACTUS RD </t>
  </si>
  <si>
    <t>623-256-3380</t>
  </si>
  <si>
    <t>BRAXTON WOLF</t>
  </si>
  <si>
    <t>HANSEN CON</t>
  </si>
  <si>
    <t>RISEN SAVIOR LUTHERAN CHURCH</t>
  </si>
  <si>
    <t>S ALMA SCHOOL RD</t>
  </si>
  <si>
    <t>602-505-7559</t>
  </si>
  <si>
    <t>RANDY HANSEN</t>
  </si>
  <si>
    <t>HARDROCK CONCRETE</t>
  </si>
  <si>
    <t>VERIZON WIRELESS TEMPE RNC</t>
  </si>
  <si>
    <t>W GEMINI DRIVE</t>
  </si>
  <si>
    <t>ccolon@holder.com</t>
  </si>
  <si>
    <t xml:space="preserve">HARSCH INVESTMENT PROPERTIES </t>
  </si>
  <si>
    <t xml:space="preserve">TUCSON DISTRUBUTION CENTER </t>
  </si>
  <si>
    <t>S BROSIUS AVE</t>
  </si>
  <si>
    <t>HASKELL COMPANY</t>
  </si>
  <si>
    <t>ALA APPLIED TECHNOLOGY</t>
  </si>
  <si>
    <t>7729</t>
  </si>
  <si>
    <t>EAST PECOS ROAD</t>
  </si>
  <si>
    <t>85212</t>
  </si>
  <si>
    <t>402-973-0649</t>
  </si>
  <si>
    <t>ROB MOULTON</t>
  </si>
  <si>
    <t>rob.moulton@haskell.com</t>
  </si>
  <si>
    <t>HAYDON</t>
  </si>
  <si>
    <t>LEGACY SPORTS AND ENTERTAINMENT</t>
  </si>
  <si>
    <t>SEC ELLSWORTH AND PECOS</t>
  </si>
  <si>
    <t>602-571-3343</t>
  </si>
  <si>
    <t>KEVIN OXFORD</t>
  </si>
  <si>
    <t xml:space="preserve">HAYDON </t>
  </si>
  <si>
    <t>COOLIDGE NORTHERN AVENUE ROAD IMPROVMENTS</t>
  </si>
  <si>
    <t>860</t>
  </si>
  <si>
    <t>COOLIGDE</t>
  </si>
  <si>
    <t>85128</t>
  </si>
  <si>
    <t>480-322-8045</t>
  </si>
  <si>
    <t>ARMANDO MILHEIRO</t>
  </si>
  <si>
    <t>amilheiro@haydonbc.com</t>
  </si>
  <si>
    <t xml:space="preserve">NUESTRO PARK </t>
  </si>
  <si>
    <t xml:space="preserve">1433 S </t>
  </si>
  <si>
    <t>9TH ST</t>
  </si>
  <si>
    <t>ALEX DELL’ORTO</t>
  </si>
  <si>
    <t>adellorto@haydonbc.com</t>
  </si>
  <si>
    <t>CARR McNATT PARK IMP.</t>
  </si>
  <si>
    <t>85122</t>
  </si>
  <si>
    <t>STEPHEN SIDERS</t>
  </si>
  <si>
    <t>AVONDALE FESTIVAL FIELDS</t>
  </si>
  <si>
    <t>W LOWER BUCKEYE RD</t>
  </si>
  <si>
    <t>480-599-5966</t>
  </si>
  <si>
    <t>TRACY SCHMUKER</t>
  </si>
  <si>
    <t>KINO SOUTH SPORTS COMPLEX</t>
  </si>
  <si>
    <t>480-417-3672</t>
  </si>
  <si>
    <t>Michael Corona</t>
  </si>
  <si>
    <t>BRAWN</t>
  </si>
  <si>
    <t>85027</t>
  </si>
  <si>
    <t>BANNER IRONWOOD</t>
  </si>
  <si>
    <t>N GANTZEL RD</t>
  </si>
  <si>
    <t>AVONDALE RESOURCE CENTER</t>
  </si>
  <si>
    <t>E RILEY DR</t>
  </si>
  <si>
    <t xml:space="preserve">GILBERT REGIONAL PARK </t>
  </si>
  <si>
    <t>602-826-9568</t>
  </si>
  <si>
    <t>THOMAS GORDON</t>
  </si>
  <si>
    <t>MEADOWS PARK PROJECT</t>
  </si>
  <si>
    <t>97TH DRIVE &amp; WILLIAMS RD</t>
  </si>
  <si>
    <t>MARGARET T. HANCE PARK</t>
  </si>
  <si>
    <t>W CULVER STREET</t>
  </si>
  <si>
    <t>85003</t>
  </si>
  <si>
    <t>480-486-6108</t>
  </si>
  <si>
    <t>Avery</t>
  </si>
  <si>
    <t>NEXCORE BANNER ASPERA</t>
  </si>
  <si>
    <t>W ASPERA BLVD</t>
  </si>
  <si>
    <t>GOLDEN LEAF WAREHOUSE</t>
  </si>
  <si>
    <t>5350</t>
  </si>
  <si>
    <t xml:space="preserve">W INA RD </t>
  </si>
  <si>
    <t>COOLIDGE AQUATICS PROJECT</t>
  </si>
  <si>
    <t>COOLIDGE</t>
  </si>
  <si>
    <t>AVERY BOHON</t>
  </si>
  <si>
    <t>abohon@haydonbc.com</t>
  </si>
  <si>
    <t>HAYDON BUILDING CORP - BD</t>
  </si>
  <si>
    <t>59TH AND BASELINE</t>
  </si>
  <si>
    <t>W BASELINE ROAD</t>
  </si>
  <si>
    <t>480-826-9568</t>
  </si>
  <si>
    <t>tgordon@haydonbc.com</t>
  </si>
  <si>
    <t>HOLDER</t>
  </si>
  <si>
    <t>FOX TECHNOLOGY</t>
  </si>
  <si>
    <t xml:space="preserve">E CENTRAL CIRCLE </t>
  </si>
  <si>
    <t>480-689-6403</t>
  </si>
  <si>
    <t>TRAVIS CHRISTENSON</t>
  </si>
  <si>
    <t xml:space="preserve">HOLDER </t>
  </si>
  <si>
    <t>FOX EARTH STATION</t>
  </si>
  <si>
    <t>9/</t>
  </si>
  <si>
    <t>W MERILL AVE</t>
  </si>
  <si>
    <t>BILL FARRIS</t>
  </si>
  <si>
    <t xml:space="preserve">IRON MOUNTAIN </t>
  </si>
  <si>
    <t>HUNTER CONTRACTING</t>
  </si>
  <si>
    <t>WEST ANTHEM WATER AND SEWER</t>
  </si>
  <si>
    <t>NEW</t>
  </si>
  <si>
    <t>N OPPORTUNITY WAY</t>
  </si>
  <si>
    <t>602-359-1418</t>
  </si>
  <si>
    <t>DAN CHAMBERS</t>
  </si>
  <si>
    <t xml:space="preserve">HUNTER CONTRACTING </t>
  </si>
  <si>
    <t>3RD ST PROMENADE GARFIELD TO INDIAN SCHOOL RD</t>
  </si>
  <si>
    <t>GARFIELD ST TO INDIAN SCHOOL</t>
  </si>
  <si>
    <t>480-695-5906</t>
  </si>
  <si>
    <t>JARED PITTMAN</t>
  </si>
  <si>
    <t>jared.pittman@huntercontracting.com</t>
  </si>
  <si>
    <t>IDM BUILDS AZ, LLC</t>
  </si>
  <si>
    <t>ACERO NORTH VALLEY</t>
  </si>
  <si>
    <t>N VALLEY PKWY</t>
  </si>
  <si>
    <t>DUANE WATSON</t>
  </si>
  <si>
    <t>ACERO COOLEY STATION</t>
  </si>
  <si>
    <t>E WILLIAMS FIELD RD</t>
  </si>
  <si>
    <t>240-277-1591</t>
  </si>
  <si>
    <t>ROGER ROBERTS</t>
  </si>
  <si>
    <t>ESTRELLA COMMONS APARTMENTS</t>
  </si>
  <si>
    <t>W FILLMORE ST</t>
  </si>
  <si>
    <t>ACERO ALGODON CENTER</t>
  </si>
  <si>
    <t>ALGODON WAY</t>
  </si>
  <si>
    <t>ACERO EASTMARK</t>
  </si>
  <si>
    <t>ELLSWORTH ANDPOINT 22 BLVD</t>
  </si>
  <si>
    <t>KEVIN BUNN</t>
  </si>
  <si>
    <t>kevin.bunn@idmbuilds.com</t>
  </si>
  <si>
    <t>ACERO AT THE STADIUM GLENDALE</t>
  </si>
  <si>
    <t>N 95th AVE &amp; W Missouri AVE</t>
  </si>
  <si>
    <t>85307</t>
  </si>
  <si>
    <t>480-645-0072</t>
  </si>
  <si>
    <t>ANDY</t>
  </si>
  <si>
    <t>INTEGRITY BUILDING</t>
  </si>
  <si>
    <t>2 RIVERS CHURCH</t>
  </si>
  <si>
    <t>E GUADALUPE RD</t>
  </si>
  <si>
    <t>602-882-5523</t>
  </si>
  <si>
    <t>RHETT BUTLER</t>
  </si>
  <si>
    <t>rhettb@ibcaz.com</t>
  </si>
  <si>
    <t>INTEGRITY BUILDING CORP</t>
  </si>
  <si>
    <t>TIRE WORKS QUEEN CREEK</t>
  </si>
  <si>
    <t>S ELLSWORTH RD</t>
  </si>
  <si>
    <t>85142</t>
  </si>
  <si>
    <t>602-828-8670</t>
  </si>
  <si>
    <t>WALLY BELL</t>
  </si>
  <si>
    <t>ITSA CONTRACTING</t>
  </si>
  <si>
    <t>KENTUCKY FRIED CHICKEN</t>
  </si>
  <si>
    <t>W YUMA ROAD</t>
  </si>
  <si>
    <t>J WALTERS CONSTRUCTION</t>
  </si>
  <si>
    <t>QUICK QUACK 9-046 DEER VALLEY</t>
  </si>
  <si>
    <t>W DEER VALLEY RD</t>
  </si>
  <si>
    <t>602-667-6685</t>
  </si>
  <si>
    <t>QUICK QUACK CARWASH #9-055</t>
  </si>
  <si>
    <t>N IRONWOOD RD</t>
  </si>
  <si>
    <t>913-915-6687</t>
  </si>
  <si>
    <t>MIKE WATSON</t>
  </si>
  <si>
    <t>QUICK QUACK CARWASH #9-061</t>
  </si>
  <si>
    <t>E PECOS RD</t>
  </si>
  <si>
    <t>JACKSON DEAN CON/ REDPOINT</t>
  </si>
  <si>
    <t>COSTCO QUEEN CREEK</t>
  </si>
  <si>
    <t>425-766-0296</t>
  </si>
  <si>
    <t>RICK ROSE</t>
  </si>
  <si>
    <t>JACOBSEN CONSTRUCTION</t>
  </si>
  <si>
    <t>PHX VA OUTPATIENT CLINIC</t>
  </si>
  <si>
    <t>801-656-9931</t>
  </si>
  <si>
    <t>QUINTON</t>
  </si>
  <si>
    <t xml:space="preserve">JAMES SQUARE DEVELOPMENT </t>
  </si>
  <si>
    <t>FALCON STORAGE CONDONS CHANDLER</t>
  </si>
  <si>
    <t xml:space="preserve">E WILLIS RD </t>
  </si>
  <si>
    <t>208-919-2173</t>
  </si>
  <si>
    <t xml:space="preserve">JIM YORK </t>
  </si>
  <si>
    <t>jim@jamessquaredev.com</t>
  </si>
  <si>
    <t>JE DUNN</t>
  </si>
  <si>
    <t>SPECIAL OLYMPICS AZ PROJECT PROCESSING CENTER</t>
  </si>
  <si>
    <t>N CITRUS RD</t>
  </si>
  <si>
    <t>480-208-7667</t>
  </si>
  <si>
    <t>JESSE PRUITT</t>
  </si>
  <si>
    <t xml:space="preserve">PAPAGO PARK CENTER - GRAND WATER FEATURE </t>
  </si>
  <si>
    <t>W ROOSEVELT WAY</t>
  </si>
  <si>
    <t>480-340-0050</t>
  </si>
  <si>
    <t>RAY RICE</t>
  </si>
  <si>
    <t>Cell: 602-421-5587</t>
  </si>
  <si>
    <t xml:space="preserve">JE DUNN </t>
  </si>
  <si>
    <t xml:space="preserve">MGMC WOMENS AND CHILDRENS TOWER </t>
  </si>
  <si>
    <t>480-253-2286</t>
  </si>
  <si>
    <t>NOAH   WAMEN</t>
  </si>
  <si>
    <t>noah.wamen@jedunn.com</t>
  </si>
  <si>
    <t xml:space="preserve">JLB </t>
  </si>
  <si>
    <t xml:space="preserve">66TH AND MAYO </t>
  </si>
  <si>
    <t>480-800-3070</t>
  </si>
  <si>
    <t>ED LEDGER</t>
  </si>
  <si>
    <t>JLB PARTNERS</t>
  </si>
  <si>
    <t>THE MCDOWELL</t>
  </si>
  <si>
    <t>480-270-9050</t>
  </si>
  <si>
    <t>TYLER WALTER</t>
  </si>
  <si>
    <t xml:space="preserve">KATERRA </t>
  </si>
  <si>
    <t>GLENDALE STORAGE PROJECT (CITY BOXES)</t>
  </si>
  <si>
    <t>85051</t>
  </si>
  <si>
    <t>480-773-1955</t>
  </si>
  <si>
    <t>MIKE CWICK</t>
  </si>
  <si>
    <t xml:space="preserve">LYONS GATE APARTMENTS </t>
  </si>
  <si>
    <t>602-206-6830</t>
  </si>
  <si>
    <t>SHAWN SMITH</t>
  </si>
  <si>
    <t>KATERRA /WOLFF</t>
  </si>
  <si>
    <t xml:space="preserve">SCOTTSDALE ATHLETIC CLUB </t>
  </si>
  <si>
    <t>E INDIAN BEND RD</t>
  </si>
  <si>
    <t>602-334-8337</t>
  </si>
  <si>
    <t>TONY CRISMON</t>
  </si>
  <si>
    <t>KDC CONSTRUCTION</t>
  </si>
  <si>
    <t>AUTOZONE #2999 GILBERT</t>
  </si>
  <si>
    <t>S HIGLEY RD</t>
  </si>
  <si>
    <t>714-742-0943</t>
  </si>
  <si>
    <t>CHAD D'ANGELO</t>
  </si>
  <si>
    <t>AUTOZONE #5065</t>
  </si>
  <si>
    <t>3/5/20</t>
  </si>
  <si>
    <t>MILLER RD &amp; SOUTHERN AVE</t>
  </si>
  <si>
    <t>85326</t>
  </si>
  <si>
    <t>KENNEDY DESIGN BUILD</t>
  </si>
  <si>
    <t>THE HUB TEMPE</t>
  </si>
  <si>
    <t>S HARDY DR</t>
  </si>
  <si>
    <t>AIRE LANE OFFICE &amp; HANGAR</t>
  </si>
  <si>
    <t>E ACOMA DR</t>
  </si>
  <si>
    <t xml:space="preserve">KNIPP CONTRACTING </t>
  </si>
  <si>
    <t xml:space="preserve">CCV VERRADO CAMPUS </t>
  </si>
  <si>
    <t>W INDIAN SCHOOL RD</t>
  </si>
  <si>
    <t>623-376-2444</t>
  </si>
  <si>
    <t>JOHN CARR</t>
  </si>
  <si>
    <t>LAYTON</t>
  </si>
  <si>
    <t>SW INDUSTRIAL BUILDINGS 2 &amp; 3</t>
  </si>
  <si>
    <t>480-622-3873</t>
  </si>
  <si>
    <t>BRANDON HOFFMAN</t>
  </si>
  <si>
    <t>CAESARS REPUBLIC SCOTTSDALE</t>
  </si>
  <si>
    <t>SEC GOLWATER BLVD &amp; HIGHLAND</t>
  </si>
  <si>
    <t>PROJECT ANDELE</t>
  </si>
  <si>
    <t>W PINNACLE PEAK RD</t>
  </si>
  <si>
    <t>480-322-5245</t>
  </si>
  <si>
    <t>MATTHEW NEWBERG</t>
  </si>
  <si>
    <t>VT 303 PROJECT SLIDER</t>
  </si>
  <si>
    <t>MARYLAND &amp; SARIVAL</t>
  </si>
  <si>
    <t>85340</t>
  </si>
  <si>
    <t xml:space="preserve">LAYTON </t>
  </si>
  <si>
    <t>PROJECT BAXTER</t>
  </si>
  <si>
    <t>LITCHFIELD RD &amp; SWEETWATER</t>
  </si>
  <si>
    <t>623-499-0163</t>
  </si>
  <si>
    <t>BRIAN BAXTER</t>
  </si>
  <si>
    <t>DON &amp; CHARLIES HOTEL</t>
  </si>
  <si>
    <t>808-282-6394</t>
  </si>
  <si>
    <t>DAMON</t>
  </si>
  <si>
    <t>PROJECT LAGERHAUS</t>
  </si>
  <si>
    <t>N REEMS ROAD</t>
  </si>
  <si>
    <t>602-571-6006</t>
  </si>
  <si>
    <t>CURTIS</t>
  </si>
  <si>
    <t>BUCKEYE 85</t>
  </si>
  <si>
    <t>103RD AVE &amp; BUCKEYE</t>
  </si>
  <si>
    <t>602-320-8470</t>
  </si>
  <si>
    <t xml:space="preserve">TRAVIS </t>
  </si>
  <si>
    <t>QUEEN CREEK COMMERCE CENTER</t>
  </si>
  <si>
    <t>E QUEEN CREEK</t>
  </si>
  <si>
    <t>602-725-3437</t>
  </si>
  <si>
    <t>RYAN HARDY</t>
  </si>
  <si>
    <t>rhardy@laytonconstruction.com</t>
  </si>
  <si>
    <t>LENNAR</t>
  </si>
  <si>
    <t>KIERLAND RESIDENCES</t>
  </si>
  <si>
    <t>N 71ST ST</t>
  </si>
  <si>
    <t>602-859-4533</t>
  </si>
  <si>
    <t>TONY DEBEVEE</t>
  </si>
  <si>
    <t>LGE</t>
  </si>
  <si>
    <t>SOLLID CABINETRY</t>
  </si>
  <si>
    <t>SWC GERMANN &amp; STEARMAN</t>
  </si>
  <si>
    <t>LINTHICUM</t>
  </si>
  <si>
    <t>CASA IBIZA RESIDENSE INN</t>
  </si>
  <si>
    <t>E DIAMOND RIM RD</t>
  </si>
  <si>
    <t>602-881-6175</t>
  </si>
  <si>
    <t>CHRIS JOHNSON</t>
  </si>
  <si>
    <t>chris@linthicumcorp.com</t>
  </si>
  <si>
    <t>LOW MOUNTAIN CONSTRUCTION</t>
  </si>
  <si>
    <t>HERITAGE CHARTER SCHOOL</t>
  </si>
  <si>
    <t>W LUCERA LN</t>
  </si>
  <si>
    <t>602-738-0028</t>
  </si>
  <si>
    <t>DEREK KLEINMAN</t>
  </si>
  <si>
    <t>MADEWELL</t>
  </si>
  <si>
    <t>DEL TACO</t>
  </si>
  <si>
    <t>469-472-6151</t>
  </si>
  <si>
    <t>ZEKE GONZALES</t>
  </si>
  <si>
    <t>MARRS CONSTRUCTION</t>
  </si>
  <si>
    <t>PROJECT SCORPION</t>
  </si>
  <si>
    <t>DURANGO &amp; MILLER RD</t>
  </si>
  <si>
    <t>602.919.6123</t>
  </si>
  <si>
    <t xml:space="preserve">CHUCK CASSIE </t>
  </si>
  <si>
    <t xml:space="preserve">MARTIN HARRIS </t>
  </si>
  <si>
    <t xml:space="preserve">WYNDHAM SCOTTSDALE </t>
  </si>
  <si>
    <t>435-559-4714</t>
  </si>
  <si>
    <t>STEVE BARNHART</t>
  </si>
  <si>
    <t>MAYDALL</t>
  </si>
  <si>
    <t>TALKING STICK GC EMERGENCY DITCH</t>
  </si>
  <si>
    <t>N DOBSON RD</t>
  </si>
  <si>
    <t>85256</t>
  </si>
  <si>
    <t>SRP-MIC CULTURAL REPOSITO</t>
  </si>
  <si>
    <t>1769 &amp; 1777</t>
  </si>
  <si>
    <t>N LONGMORE RD</t>
  </si>
  <si>
    <t>480-226-1102</t>
  </si>
  <si>
    <t>JOHN BRANCH</t>
  </si>
  <si>
    <t xml:space="preserve">McCARTHY </t>
  </si>
  <si>
    <t>MAYO HOSPITAL PHX PARKING K</t>
  </si>
  <si>
    <t>480-739-8981</t>
  </si>
  <si>
    <t>DONNIE COALY</t>
  </si>
  <si>
    <t>Cell: 480-234-7586</t>
  </si>
  <si>
    <t xml:space="preserve">HONOR HEALTH SONORAN MED CENTER </t>
  </si>
  <si>
    <t>602-471-6829</t>
  </si>
  <si>
    <t>JON GOOCH</t>
  </si>
  <si>
    <t>CENTRAL PLANT EXPANSION</t>
  </si>
  <si>
    <t>602-341-9843</t>
  </si>
  <si>
    <t>SHANE O'MALLEY</t>
  </si>
  <si>
    <t xml:space="preserve">MIRABELLA AT ASU </t>
  </si>
  <si>
    <t>E RIO SALADO BLVD</t>
  </si>
  <si>
    <t>602-751-7515</t>
  </si>
  <si>
    <t>MATT MCCARTHY</t>
  </si>
  <si>
    <t>69019</t>
  </si>
  <si>
    <t>PYRAMID PEAK WATER TREATMENT PHASE 2</t>
  </si>
  <si>
    <t>N 63RD AVE</t>
  </si>
  <si>
    <t>480-589-6220</t>
  </si>
  <si>
    <t>ROB ERIN</t>
  </si>
  <si>
    <t>MAYO  CLINIC EAST WING</t>
  </si>
  <si>
    <t>MCCARTHY CONSTRUCTION</t>
  </si>
  <si>
    <t>CREIGHTON ELEMENTARY</t>
  </si>
  <si>
    <t>E OSBORN</t>
  </si>
  <si>
    <t>602-430-0960</t>
  </si>
  <si>
    <t>SILVINO VILLANUEVA</t>
  </si>
  <si>
    <t>svillanueva@mccarthy.com</t>
  </si>
  <si>
    <t>DEER VALLEY ELEMENTARY SCHOOL #32</t>
  </si>
  <si>
    <t>14.13 ACRES</t>
  </si>
  <si>
    <t>W INSPIRATION MNT PARKWAY &amp; PINNACLE VISTA DRIVE</t>
  </si>
  <si>
    <t>602-695-5123</t>
  </si>
  <si>
    <t>CRANT CANNING</t>
  </si>
  <si>
    <t>gcanning@mccarthy.com</t>
  </si>
  <si>
    <t>WEST POINT ELEMENTARY</t>
  </si>
  <si>
    <t>W GREENWAY RD</t>
  </si>
  <si>
    <t>SMCC REMODEL</t>
  </si>
  <si>
    <t xml:space="preserve">S 24TH ST </t>
  </si>
  <si>
    <t xml:space="preserve">702-250-5716 </t>
  </si>
  <si>
    <t>AMANDA</t>
  </si>
  <si>
    <t>Anichols@mccarthy.com</t>
  </si>
  <si>
    <t xml:space="preserve">WEST-MEC PARKING LOT </t>
  </si>
  <si>
    <t>W WILLAMS DR</t>
  </si>
  <si>
    <t>602-793-4618</t>
  </si>
  <si>
    <t>SERGIO PENA</t>
  </si>
  <si>
    <t>spena@mccarthy.com</t>
  </si>
  <si>
    <t>McGRATH</t>
  </si>
  <si>
    <t>THE ODDYSSEY INSTITUTE</t>
  </si>
  <si>
    <t>S VERRADO WAY</t>
  </si>
  <si>
    <t>480-579-1432</t>
  </si>
  <si>
    <t>JAKE MOSS</t>
  </si>
  <si>
    <t>jake@mcgrathconstructionphx.com</t>
  </si>
  <si>
    <t>McGRATH CONSTRUCTION</t>
  </si>
  <si>
    <t xml:space="preserve">ALA - HIGH SCHOOL </t>
  </si>
  <si>
    <t xml:space="preserve">NWC </t>
  </si>
  <si>
    <t>FRANKLIN RD &amp; HUNT HIGHWAY</t>
  </si>
  <si>
    <t>FLORENCE</t>
  </si>
  <si>
    <t>480-529-1054</t>
  </si>
  <si>
    <t>RICHARD MOSS</t>
  </si>
  <si>
    <t>richard@schooldev.us</t>
  </si>
  <si>
    <t xml:space="preserve">MCMANUS </t>
  </si>
  <si>
    <t>JACK IN THE BOX 1655</t>
  </si>
  <si>
    <t>N SANDARIO RD</t>
  </si>
  <si>
    <t>POPEYES LOUISIANA CHICKEN- SAHUARITA</t>
  </si>
  <si>
    <t>S NOGALES HWY</t>
  </si>
  <si>
    <t>520-269-9783</t>
  </si>
  <si>
    <t>RICK MAIFERT</t>
  </si>
  <si>
    <t>info@mcmanusconstruction.net</t>
  </si>
  <si>
    <t xml:space="preserve">McMANUS CONSTRUCTION </t>
  </si>
  <si>
    <t xml:space="preserve">POPEYES KITCHEN </t>
  </si>
  <si>
    <t>W CAMELBACK ROAD</t>
  </si>
  <si>
    <t>85305</t>
  </si>
  <si>
    <t>602-647-7105</t>
  </si>
  <si>
    <t>WADEFAIR@COX.NET</t>
  </si>
  <si>
    <t>MCSHANE CONSTRUCTION</t>
  </si>
  <si>
    <t>MERIT 1 AT PHOENIX LOGISTICS CENTER</t>
  </si>
  <si>
    <t>W Buckeye Road &amp; S 91st Ave</t>
  </si>
  <si>
    <t>SPRINGS AT RED MOUNTAIN</t>
  </si>
  <si>
    <t>N POWER RD</t>
  </si>
  <si>
    <t>602-540-8385</t>
  </si>
  <si>
    <t>ERIC HERZBERG</t>
  </si>
  <si>
    <t>Cell: 480-234-7584</t>
  </si>
  <si>
    <t>RESIDENCES AT SAN TAN</t>
  </si>
  <si>
    <t>SAN TAN VILLAGE PKWY &amp; RAY RD</t>
  </si>
  <si>
    <t>847-372-3054</t>
  </si>
  <si>
    <t>DAVE LORENZO</t>
  </si>
  <si>
    <t>dlorenzo@mcshane.com</t>
  </si>
  <si>
    <t>SPRINGS AT COOLEY STATION</t>
  </si>
  <si>
    <t>EHerzberg@mcshane.com</t>
  </si>
  <si>
    <t xml:space="preserve">MCSHANE CONSTRUCTION </t>
  </si>
  <si>
    <t xml:space="preserve">LOTUS PROJECT </t>
  </si>
  <si>
    <t>MST CONSTRUCTION</t>
  </si>
  <si>
    <t>HARMONY @ HURLEY FARM</t>
  </si>
  <si>
    <t>2929</t>
  </si>
  <si>
    <t>S 91ST AVE</t>
  </si>
  <si>
    <t>85353</t>
  </si>
  <si>
    <t>602-616-0527</t>
  </si>
  <si>
    <t>SCOTT HOEFLER</t>
  </si>
  <si>
    <t>scott@treger.com</t>
  </si>
  <si>
    <t>MST CONSTRUCTION COMPANY</t>
  </si>
  <si>
    <t>T-83 APARTMENTS</t>
  </si>
  <si>
    <t>N 83RD AVE</t>
  </si>
  <si>
    <t>602-619-1262</t>
  </si>
  <si>
    <t>DAVID SCHULZ</t>
  </si>
  <si>
    <t xml:space="preserve">34TH STREET AND SOUTHERN APARTMENTS </t>
  </si>
  <si>
    <t>480-433-2375</t>
  </si>
  <si>
    <t>PAUL DEPAS</t>
  </si>
  <si>
    <t>ELEVATION SAN TAN</t>
  </si>
  <si>
    <t>S SAN TAN VILLAGE PKWY</t>
  </si>
  <si>
    <t>602-339-0417</t>
  </si>
  <si>
    <t>BOB PULLEN</t>
  </si>
  <si>
    <t>PARC ROUNDTREE RANCH</t>
  </si>
  <si>
    <t>N 83RD AVENUE</t>
  </si>
  <si>
    <t>602-723-9486</t>
  </si>
  <si>
    <t>MARK SLOAN</t>
  </si>
  <si>
    <t>PARADISE @ P83</t>
  </si>
  <si>
    <t>N 75TH AVE</t>
  </si>
  <si>
    <t>602-818-0653</t>
  </si>
  <si>
    <t>BOB JABLONSKY</t>
  </si>
  <si>
    <t>DISTRICT AT THE QUARTER - PHASE II</t>
  </si>
  <si>
    <t>N GREENWAY-HAYDEN LOOP</t>
  </si>
  <si>
    <t>602-525-6036</t>
  </si>
  <si>
    <t>GAVIN MORGAN</t>
  </si>
  <si>
    <t>ELUX AT DEER VALLEY</t>
  </si>
  <si>
    <t>W HAPPY VALLEY RD</t>
  </si>
  <si>
    <t>602-619-9801</t>
  </si>
  <si>
    <t>JIM CHILDERS</t>
  </si>
  <si>
    <t>GRAYSON PLACE APARTMENTS</t>
  </si>
  <si>
    <t>N 159TH AVENUE</t>
  </si>
  <si>
    <t>Cell: 480-234-7585</t>
  </si>
  <si>
    <t>ARLO APARTMENTS</t>
  </si>
  <si>
    <t>N 44TH STREET</t>
  </si>
  <si>
    <t>602-290-1349</t>
  </si>
  <si>
    <t>BRIAN TRITS</t>
  </si>
  <si>
    <t>INSPIRA AT MESA GATEWAY</t>
  </si>
  <si>
    <t>S OLD GREENFIELD RD</t>
  </si>
  <si>
    <t>mlegge@mtprojects.com</t>
  </si>
  <si>
    <t>NORTERRA APTS</t>
  </si>
  <si>
    <t>N 21ST AVENUE</t>
  </si>
  <si>
    <t>480-888-5309</t>
  </si>
  <si>
    <t>DAVID HALBISON</t>
  </si>
  <si>
    <t>dhalbison@mtbprojects.com</t>
  </si>
  <si>
    <t>ALEXAN SCOTTSDALE</t>
  </si>
  <si>
    <t>480-607-2409</t>
  </si>
  <si>
    <t>SUMMER HENSLEY</t>
  </si>
  <si>
    <t>THE LANDING AT FIESTA</t>
  </si>
  <si>
    <t>KIM McCORD</t>
  </si>
  <si>
    <t>kmccord@mtbprojects.com</t>
  </si>
  <si>
    <t>ARDEN PARK</t>
  </si>
  <si>
    <t>W GERMANN RD</t>
  </si>
  <si>
    <t>949-374-8660</t>
  </si>
  <si>
    <t>JASON FACER</t>
  </si>
  <si>
    <t>jfacer@mtbuilders.com</t>
  </si>
  <si>
    <t>PARC BROADWAY</t>
  </si>
  <si>
    <t>720-252-3811</t>
  </si>
  <si>
    <t>JONATHAN</t>
  </si>
  <si>
    <t xml:space="preserve">MW MORRISSEY </t>
  </si>
  <si>
    <t>HARVEST CHURCH WET UTILITIES</t>
  </si>
  <si>
    <t>520-954-0747</t>
  </si>
  <si>
    <t>RYAN GOOCH</t>
  </si>
  <si>
    <t>NEAR-CAL CORP</t>
  </si>
  <si>
    <t>STORQUEST SELF-STORAGE</t>
  </si>
  <si>
    <t>3570</t>
  </si>
  <si>
    <t>S 51ST AVE</t>
  </si>
  <si>
    <t>909-208-0211</t>
  </si>
  <si>
    <t>STEVE POINDEXTER</t>
  </si>
  <si>
    <t>NEXTGEN CONSTRUCTION COMPANY</t>
  </si>
  <si>
    <t>NEXTGEN APTS - GOODYEAR 145</t>
  </si>
  <si>
    <t>N 145TH AVE</t>
  </si>
  <si>
    <t>480-219-3387</t>
  </si>
  <si>
    <t>AARON SHER</t>
  </si>
  <si>
    <t>NITTI BUILDERS</t>
  </si>
  <si>
    <t>AZ 202 COMMERCE PARK</t>
  </si>
  <si>
    <t>HAMILTON ST&amp; WILLIS RD</t>
  </si>
  <si>
    <t xml:space="preserve">ARIZONA OPPORTUNITY FUND </t>
  </si>
  <si>
    <t>2453</t>
  </si>
  <si>
    <t>W PARKSIDE LANE</t>
  </si>
  <si>
    <t>85251</t>
  </si>
  <si>
    <t>602-748-3666</t>
  </si>
  <si>
    <t>CHRIS CRANTELL</t>
  </si>
  <si>
    <t>NORTHRIDGE</t>
  </si>
  <si>
    <t>EXTENDED STAY AMERICA CHANDLER</t>
  </si>
  <si>
    <t>602-393-2030</t>
  </si>
  <si>
    <t>CHRISTOPHER WILSON</t>
  </si>
  <si>
    <t>UND AEROSPACE FOUNDATION</t>
  </si>
  <si>
    <t>E HASKELL STREET</t>
  </si>
  <si>
    <t>480-332-2892</t>
  </si>
  <si>
    <t>JEFF LEE</t>
  </si>
  <si>
    <t>jeffrey.lee@northridgenet.com</t>
  </si>
  <si>
    <t>NORTHRIDGE CONSTRUCTION</t>
  </si>
  <si>
    <t>COOLIDGE PLACE SENIOR LIVING</t>
  </si>
  <si>
    <t xml:space="preserve"> 4TH ST &amp; SPRUELL AVE</t>
  </si>
  <si>
    <t>701-370-3348</t>
  </si>
  <si>
    <t>KODY CHRISTIANSON</t>
  </si>
  <si>
    <t>OKLAND</t>
  </si>
  <si>
    <t>EMCC North Parking Expansion</t>
  </si>
  <si>
    <t>EMCC CLASSROOM AND OFFICE BLDG</t>
  </si>
  <si>
    <t>N DYSART RD</t>
  </si>
  <si>
    <t xml:space="preserve">OKLAND </t>
  </si>
  <si>
    <t>HONOR HEALTH- NEUTROSCIENCE</t>
  </si>
  <si>
    <t>E OSBORN RD</t>
  </si>
  <si>
    <t>802-450-1945</t>
  </si>
  <si>
    <t>JASON SIRCO</t>
  </si>
  <si>
    <t>LILLIBRIDGE</t>
  </si>
  <si>
    <t>S DOBSON RD</t>
  </si>
  <si>
    <t>602-377-4806</t>
  </si>
  <si>
    <t>WAYNE FLEMING</t>
  </si>
  <si>
    <t>wayne.fleming@oakland.com</t>
  </si>
  <si>
    <t>OMADA</t>
  </si>
  <si>
    <t>BIOREPOSITORY</t>
  </si>
  <si>
    <t xml:space="preserve">602-908-1861 </t>
  </si>
  <si>
    <t>ALAN FOLWER</t>
  </si>
  <si>
    <t>alanf@omadaconstruction.com</t>
  </si>
  <si>
    <t xml:space="preserve">OMADA </t>
  </si>
  <si>
    <t xml:space="preserve">MAYO SSB LOADING DOCK </t>
  </si>
  <si>
    <t>ALAN FOWLER</t>
  </si>
  <si>
    <t>OPUS</t>
  </si>
  <si>
    <t>PROJECT CHARGER</t>
  </si>
  <si>
    <t>S COTTON LN</t>
  </si>
  <si>
    <t>480-390-9923</t>
  </si>
  <si>
    <t>JERRY THOMAS</t>
  </si>
  <si>
    <t>GOODYEAR AIRPORT</t>
  </si>
  <si>
    <t>GOODYEAR AIRPORT 85</t>
  </si>
  <si>
    <t>LITCHFIELD RD NE OF GOODYEAR PKWY</t>
  </si>
  <si>
    <t>651-210-3728</t>
  </si>
  <si>
    <t>DARIN HERNLEM</t>
  </si>
  <si>
    <t xml:space="preserve">AVONDALE 50 </t>
  </si>
  <si>
    <t>119TH AVE &amp; CORPRATE DR</t>
  </si>
  <si>
    <t>602-648-5088</t>
  </si>
  <si>
    <t>GREG COLSON</t>
  </si>
  <si>
    <t>ORACLE CONTRACTING SERVICES</t>
  </si>
  <si>
    <t>BIOLIFE-AVONDALE</t>
  </si>
  <si>
    <t>N 107TH AVE</t>
  </si>
  <si>
    <t>480-296-6924</t>
  </si>
  <si>
    <t>Mike Lofthouse</t>
  </si>
  <si>
    <t>Cell: 480-234-7594</t>
  </si>
  <si>
    <t>PACIFICAP</t>
  </si>
  <si>
    <t>RESIDENCES ON FIRST</t>
  </si>
  <si>
    <t>W 1ST AVE &amp; S MACDONALD</t>
  </si>
  <si>
    <t>918-327-0665</t>
  </si>
  <si>
    <t>STEVE BIGHORSE</t>
  </si>
  <si>
    <t>sbighorse@pacificap.com</t>
  </si>
  <si>
    <t xml:space="preserve">PARK 7 GROUP </t>
  </si>
  <si>
    <t xml:space="preserve">PARK PLACE </t>
  </si>
  <si>
    <t>602-722-8638</t>
  </si>
  <si>
    <t>TROY MUNIG</t>
  </si>
  <si>
    <t>PIMA DYNAMITE TRAILHEAD I</t>
  </si>
  <si>
    <t>N PIMA ROAD</t>
  </si>
  <si>
    <t>602-885-0730</t>
  </si>
  <si>
    <t>PATRICK KELLER</t>
  </si>
  <si>
    <t>pkeller@pathcc.com</t>
  </si>
  <si>
    <t>Cell: 480-234-7593</t>
  </si>
  <si>
    <t>PAXTON</t>
  </si>
  <si>
    <t>ENTERPRISE CHANDLER</t>
  </si>
  <si>
    <t>E CHANDLER BLVD</t>
  </si>
  <si>
    <t>480-628-2040</t>
  </si>
  <si>
    <t>KRIS RIGSBY</t>
  </si>
  <si>
    <t xml:space="preserve">PDI CONSTRUCTION </t>
  </si>
  <si>
    <t xml:space="preserve">SRP 230KV UNDERGROUND LINE PHS I AND II </t>
  </si>
  <si>
    <t>602-258-7544</t>
  </si>
  <si>
    <t>NOEL MAY</t>
  </si>
  <si>
    <t xml:space="preserve">PEGASUS </t>
  </si>
  <si>
    <t>VALVOLINE INSTANT OIL CHANGE  GILBERT</t>
  </si>
  <si>
    <t>602-285-9339</t>
  </si>
  <si>
    <t>TREY CULVER</t>
  </si>
  <si>
    <t>PEGASUS CONSTRUCTION</t>
  </si>
  <si>
    <t>VALVOLINE INSTANT OIL GLENDALE</t>
  </si>
  <si>
    <t xml:space="preserve">W HAPPY VALLEY RD </t>
  </si>
  <si>
    <t>602-487-9636</t>
  </si>
  <si>
    <t>BRUCE LININGTON</t>
  </si>
  <si>
    <t>BRUCE@AZPCI.COM</t>
  </si>
  <si>
    <t xml:space="preserve">PILLAR PROPERTIES </t>
  </si>
  <si>
    <t>MERRILL GARDENS ANTHEM PHASE II</t>
  </si>
  <si>
    <t>W ROSE CANYON CIR</t>
  </si>
  <si>
    <t>ANTHEM</t>
  </si>
  <si>
    <t>480-550-1352</t>
  </si>
  <si>
    <t>TED WILSON</t>
  </si>
  <si>
    <t>MERRILL GARDENS AT ANTHEM COTTAGES</t>
  </si>
  <si>
    <t>PORTER BROTHERS</t>
  </si>
  <si>
    <t>FLOWER CHILD-SAN TAN VILLAGE PARCEL A</t>
  </si>
  <si>
    <t>VAL VISTA DR &amp; E WILLIAMSFIELD RD</t>
  </si>
  <si>
    <t>480-341-5271</t>
  </si>
  <si>
    <t>AARON WATSON</t>
  </si>
  <si>
    <t>MARRIOT RESIDENCE INN</t>
  </si>
  <si>
    <t>N AVONDALE BLVD</t>
  </si>
  <si>
    <t>85323</t>
  </si>
  <si>
    <t>480-202-2629</t>
  </si>
  <si>
    <t>TY ROWLEY</t>
  </si>
  <si>
    <t xml:space="preserve">GILBERT MEMORIAL PARK AND FUNERAL HOME </t>
  </si>
  <si>
    <t>85297</t>
  </si>
  <si>
    <t>480-353-6228</t>
  </si>
  <si>
    <t>CHAD JONES</t>
  </si>
  <si>
    <t xml:space="preserve">PREACH INC </t>
  </si>
  <si>
    <t xml:space="preserve">29 PALMS RV &amp; BOAT STORAGE </t>
  </si>
  <si>
    <t>BEARDSLEY CSR &amp; DEER VALLEY RD</t>
  </si>
  <si>
    <t>602-908-5641</t>
  </si>
  <si>
    <t xml:space="preserve">MARK PREACH </t>
  </si>
  <si>
    <t>PRIDE CONTRACTING</t>
  </si>
  <si>
    <t>CIRCLE K - AJO &amp; KINNEY</t>
  </si>
  <si>
    <t>W AJO WAY</t>
  </si>
  <si>
    <t>PRIMUS BUILDERS INC.</t>
  </si>
  <si>
    <t xml:space="preserve">COLD SUMMIT </t>
  </si>
  <si>
    <t>151ST AVE &amp; HATCHER RD</t>
  </si>
  <si>
    <t>GLENDLAE</t>
  </si>
  <si>
    <t>470-583-3114</t>
  </si>
  <si>
    <t>ALBERTO CASTILLO</t>
  </si>
  <si>
    <t>ALCASTILLO@PRIMUSBUILDERS.COM</t>
  </si>
  <si>
    <t>PRINCETON CONSTRUCTION</t>
  </si>
  <si>
    <t>PIMA CROSSING - PAD DEMO</t>
  </si>
  <si>
    <t>85260</t>
  </si>
  <si>
    <t>623-300-4576</t>
  </si>
  <si>
    <t>DEAN CHRISTIE</t>
  </si>
  <si>
    <t>CATAMOUNT CONSTRUCTION INC</t>
  </si>
  <si>
    <t>PROJECT CACTUS</t>
  </si>
  <si>
    <t>W SILVERLAKE RD</t>
  </si>
  <si>
    <t>210-480-4934</t>
  </si>
  <si>
    <t>Brandon Hoffman</t>
  </si>
  <si>
    <t>QUEST D&amp;C</t>
  </si>
  <si>
    <t>TOWNPLACE SUITES - GLENDALE</t>
  </si>
  <si>
    <t>N ZAJERO BLVD</t>
  </si>
  <si>
    <t>507-459-6631</t>
  </si>
  <si>
    <t>MITCH HOFFMAN</t>
  </si>
  <si>
    <t>R &amp; L COMMERCIAL INVESTMENTS</t>
  </si>
  <si>
    <t>KACHINA STEEL</t>
  </si>
  <si>
    <t>480-510-9693</t>
  </si>
  <si>
    <t>THOMAS STITT</t>
  </si>
  <si>
    <t>RED ROCK CONTRACTING LLC</t>
  </si>
  <si>
    <t>SKYWAY COMMONS BLDG C</t>
  </si>
  <si>
    <t>623-203-4105</t>
  </si>
  <si>
    <t>COREY WALLACE</t>
  </si>
  <si>
    <t>COREY@REDROCKCONTRACTING.BIZ</t>
  </si>
  <si>
    <t>HAMILTON COMMERCE CENTER</t>
  </si>
  <si>
    <t>N ELISEO FELIX JR WAY</t>
  </si>
  <si>
    <t>ELWOOD LOGISTICS CENTER</t>
  </si>
  <si>
    <t>W ELWOOD</t>
  </si>
  <si>
    <t>602-702-2954</t>
  </si>
  <si>
    <t>Shawn Clark</t>
  </si>
  <si>
    <t>303 LOGISTICS</t>
  </si>
  <si>
    <t>GLENDALE AVE &amp; LOOP 303</t>
  </si>
  <si>
    <t>602-689-1808</t>
  </si>
  <si>
    <t>ROBERT BURDEN</t>
  </si>
  <si>
    <t xml:space="preserve">ELWOOD STREET IMPROVEMENTS </t>
  </si>
  <si>
    <t xml:space="preserve">1655 </t>
  </si>
  <si>
    <t>602-513-0118</t>
  </si>
  <si>
    <t>MATT SHAWCROFT</t>
  </si>
  <si>
    <t>FEDEX FREIGHT</t>
  </si>
  <si>
    <t>602-663-4116</t>
  </si>
  <si>
    <t>GUY MATE</t>
  </si>
  <si>
    <t>gmate@renaissancecos.com</t>
  </si>
  <si>
    <t>COTTON LANE DISTRIBUTION</t>
  </si>
  <si>
    <t>N COTTON LANE</t>
  </si>
  <si>
    <t>480-297-9606</t>
  </si>
  <si>
    <t>602-702-2951</t>
  </si>
  <si>
    <t>BRANDON ELDREGE</t>
  </si>
  <si>
    <t>BELDREGE@RENAISSANCE.COM</t>
  </si>
  <si>
    <t>OKTOBERFEST PROJECT</t>
  </si>
  <si>
    <t>480-739-7303</t>
  </si>
  <si>
    <t>RICKY PAINTER</t>
  </si>
  <si>
    <t>RICOR INCORPORATED</t>
  </si>
  <si>
    <t>AMAZON DTU- 9 Mesa (LONGBOW N PARKING LOT)</t>
  </si>
  <si>
    <t>N HIGLEY RD</t>
  </si>
  <si>
    <t>602-316-2641</t>
  </si>
  <si>
    <t>TIM O'CONNELL</t>
  </si>
  <si>
    <t>BANNER MEDICAL LOBBY EXPANSION</t>
  </si>
  <si>
    <t>PROJECT PIERCE</t>
  </si>
  <si>
    <t>N COTTON LN</t>
  </si>
  <si>
    <t>RIGGS COMPANIES</t>
  </si>
  <si>
    <t>E LONE CACTUS DR</t>
  </si>
  <si>
    <t>JON PARSON</t>
  </si>
  <si>
    <t>Robert N Ewing Con.</t>
  </si>
  <si>
    <t>EL MIRAGE FACILITY Offsite</t>
  </si>
  <si>
    <t>W Olive Ave</t>
  </si>
  <si>
    <t>El Mirage</t>
  </si>
  <si>
    <t>602-405-7015</t>
  </si>
  <si>
    <t>ROBINSON CONSTRUCTION</t>
  </si>
  <si>
    <t>COSTCO SURPRISE</t>
  </si>
  <si>
    <t>W WADDELL RD</t>
  </si>
  <si>
    <t>503-718-8373</t>
  </si>
  <si>
    <t>Kody Kelley</t>
  </si>
  <si>
    <t>RSG BUILDERS LLC</t>
  </si>
  <si>
    <t xml:space="preserve">DESERT HARBOR MEDICAL </t>
  </si>
  <si>
    <t>480-274-8933</t>
  </si>
  <si>
    <t xml:space="preserve">GREG DELANEY </t>
  </si>
  <si>
    <t>GREG.DELANEY@RSGBUILDERS.COM</t>
  </si>
  <si>
    <t>Mike Moore</t>
  </si>
  <si>
    <t>BANNER IRONWOOD MOB</t>
  </si>
  <si>
    <t>37200</t>
  </si>
  <si>
    <t>85140</t>
  </si>
  <si>
    <t>602-571-1721</t>
  </si>
  <si>
    <t>NEAL BUTLER</t>
  </si>
  <si>
    <t xml:space="preserve">EXIBIT 17 NORTH PHASE II </t>
  </si>
  <si>
    <t>FARMERS WAY</t>
  </si>
  <si>
    <t>480-229-5154</t>
  </si>
  <si>
    <t>RICK ERHARDT</t>
  </si>
  <si>
    <t>CLARENDALE OF CHANDLER</t>
  </si>
  <si>
    <t>S GILBERT RD</t>
  </si>
  <si>
    <t>85249</t>
  </si>
  <si>
    <t>480-261-9418</t>
  </si>
  <si>
    <t>TONY PELLEGRINO</t>
  </si>
  <si>
    <t>FARMERS PHASE II</t>
  </si>
  <si>
    <t>E FARMERS WAY</t>
  </si>
  <si>
    <t>602-708-7726</t>
  </si>
  <si>
    <t>JAMES MENOES</t>
  </si>
  <si>
    <t>PV 303 - UPS PHASE 2</t>
  </si>
  <si>
    <t>CHANDLER AIRPORT COMMERCE</t>
  </si>
  <si>
    <t>S MCQUEEN RD</t>
  </si>
  <si>
    <t>602-377-8796</t>
  </si>
  <si>
    <t>TIM SCHALK</t>
  </si>
  <si>
    <t>Cell: 480-234-7574</t>
  </si>
  <si>
    <t>777 TOWER AT NOVUS</t>
  </si>
  <si>
    <t>E UNIVERSITY DR</t>
  </si>
  <si>
    <t>602-768-4822</t>
  </si>
  <si>
    <t>RAY KETTEL</t>
  </si>
  <si>
    <t>Cell: 480-234-7577</t>
  </si>
  <si>
    <t>ERHARDT PARK COMMUNITY</t>
  </si>
  <si>
    <t>S EVERGREEN RD</t>
  </si>
  <si>
    <t>Cell: 480-234-7592</t>
  </si>
  <si>
    <t>SCOTTSDALE SENIOR LIVING</t>
  </si>
  <si>
    <t>E PINNACLE PEAK PKWY</t>
  </si>
  <si>
    <t>480-510-9757</t>
  </si>
  <si>
    <t>DEREK LAUCK</t>
  </si>
  <si>
    <t>Email: patrick@desertservices.net</t>
  </si>
  <si>
    <t>CANOPY BY HILTON - SCOTTSDALE</t>
  </si>
  <si>
    <t>E 1ST ST</t>
  </si>
  <si>
    <t>480-622-1641</t>
  </si>
  <si>
    <t>JOSH FRETWELL</t>
  </si>
  <si>
    <t>PROJECT JAMESON</t>
  </si>
  <si>
    <t>SEC MCQUEEN RD &amp; QUEEN CREEK RD</t>
  </si>
  <si>
    <t>CROSSPOINT</t>
  </si>
  <si>
    <t>N 31ST AVE</t>
  </si>
  <si>
    <t>8577</t>
  </si>
  <si>
    <t>FRIENDSHIP VILLAGE OF TEMPE</t>
  </si>
  <si>
    <t>480-322-1959</t>
  </si>
  <si>
    <t>MOUNTAINSIDE FITNESS CADENCE</t>
  </si>
  <si>
    <t>E CADENCE PARKWAY</t>
  </si>
  <si>
    <t>Neal.butler@ryancompanies.com</t>
  </si>
  <si>
    <t>GENERATIONS AT 66TH AND MAYO</t>
  </si>
  <si>
    <t xml:space="preserve">NE </t>
  </si>
  <si>
    <t>CORNER 66TH ST AND MAYO BLVD</t>
  </si>
  <si>
    <t>480-309-1704</t>
  </si>
  <si>
    <t>DEREK REDDY</t>
  </si>
  <si>
    <t>GCS- INFRASTRUCTURE</t>
  </si>
  <si>
    <t>150TH DR &amp; MCDOWELL ED</t>
  </si>
  <si>
    <t>RICKY ERHARDT</t>
  </si>
  <si>
    <t>CLARENDALE ARCADIA</t>
  </si>
  <si>
    <t>602-322-6156</t>
  </si>
  <si>
    <t>JOEL DARNELL</t>
  </si>
  <si>
    <t>RYTAN</t>
  </si>
  <si>
    <t xml:space="preserve">CHARLES HARRIS GYM </t>
  </si>
  <si>
    <t>N 55TH AVE</t>
  </si>
  <si>
    <t>480-414-0906</t>
  </si>
  <si>
    <t>SEAN MURPHY</t>
  </si>
  <si>
    <t>GLENN DOWNS GYM</t>
  </si>
  <si>
    <t xml:space="preserve">N 47TH AVE </t>
  </si>
  <si>
    <t>602-513-2674</t>
  </si>
  <si>
    <t>HAROLD LAWRENCE</t>
  </si>
  <si>
    <t>HSTLAWRENCE@RYTANCONSTRUCTION.COM</t>
  </si>
  <si>
    <t xml:space="preserve">RYTAN </t>
  </si>
  <si>
    <t xml:space="preserve">VALENCIA NEWCOMER SCHOOL </t>
  </si>
  <si>
    <t xml:space="preserve">W MARYLAND AVE </t>
  </si>
  <si>
    <t>480-309-3682</t>
  </si>
  <si>
    <t>AJ MONTANO</t>
  </si>
  <si>
    <t>amontano@rytanconstruction.com</t>
  </si>
  <si>
    <t>RYTAN LLC</t>
  </si>
  <si>
    <t>MADISON NO. 1 BALLFIELDS</t>
  </si>
  <si>
    <t>85016</t>
  </si>
  <si>
    <t>480-922-8899</t>
  </si>
  <si>
    <t>AZ DESERT ELEMENTARY</t>
  </si>
  <si>
    <t>480-229-7663</t>
  </si>
  <si>
    <t>DOUG FOWLER</t>
  </si>
  <si>
    <t>DC RANCH LOTS 1, 2, &amp; 3</t>
  </si>
  <si>
    <t>E VERDE GROVE VIEW</t>
  </si>
  <si>
    <t>602-885-4955</t>
  </si>
  <si>
    <t>MARTY MORAN</t>
  </si>
  <si>
    <t>S&amp;S PAVING</t>
  </si>
  <si>
    <t>DEEM HILLS COMMUNITY PARK</t>
  </si>
  <si>
    <t>N DEEM HILLS PARKWAY</t>
  </si>
  <si>
    <t>480-352-2193</t>
  </si>
  <si>
    <t>ART</t>
  </si>
  <si>
    <t xml:space="preserve">S.J. ANDERSON </t>
  </si>
  <si>
    <t>602-568-4379</t>
  </si>
  <si>
    <t>MYCHAL</t>
  </si>
  <si>
    <t xml:space="preserve">SANDSTORM CONTRUCTION </t>
  </si>
  <si>
    <t xml:space="preserve">ALA WEST FOOTHILLS CAMPUS </t>
  </si>
  <si>
    <t>W OLIVE</t>
  </si>
  <si>
    <t>WADDLE</t>
  </si>
  <si>
    <t>602-592-3223</t>
  </si>
  <si>
    <t xml:space="preserve">ART CORDOVA </t>
  </si>
  <si>
    <t xml:space="preserve">SCHIFFERER BUILT </t>
  </si>
  <si>
    <t>FAITH CHRISTIAN CHURCH PHASE 1</t>
  </si>
  <si>
    <t>480-490-0970</t>
  </si>
  <si>
    <t>ERIC PETERSON</t>
  </si>
  <si>
    <t>SCHWOB BUILDING CO</t>
  </si>
  <si>
    <t>OLD DOMINION FREIGHT LINE</t>
  </si>
  <si>
    <t>SEC CRISMON RD &amp; PECOS RD</t>
  </si>
  <si>
    <t>972-243-7874</t>
  </si>
  <si>
    <t>TRAVIS TAYLOR</t>
  </si>
  <si>
    <t>SD CRANE</t>
  </si>
  <si>
    <t>LAVEEN SCHOOL #9</t>
  </si>
  <si>
    <t>W CARVER RD</t>
  </si>
  <si>
    <t>480-388-6028</t>
  </si>
  <si>
    <t>Marc Hiatt</t>
  </si>
  <si>
    <t>SDB CONTRACTING</t>
  </si>
  <si>
    <t>PEORIA PARK &amp; RIDE</t>
  </si>
  <si>
    <t>W PEORIA AVE</t>
  </si>
  <si>
    <t>85341</t>
  </si>
  <si>
    <t>602-376-3039</t>
  </si>
  <si>
    <t>CHRIS LARTER</t>
  </si>
  <si>
    <t>SHANES GRADING &amp; PAVING SERVICES</t>
  </si>
  <si>
    <t>HARDY WORLD FLEX INDUSTRIAL BLDGS</t>
  </si>
  <si>
    <t>85335</t>
  </si>
  <si>
    <t>602-300-9582</t>
  </si>
  <si>
    <t>MATT TELLEZ</t>
  </si>
  <si>
    <t xml:space="preserve">SHAWMUT DESIGN AND CONSTRUCTION </t>
  </si>
  <si>
    <t xml:space="preserve">CANYON RANCH KIVA ROOMS TUCSON </t>
  </si>
  <si>
    <t>E ROCK CLIFF RD</t>
  </si>
  <si>
    <t>SKANSKA</t>
  </si>
  <si>
    <t>ASU TEMPE CAMPUS - NELSON</t>
  </si>
  <si>
    <t>E 10TH ST</t>
  </si>
  <si>
    <t>602-285-4718</t>
  </si>
  <si>
    <t>TED LUTHER</t>
  </si>
  <si>
    <t>FUJI FILM PROJECT OASIS</t>
  </si>
  <si>
    <t>S MOUNTAIN RD</t>
  </si>
  <si>
    <t>408-780-6107</t>
  </si>
  <si>
    <t>ROB WALLACE</t>
  </si>
  <si>
    <t>SODELLA</t>
  </si>
  <si>
    <t xml:space="preserve">HAMPTON EAST </t>
  </si>
  <si>
    <t>E HAMPTON AVE</t>
  </si>
  <si>
    <t>602-568-4045</t>
  </si>
  <si>
    <t>EDDIE WEIGL</t>
  </si>
  <si>
    <t>eddie.weigl@sodella.com</t>
  </si>
  <si>
    <t>ENCANTO LIVING CACTUS PARK</t>
  </si>
  <si>
    <t xml:space="preserve">43RD AVE &amp; CHARTER OAK </t>
  </si>
  <si>
    <t>951-488-4166</t>
  </si>
  <si>
    <t>CARLOS CASILLAS</t>
  </si>
  <si>
    <t xml:space="preserve">SODELLA   </t>
  </si>
  <si>
    <t xml:space="preserve">ENCANTO WATERFRONT </t>
  </si>
  <si>
    <t>E ROMA AVE</t>
  </si>
  <si>
    <t>602-770-2282</t>
  </si>
  <si>
    <t>602-615-4935</t>
  </si>
  <si>
    <t>CJ ESCALANTE</t>
  </si>
  <si>
    <t>CJ.ESCALANTE@SODELLA.COM</t>
  </si>
  <si>
    <t>SONORAN CREST CONTRUCTION</t>
  </si>
  <si>
    <t xml:space="preserve">CORE SURGICAL HOSPITAL </t>
  </si>
  <si>
    <t xml:space="preserve">6501 </t>
  </si>
  <si>
    <t>N 19TH AVENUE</t>
  </si>
  <si>
    <t>85015</t>
  </si>
  <si>
    <t>480-670-0514</t>
  </si>
  <si>
    <t xml:space="preserve">MIKE FERRINGTON </t>
  </si>
  <si>
    <t>SOUTHERN ARIZONA PAVING</t>
  </si>
  <si>
    <t>HOUGHTON ROAD</t>
  </si>
  <si>
    <t>S HOUGHTON RD</t>
  </si>
  <si>
    <t>520-745-8181</t>
  </si>
  <si>
    <t>ROCCO BENE</t>
  </si>
  <si>
    <t>SOUTHERN ARIZONA PAVING &amp; CONST.</t>
  </si>
  <si>
    <t>TANQUE VERDE LOOP</t>
  </si>
  <si>
    <t>TANQUE VERDE RD</t>
  </si>
  <si>
    <t>SCHOOL SAFETY PROJECT WHITE- PISTOR</t>
  </si>
  <si>
    <t>WHITE- PISTOR</t>
  </si>
  <si>
    <t>MARANA AVRA VALLEY PH.2</t>
  </si>
  <si>
    <t>AVRA VALLEY RD &amp; SANDERS RD</t>
  </si>
  <si>
    <t>SPEEDWAY BLVD; PAVED SHOULDERS</t>
  </si>
  <si>
    <t>SPEEDWAY BLVD; CMO DE OESTE- PAINTED HILLS</t>
  </si>
  <si>
    <t>PIMA COUNTY- BOPP ROAD I</t>
  </si>
  <si>
    <t>SARASOTA BLVD AT KINNEY RD</t>
  </si>
  <si>
    <t>SOUTHWEST DESIGN BUILDING</t>
  </si>
  <si>
    <t>APACHE JUNCTION FIRST ASSEMBLY OF GOD</t>
  </si>
  <si>
    <t>N OCOTILLO DR</t>
  </si>
  <si>
    <t>480-433-4735</t>
  </si>
  <si>
    <t>BOB GREEN</t>
  </si>
  <si>
    <t>SPARROW PARTNERS</t>
  </si>
  <si>
    <t>MERA CITY CENTER-SURPRISE</t>
  </si>
  <si>
    <t>N LA COMETA</t>
  </si>
  <si>
    <t>480-329-1026</t>
  </si>
  <si>
    <t>ASHLEY MOSES</t>
  </si>
  <si>
    <t>MERA WESTGATE</t>
  </si>
  <si>
    <t>ZANJERO BLVD &amp; 91ST AVE</t>
  </si>
  <si>
    <t>623-847-4097</t>
  </si>
  <si>
    <t>MIKE HANSEN</t>
  </si>
  <si>
    <t>GOODYEAR MERA</t>
  </si>
  <si>
    <t>1375</t>
  </si>
  <si>
    <t>339-364-0754</t>
  </si>
  <si>
    <t>MATT WILLIAMS</t>
  </si>
  <si>
    <t>mathew.williams@sparrow-partners.com</t>
  </si>
  <si>
    <t>MERA MESA</t>
  </si>
  <si>
    <t>650-303-0056</t>
  </si>
  <si>
    <t>SCOTT EATON</t>
  </si>
  <si>
    <t>scott.eaton@sparrow-partners.com</t>
  </si>
  <si>
    <t>STOUT BUILDING CONTRACTORS</t>
  </si>
  <si>
    <t>FATCATS SURPRISE</t>
  </si>
  <si>
    <t>SARIVAL &amp; SWEETWATER</t>
  </si>
  <si>
    <t>301-606-5966</t>
  </si>
  <si>
    <t>ISAAC BACON</t>
  </si>
  <si>
    <t>isaacb@stoutllc.com</t>
  </si>
  <si>
    <t>STREETLIGHTS RESIDENTIAL</t>
  </si>
  <si>
    <t xml:space="preserve">RIO 2100 </t>
  </si>
  <si>
    <t>E RIO SALADO PKWY</t>
  </si>
  <si>
    <t>480-407-2900</t>
  </si>
  <si>
    <t>DANIEL HUGHES</t>
  </si>
  <si>
    <t>28TH ST &amp; CAMELBACK APTS</t>
  </si>
  <si>
    <t>SUNDT</t>
  </si>
  <si>
    <t>TCC EAST SIDE GARAGE</t>
  </si>
  <si>
    <t>S CHURCH AVE</t>
  </si>
  <si>
    <t>85701</t>
  </si>
  <si>
    <t xml:space="preserve">SWB PAVING </t>
  </si>
  <si>
    <t>GATEWAY POLICE DEPARTMENT PARKING LOT</t>
  </si>
  <si>
    <t xml:space="preserve">N 83RD AVE </t>
  </si>
  <si>
    <t>480-848-2033</t>
  </si>
  <si>
    <t>NICK WALAK</t>
  </si>
  <si>
    <t>WACLAWIKNICK@GMAIL.COM</t>
  </si>
  <si>
    <t>THE RENAISSANCE COMPANIES</t>
  </si>
  <si>
    <t>TOYBARN ll</t>
  </si>
  <si>
    <t>N CAVE CREEK ROAD</t>
  </si>
  <si>
    <t>480-487-2680</t>
  </si>
  <si>
    <t>BRIAN HIGGINS</t>
  </si>
  <si>
    <t>bhiggins@renaissancecos.com</t>
  </si>
  <si>
    <t>THE SJ ANDERSON CO</t>
  </si>
  <si>
    <t>1510/1520 W ADAMS BUILDING DEMO</t>
  </si>
  <si>
    <t>W ADAMS ST</t>
  </si>
  <si>
    <t>85007</t>
  </si>
  <si>
    <t>602-692-0112</t>
  </si>
  <si>
    <t>SCOTT ANDERSON</t>
  </si>
  <si>
    <t>THOMPSON THRIFT</t>
  </si>
  <si>
    <t xml:space="preserve">WATER MARK AT GATEWAY PLACE </t>
  </si>
  <si>
    <t>318-557-7178</t>
  </si>
  <si>
    <t>ANDREW STARDIVANT</t>
  </si>
  <si>
    <t>N 97th AVE</t>
  </si>
  <si>
    <t>931-215-9650</t>
  </si>
  <si>
    <t>JEFF PIASCIK</t>
  </si>
  <si>
    <t>THE WYATT BY WATERMARK</t>
  </si>
  <si>
    <t>812-605-1895</t>
  </si>
  <si>
    <t>636-328-4833</t>
  </si>
  <si>
    <t>DILLON THOMAS</t>
  </si>
  <si>
    <t>dthomas@thompsonthrift.com</t>
  </si>
  <si>
    <t>TLW CONSTRUCTION, INC</t>
  </si>
  <si>
    <t>COLLECTIVE STORAGE 67TH &amp; BASELINE</t>
  </si>
  <si>
    <t>6.51 ACRES</t>
  </si>
  <si>
    <t>480-540-2559</t>
  </si>
  <si>
    <t>NORM COX</t>
  </si>
  <si>
    <t>norm@tlwconstruction.com</t>
  </si>
  <si>
    <t>COLLECTIVE STORAGE FACILITY</t>
  </si>
  <si>
    <t>3.2 ACRES</t>
  </si>
  <si>
    <t>N 16TH STREET</t>
  </si>
  <si>
    <t>480-341-9244</t>
  </si>
  <si>
    <t>JOE GIARAMITA</t>
  </si>
  <si>
    <t>joe@tlwconstruction.com</t>
  </si>
  <si>
    <t xml:space="preserve">TOFEL DENT CONSTRUCTION </t>
  </si>
  <si>
    <t xml:space="preserve">FAIRFIELD INN AND SUITES </t>
  </si>
  <si>
    <t>480-599-6431</t>
  </si>
  <si>
    <t>JIM HAWKINSON</t>
  </si>
  <si>
    <t>TSG CONSTRUCTORS</t>
  </si>
  <si>
    <t>WICKENBURG MAINTENANCE CAMP</t>
  </si>
  <si>
    <t>EAST WICKENBURG WAY</t>
  </si>
  <si>
    <t>928-301-5708</t>
  </si>
  <si>
    <t>BEN VAN KAMMEN</t>
  </si>
  <si>
    <t>B.VANKAMMEN@TSGCONSTRUCTORS.CM</t>
  </si>
  <si>
    <t xml:space="preserve">UEB BUILDERS  </t>
  </si>
  <si>
    <t>THE STANDARD FLAGSTAFF</t>
  </si>
  <si>
    <t>824</t>
  </si>
  <si>
    <t>W ROUTE 66</t>
  </si>
  <si>
    <t>FLAGSTAFF</t>
  </si>
  <si>
    <t>86001</t>
  </si>
  <si>
    <t>480-694-5265</t>
  </si>
  <si>
    <t>TIM GOYETTE</t>
  </si>
  <si>
    <t xml:space="preserve">DISTRICT AT CHANDLER </t>
  </si>
  <si>
    <t>480-309-4851</t>
  </si>
  <si>
    <t>LUIS LECHUGA</t>
  </si>
  <si>
    <t>PMG X Phoenix Phase 1</t>
  </si>
  <si>
    <t>W Monroe Street</t>
  </si>
  <si>
    <t>Phoenix</t>
  </si>
  <si>
    <t>480-489-6831</t>
  </si>
  <si>
    <t>Dan Carrillo</t>
  </si>
  <si>
    <t>VENN COMPANIES</t>
  </si>
  <si>
    <t>MARK IV CFC BUILDING 6</t>
  </si>
  <si>
    <t>W GERONIMO PL</t>
  </si>
  <si>
    <t>602-502-7870</t>
  </si>
  <si>
    <t>ROBERT QUESADA</t>
  </si>
  <si>
    <t>Cell: 480-226-6645</t>
  </si>
  <si>
    <t>Email: Mike@desertservices.net</t>
  </si>
  <si>
    <t>AKOS MEDICAL CAMPUS</t>
  </si>
  <si>
    <t>480-599-3159</t>
  </si>
  <si>
    <t>MICHAEL FERRINGTON</t>
  </si>
  <si>
    <t>RED HAWK GARAGE SUITES</t>
  </si>
  <si>
    <t>24925</t>
  </si>
  <si>
    <t xml:space="preserve">NORTH 15TH AVENUE </t>
  </si>
  <si>
    <t>602-550-4267</t>
  </si>
  <si>
    <t>CHAD GLOETZNER</t>
  </si>
  <si>
    <t>chad.gloetzner@venncompanies.com</t>
  </si>
  <si>
    <t>W.E. O'NEIL</t>
  </si>
  <si>
    <t>SCOTTSDALE AIRPORT JET CENTER</t>
  </si>
  <si>
    <t>AIRPORT DRIVE</t>
  </si>
  <si>
    <t>602-397-0166</t>
  </si>
  <si>
    <t>BRANDON VERSTEEG</t>
  </si>
  <si>
    <t>W.E. ONIEL</t>
  </si>
  <si>
    <t>SOUTH SUMMIT ESTATES</t>
  </si>
  <si>
    <t>WALTZ CONSTRUCTION</t>
  </si>
  <si>
    <t>LEGACY TRADITIONAL SCHOOL</t>
  </si>
  <si>
    <t>91ST AVE &amp; W CAMPBELL</t>
  </si>
  <si>
    <t>WAY CONSTRUCTION AND DEVELOPMENT</t>
  </si>
  <si>
    <t>ALA DISTRICT OFFICE</t>
  </si>
  <si>
    <t>E REMBRANT AVE</t>
  </si>
  <si>
    <t>702-528-1514</t>
  </si>
  <si>
    <t>JIM WAY</t>
  </si>
  <si>
    <t>WEITZ</t>
  </si>
  <si>
    <t>CAMARCH PHOENIX DATA CENTER</t>
  </si>
  <si>
    <t>480-815-6278</t>
  </si>
  <si>
    <t>JIMMY HILTON</t>
  </si>
  <si>
    <t>jimmy.hilton@weitz.com; Nate.Davis@weitz.com</t>
  </si>
  <si>
    <t xml:space="preserve">WEITZ CONSTRUCTION </t>
  </si>
  <si>
    <t>CITY OF SURPRISE PUBLIC WORKS FAC</t>
  </si>
  <si>
    <t>N LITCHFIELD RD</t>
  </si>
  <si>
    <t>85379</t>
  </si>
  <si>
    <t>602-463-7141</t>
  </si>
  <si>
    <t>DAVE DIEHL</t>
  </si>
  <si>
    <t>BEAUTITUDES PATIO HOMES N &amp; W COMBO</t>
  </si>
  <si>
    <t>W MYRTLE AVE</t>
  </si>
  <si>
    <t>85021</t>
  </si>
  <si>
    <t>602-228-7236</t>
  </si>
  <si>
    <t>CHRIS GRAHAM</t>
  </si>
  <si>
    <t>SAGEWOOD BLD 6000 ILU</t>
  </si>
  <si>
    <t>602-571-9789</t>
  </si>
  <si>
    <t>BRAD BAYER</t>
  </si>
  <si>
    <t>THE RETREAT AT ALAMEDA</t>
  </si>
  <si>
    <t>W ALAMEDA RD</t>
  </si>
  <si>
    <t>602-663-0521</t>
  </si>
  <si>
    <t>SCOTT MELLOH</t>
  </si>
  <si>
    <t>AZ STATE VETERANS HOME - YUMA</t>
  </si>
  <si>
    <t>E 34TH STREET</t>
  </si>
  <si>
    <t>YUMA</t>
  </si>
  <si>
    <t>480-490-9748</t>
  </si>
  <si>
    <t>JIM KIRTLAND</t>
  </si>
  <si>
    <t>MICROSOFT PHX70</t>
  </si>
  <si>
    <t>480-861-4360</t>
  </si>
  <si>
    <t>CHRISTIAN WOLF</t>
  </si>
  <si>
    <t>AZ STATE VETERANS HOME- FLAGSTAFF</t>
  </si>
  <si>
    <t>N GEMINI DR</t>
  </si>
  <si>
    <t>928-707-9570</t>
  </si>
  <si>
    <t>DAVE NIXON</t>
  </si>
  <si>
    <t>TOLLESON LOGISTICS CENTER</t>
  </si>
  <si>
    <t>602-291-7882</t>
  </si>
  <si>
    <t>SAM COLLIANDER</t>
  </si>
  <si>
    <t>scolliander@wespacaz.com</t>
  </si>
  <si>
    <t>CCS CORPORATE HQ</t>
  </si>
  <si>
    <t>W BASS PRO DR</t>
  </si>
  <si>
    <t>602-956-1323</t>
  </si>
  <si>
    <t>JOSPEH KELLUM</t>
  </si>
  <si>
    <t>JKELLUM@WESPACAZ.COM</t>
  </si>
  <si>
    <t>WESPAC CONSTRUCTION</t>
  </si>
  <si>
    <t>AVONDALE 101 LOGISTICS</t>
  </si>
  <si>
    <t>W ROOSEVELT ST</t>
  </si>
  <si>
    <t>602-291-8309</t>
  </si>
  <si>
    <t>DAN REGLIN</t>
  </si>
  <si>
    <t>UNITED CONSTRUCTION GROUP</t>
  </si>
  <si>
    <t>DESERT COVE RD &amp; LITCHFIELD RD</t>
  </si>
  <si>
    <t>602-558-4512</t>
  </si>
  <si>
    <t>NIC JACKSON</t>
  </si>
  <si>
    <t>80321</t>
  </si>
  <si>
    <t>NORTERRA PH 2</t>
  </si>
  <si>
    <t>N Norterra Parkway</t>
  </si>
  <si>
    <t>602-329-1137</t>
  </si>
  <si>
    <t>Joe Redding</t>
  </si>
  <si>
    <t>WEST COAST CONSTRUCTION</t>
  </si>
  <si>
    <t>MCDONALD'S 35TH AVE &amp; SOUTHERN</t>
  </si>
  <si>
    <t>909-660-9008</t>
  </si>
  <si>
    <t>JEFF PARROTT</t>
  </si>
  <si>
    <t xml:space="preserve">WHITING TURNER </t>
  </si>
  <si>
    <t xml:space="preserve">MEDIEVAL TIMES </t>
  </si>
  <si>
    <t>E VIA DE VENTURA</t>
  </si>
  <si>
    <t>85258</t>
  </si>
  <si>
    <t>407-467-0937</t>
  </si>
  <si>
    <t>MICHAEL BLUE</t>
  </si>
  <si>
    <t>GRAND AT PAPAGO II</t>
  </si>
  <si>
    <t xml:space="preserve">SCOTTSDALE QUARTER PHASE 3  BLOCK L </t>
  </si>
  <si>
    <t>602-474-9223</t>
  </si>
  <si>
    <t>RAMZI GEORGES</t>
  </si>
  <si>
    <t xml:space="preserve">BLOCK 23 </t>
  </si>
  <si>
    <t>85004</t>
  </si>
  <si>
    <t>602-657-0041</t>
  </si>
  <si>
    <t>ANDREW DOWD</t>
  </si>
  <si>
    <t>PARC GERMANN - CHANDLER AIRPORT</t>
  </si>
  <si>
    <t>E GERMANN RD</t>
  </si>
  <si>
    <t>303-551-5734</t>
  </si>
  <si>
    <t>CHRISTOPHER SCHMIDT</t>
  </si>
  <si>
    <t>ADELINE- 24 JEFFERSON</t>
  </si>
  <si>
    <t>E JEFFERSON ST</t>
  </si>
  <si>
    <t>702-289-5083</t>
  </si>
  <si>
    <t>JAMIE WILLIAMS</t>
  </si>
  <si>
    <t xml:space="preserve">CAZ 7 PROJECT FLIGHT </t>
  </si>
  <si>
    <t>480-798-3423</t>
  </si>
  <si>
    <t>NATHAN POPE</t>
  </si>
  <si>
    <t>CAZ 5 PARKING GARAGE</t>
  </si>
  <si>
    <t>480-824-3138</t>
  </si>
  <si>
    <t>PATRICK SMITH</t>
  </si>
  <si>
    <t>GREENTREE BUSINESS CENTER</t>
  </si>
  <si>
    <t>W GREENTREE DR</t>
  </si>
  <si>
    <t>GRIC- WHPDA MULTI USE</t>
  </si>
  <si>
    <t xml:space="preserve">WILD HORSE RD &amp; 48TH ST </t>
  </si>
  <si>
    <t>GILA RIVER INDIAN COMMUNITY</t>
  </si>
  <si>
    <t>480-487-6810</t>
  </si>
  <si>
    <t>MIKE PLOEGER</t>
  </si>
  <si>
    <t>ARROWHEAD GLENDALE DEARLERSHIP</t>
  </si>
  <si>
    <t>101 &amp; BEARDSLEY RD</t>
  </si>
  <si>
    <t>480-828-1119</t>
  </si>
  <si>
    <t>AF STEEL FAB</t>
  </si>
  <si>
    <t>W ROCK SOLID WAY</t>
  </si>
  <si>
    <t>480-203-1513</t>
  </si>
  <si>
    <t>JON ANDERSON</t>
  </si>
  <si>
    <t>CAZ 6</t>
  </si>
  <si>
    <t>1475/1375</t>
  </si>
  <si>
    <t>AIRGATE 1</t>
  </si>
  <si>
    <t>E RAY ROAD</t>
  </si>
  <si>
    <t>480-392-7454</t>
  </si>
  <si>
    <t>KEN BRADLEY</t>
  </si>
  <si>
    <t>kbradley@willmeng.com</t>
  </si>
  <si>
    <t>KENTWOOD 303</t>
  </si>
  <si>
    <t>COTTON LN &amp; BETHANY HOME RD</t>
  </si>
  <si>
    <t>740-221-0576</t>
  </si>
  <si>
    <t>DALE JAMESON</t>
  </si>
  <si>
    <t xml:space="preserve">CLARION PARKING EXPANSION </t>
  </si>
  <si>
    <t xml:space="preserve">S 75th AVE </t>
  </si>
  <si>
    <t>480-266-5104</t>
  </si>
  <si>
    <t>MIKE CAVENDER</t>
  </si>
  <si>
    <t>MCAVENDER@WILLMENG.COM</t>
  </si>
  <si>
    <t xml:space="preserve">WILLMENG </t>
  </si>
  <si>
    <t>AVONDALE FIRE STATION #175</t>
  </si>
  <si>
    <t>602-722-1061</t>
  </si>
  <si>
    <t xml:space="preserve">STEVE SCHARBONEAU </t>
  </si>
  <si>
    <t xml:space="preserve">SURPRISE XERISCAPE GARDEN </t>
  </si>
  <si>
    <t xml:space="preserve">N CIVIC CENTER PLAZA </t>
  </si>
  <si>
    <t>623-377-3646</t>
  </si>
  <si>
    <t>TOM HAAG</t>
  </si>
  <si>
    <t>THAAG@WILLMENG.COM</t>
  </si>
  <si>
    <t xml:space="preserve">TRAMMELL PARK ALDEA </t>
  </si>
  <si>
    <t xml:space="preserve">101ST AVE &amp; MISSOURI </t>
  </si>
  <si>
    <t>480-734-5559</t>
  </si>
  <si>
    <t>KIRK HILL</t>
  </si>
  <si>
    <t>KHILL@WILLMENG.COM</t>
  </si>
  <si>
    <t>WOLFF</t>
  </si>
  <si>
    <t>REVEL LEGACY</t>
  </si>
  <si>
    <t>E LAGACY BLVD</t>
  </si>
  <si>
    <t xml:space="preserve">ALTA MARLETTE </t>
  </si>
  <si>
    <t>602-818-3895</t>
  </si>
  <si>
    <t>DAVE GEROUX</t>
  </si>
  <si>
    <t>ALTA WAREHOUSE</t>
  </si>
  <si>
    <t>W LINCOLN ST</t>
  </si>
  <si>
    <t>480-695-7555</t>
  </si>
  <si>
    <t>JOE GARCIA</t>
  </si>
  <si>
    <t>ALTA RAINTREE</t>
  </si>
  <si>
    <t>RAINTREE DR &amp; 87th st</t>
  </si>
  <si>
    <t>85255</t>
  </si>
  <si>
    <t xml:space="preserve">DAVE GEROUX/GRANT </t>
  </si>
  <si>
    <t>dave.geroux@woodpartners.com</t>
  </si>
  <si>
    <t>ALTA VERDE AT COOLEY</t>
  </si>
  <si>
    <t>S RECKER RD &amp; WILLIAMSFIELD RD</t>
  </si>
  <si>
    <t xml:space="preserve">GILBERT </t>
  </si>
  <si>
    <t>480-504-8663</t>
  </si>
  <si>
    <t>ADAM STONE</t>
  </si>
  <si>
    <t>adam.stone@woodpartners.com</t>
  </si>
  <si>
    <t xml:space="preserve">Z ZONE CONSTRUCTION </t>
  </si>
  <si>
    <t xml:space="preserve">FOOTHILLS STORAGE </t>
  </si>
  <si>
    <t>S DESERT FOOTHILLS PKWY</t>
  </si>
  <si>
    <t>85048</t>
  </si>
  <si>
    <t>480-719-3000</t>
  </si>
  <si>
    <t>KEVIN PROCIW</t>
  </si>
  <si>
    <t>ZDI LLC</t>
  </si>
  <si>
    <t xml:space="preserve">CHEWY PARKING EXPANSION </t>
  </si>
  <si>
    <t>S 143RD AVE</t>
  </si>
  <si>
    <t xml:space="preserve">602-620-3952 </t>
  </si>
  <si>
    <t>BILL KOSTRIVAS</t>
  </si>
  <si>
    <t>ZDI, LLC</t>
  </si>
  <si>
    <t>THE LEGACY</t>
  </si>
  <si>
    <t>85306</t>
  </si>
  <si>
    <t>602-535-6221</t>
  </si>
  <si>
    <t>JOHN PUGLIESE</t>
  </si>
  <si>
    <t>CITY OF TUCSON FIRE STATION #9</t>
  </si>
  <si>
    <t xml:space="preserve">S WILMOT RD </t>
  </si>
  <si>
    <t>928-864-8341</t>
  </si>
  <si>
    <t>NATHAN CHAMBERLIN</t>
  </si>
  <si>
    <t>NATHANCHAMBERLIN@CORECONSTRUCTION.COM</t>
  </si>
  <si>
    <t>ROADRUNNER PAVING</t>
  </si>
  <si>
    <t>VISTA VERDE DRAINAGE</t>
  </si>
  <si>
    <t>N VISTA VERDE DR</t>
  </si>
  <si>
    <t>623-261-3975</t>
  </si>
  <si>
    <t>DENNIS MOORE</t>
  </si>
  <si>
    <t>DMOORE@ROADRUNNERPAVINGAZ.COM</t>
  </si>
  <si>
    <t>PEORIA REUINION REHABILITAION</t>
  </si>
  <si>
    <t xml:space="preserve">N 94TH DR </t>
  </si>
  <si>
    <t>ZBYARD@A-P.COM</t>
  </si>
  <si>
    <t>CITY OF TUCSON FIRE STATION #8</t>
  </si>
  <si>
    <t>W PRINCE RD</t>
  </si>
  <si>
    <t>ALBUM COOLEY</t>
  </si>
  <si>
    <t>S RECKER RD</t>
  </si>
  <si>
    <t>daniel.brown@greystar.com</t>
  </si>
  <si>
    <t xml:space="preserve">SODELLA </t>
  </si>
  <si>
    <t>KEYSTONE FOUNTAIN HILLS</t>
  </si>
  <si>
    <t>AVE OF THE FOUNTAINS &amp; LA MONTANA DR</t>
  </si>
  <si>
    <t>480-826-0431</t>
  </si>
  <si>
    <t>JASON TURNER</t>
  </si>
  <si>
    <t>jturner@keystonehomesaz.com</t>
  </si>
  <si>
    <t>SILVERBELL DISTRIBUTION CENTER</t>
  </si>
  <si>
    <t xml:space="preserve">N SILVERBELL RD </t>
  </si>
  <si>
    <t>210-639-2359</t>
  </si>
  <si>
    <t xml:space="preserve">BILL DICKEY </t>
  </si>
  <si>
    <t>BDICKEY@CATAMOUNTINC.COM</t>
  </si>
  <si>
    <t>FRITO-LAY PEORIA LOGISTICS</t>
  </si>
  <si>
    <t>75TH AVE &amp; GOLDEN LANE</t>
  </si>
  <si>
    <t>602.722.1061/602.503.2417</t>
  </si>
  <si>
    <t>STEVE/MATT</t>
  </si>
  <si>
    <t>SSCHARBONEAU@WILLMENG.COM</t>
  </si>
  <si>
    <t xml:space="preserve">ALTA BLUEWATER </t>
  </si>
  <si>
    <t xml:space="preserve">SARIVAL &amp; SWEETWATER </t>
  </si>
  <si>
    <t>928-202-7725</t>
  </si>
  <si>
    <t>DAVE LOCHMAN</t>
  </si>
  <si>
    <t>D.LOCHMANN@ARMAYS.COM</t>
  </si>
  <si>
    <t>CABANA ON HAPPY VALLEY</t>
  </si>
  <si>
    <t>N 19TH AVE</t>
  </si>
  <si>
    <t>602-980-6841</t>
  </si>
  <si>
    <t>LUIS SALDIVAR</t>
  </si>
  <si>
    <t>LASALDIVAR@GREENLIGHTGC.COM</t>
  </si>
  <si>
    <t>NUNNS CONSTRUCTION</t>
  </si>
  <si>
    <t xml:space="preserve">HILLCREST VILLAS </t>
  </si>
  <si>
    <t xml:space="preserve">S 3RD AVE </t>
  </si>
  <si>
    <t>907-306-8383</t>
  </si>
  <si>
    <t>BRENT STOVER</t>
  </si>
  <si>
    <t>bstover@nunnconstruction.com</t>
  </si>
  <si>
    <t>BIP INFRASTRUCTURE</t>
  </si>
  <si>
    <t>TURNER RD &amp; BASLINE RD</t>
  </si>
  <si>
    <t>602-622-4462</t>
  </si>
  <si>
    <t>SHANE STRAHL</t>
  </si>
  <si>
    <t>SSTRAHL@RENAISSANCECOS.COM</t>
  </si>
  <si>
    <t>TERRA-NOVA</t>
  </si>
  <si>
    <t>BJ'S BREWHOUSE GOODYEAR</t>
  </si>
  <si>
    <t>150TH &amp; MCDOWELL RD</t>
  </si>
  <si>
    <t>702-218-5223</t>
  </si>
  <si>
    <t>MONTE BLEDSOE</t>
  </si>
  <si>
    <t>EOS BUILDERS</t>
  </si>
  <si>
    <t>THE MORELAND</t>
  </si>
  <si>
    <t xml:space="preserve">N 3RD ST </t>
  </si>
  <si>
    <t>602-618-7429</t>
  </si>
  <si>
    <t>EVAN OATES</t>
  </si>
  <si>
    <t>EOATES@EOSBUILDERS.COM</t>
  </si>
  <si>
    <t>DOOLEYMACK CONSTRUCTORS LLC</t>
  </si>
  <si>
    <t>FRITO LAY - CASA GRANDE</t>
  </si>
  <si>
    <t>BEECHCRAFT STREET &amp; BELLANCA AVE</t>
  </si>
  <si>
    <t>HERITAGE ACADEMY GATEWAY</t>
  </si>
  <si>
    <t>14.3 ACRES</t>
  </si>
  <si>
    <t>E GERMANN ROAD &amp; S 80TH STREET</t>
  </si>
  <si>
    <t>218-251-6335</t>
  </si>
  <si>
    <t>SCOTT KNOBLAUCH</t>
  </si>
  <si>
    <t>scott@bleuwave.com</t>
  </si>
  <si>
    <t>TEMPE II</t>
  </si>
  <si>
    <t>E CURRY RD</t>
  </si>
  <si>
    <t>856-381-6131</t>
  </si>
  <si>
    <t>JIM MOFFITT</t>
  </si>
  <si>
    <t>jmoffitt@camdenliving.com</t>
  </si>
  <si>
    <t xml:space="preserve">QUEST DEVELOPMENT &amp; CONSTRUCTION </t>
  </si>
  <si>
    <t>MARRIOTT DUAL BRAND FAIR</t>
  </si>
  <si>
    <t xml:space="preserve"> N VERRADO WAY</t>
  </si>
  <si>
    <t>478-733-2222</t>
  </si>
  <si>
    <t>ERIK WHEELER</t>
  </si>
  <si>
    <t>ERIK@QUESTDC.NET</t>
  </si>
  <si>
    <t>ARIZONA DESERT ELEMENTARY</t>
  </si>
  <si>
    <t>W VAN BUREN</t>
  </si>
  <si>
    <t>928-234-5009</t>
  </si>
  <si>
    <t>DAVE ELIAS</t>
  </si>
  <si>
    <t>DELIAS@CHASSE.US</t>
  </si>
  <si>
    <t>COUNTRYSIDE PARK</t>
  </si>
  <si>
    <t>RAZ TORRES</t>
  </si>
  <si>
    <t>RTORRES@WILLMENG.COM</t>
  </si>
  <si>
    <t>PINNACLE CONSTRUCTION</t>
  </si>
  <si>
    <t>PANDA EXPRESS #7970</t>
  </si>
  <si>
    <t>602-714-0551</t>
  </si>
  <si>
    <t>DAVID HILL</t>
  </si>
  <si>
    <t>JBQDOFFICE@GMAIL.COM</t>
  </si>
  <si>
    <t xml:space="preserve">MARAVILLA PH3 </t>
  </si>
  <si>
    <t xml:space="preserve">E PRINCESS BLVD </t>
  </si>
  <si>
    <t xml:space="preserve">SCOTTSDALE </t>
  </si>
  <si>
    <t>480-476-5755</t>
  </si>
  <si>
    <t>TRAVIS KAHANEK</t>
  </si>
  <si>
    <t>travis.kahanek@weitz.com</t>
  </si>
  <si>
    <t>BFL CONSTRUCTION</t>
  </si>
  <si>
    <t>COYOTE LANDING PASE ll</t>
  </si>
  <si>
    <t>This job may never start</t>
  </si>
  <si>
    <t>PARKWAY CONSTRUCTION</t>
  </si>
  <si>
    <t>RAISING CANE'S #738</t>
  </si>
  <si>
    <t>N ARIZONA AVENUE</t>
  </si>
  <si>
    <t>214-769-1371</t>
  </si>
  <si>
    <t>LARRY SIMCO</t>
  </si>
  <si>
    <t>lsimco@pkwycon.com</t>
  </si>
  <si>
    <t>HONEYWELL AT WARNER AND PRIEST PARKING 2</t>
  </si>
  <si>
    <t>W WARNER RD</t>
  </si>
  <si>
    <t>774-307-0357</t>
  </si>
  <si>
    <t>HENRY</t>
  </si>
  <si>
    <t>hwunderlich@gilbaneco.com</t>
  </si>
  <si>
    <t>INNOVATION CRAFT WORKFORCE CENTER</t>
  </si>
  <si>
    <t>N ROOSEVELT RD</t>
  </si>
  <si>
    <t>602-509-6226</t>
  </si>
  <si>
    <t>ROBIN KEY</t>
  </si>
  <si>
    <t>bmann@mccarthy.com;rkey@mccarthy.com</t>
  </si>
  <si>
    <t>POPSTROKE GOLF ENTERTAINMENT</t>
  </si>
  <si>
    <t>HANNA LN &amp; 95TH AVE</t>
  </si>
  <si>
    <t>214-395-9159</t>
  </si>
  <si>
    <t>RICHARD SHAHAN</t>
  </si>
  <si>
    <t>rshahan@pkwaycon.com</t>
  </si>
  <si>
    <t>W.E O'NEIL</t>
  </si>
  <si>
    <t xml:space="preserve">EDDY HOTEL </t>
  </si>
  <si>
    <t>N CAMPBELL AVE</t>
  </si>
  <si>
    <t>520-307-6260</t>
  </si>
  <si>
    <t>DIANA WITHEE</t>
  </si>
  <si>
    <t xml:space="preserve">J N PEBLAR </t>
  </si>
  <si>
    <t>155TH STREET GILBERT LOTS</t>
  </si>
  <si>
    <t>S 155TH STREET</t>
  </si>
  <si>
    <t>480-518-6463</t>
  </si>
  <si>
    <t>JOSHUA PEBLER</t>
  </si>
  <si>
    <t>josh@jnpebler.com</t>
  </si>
  <si>
    <t xml:space="preserve">CAMBRIDGE CONSTRUCTION </t>
  </si>
  <si>
    <t>GERMANN RD TRANSFER STATION</t>
  </si>
  <si>
    <t xml:space="preserve">E GERMANN RD </t>
  </si>
  <si>
    <t>219-313-0808</t>
  </si>
  <si>
    <t>AUDIE MURPHY / BRANDON DREATH</t>
  </si>
  <si>
    <t>audie@cambridgecoinc.com; brandon@cambridgecoinc.com</t>
  </si>
  <si>
    <t>IRON MOUNTAIN DATA CENTER</t>
  </si>
  <si>
    <t xml:space="preserve">4802 </t>
  </si>
  <si>
    <t xml:space="preserve">E VAN BUREN </t>
  </si>
  <si>
    <t>928-261-3128</t>
  </si>
  <si>
    <t xml:space="preserve">FERNANDO </t>
  </si>
  <si>
    <t>fserranoreyes@holder.com</t>
  </si>
  <si>
    <t>MARICOPA HIGH SCHOOL #2</t>
  </si>
  <si>
    <t>16200</t>
  </si>
  <si>
    <t xml:space="preserve">N MURPHY ROAD </t>
  </si>
  <si>
    <t>ANDY GOODING</t>
  </si>
  <si>
    <t>agooding@chasse.us</t>
  </si>
  <si>
    <t xml:space="preserve">MTN VIEW HIGHSCOOL PAC ADDITION </t>
  </si>
  <si>
    <t xml:space="preserve"> N BROWN RD </t>
  </si>
  <si>
    <t xml:space="preserve">AZ </t>
  </si>
  <si>
    <t>CSTRANGE@CHASSE.US</t>
  </si>
  <si>
    <t>BRW CONTRACTING</t>
  </si>
  <si>
    <t>HAPPY VALLEY APARTMENTS</t>
  </si>
  <si>
    <t>602-920-2009</t>
  </si>
  <si>
    <t>480-584-7018</t>
  </si>
  <si>
    <t>CHRIS KRAHMER</t>
  </si>
  <si>
    <t>CHRIS.KRAHMER@HINES.COM</t>
  </si>
  <si>
    <t>AMERICAN EXPRESS PLAZA</t>
  </si>
  <si>
    <t>480-254-7814</t>
  </si>
  <si>
    <t>DAN CAPANE</t>
  </si>
  <si>
    <t>DAN.CAPANE@VENNCOMPANIES.COM</t>
  </si>
  <si>
    <t>HABBITAT FOR HUMANITY OPP CENTER</t>
  </si>
  <si>
    <t>W CURTIS RD</t>
  </si>
  <si>
    <t>520-240-1838</t>
  </si>
  <si>
    <t>JOSH KWAPICH</t>
  </si>
  <si>
    <t>JAKWAPICH@SUNDT.COM</t>
  </si>
  <si>
    <t>JACKSON DEAN CON</t>
  </si>
  <si>
    <t>COSTCO  BUCKEYE</t>
  </si>
  <si>
    <t>N. Verrado Way</t>
  </si>
  <si>
    <t>425-531-1046</t>
  </si>
  <si>
    <t>JIM WESTERN</t>
  </si>
  <si>
    <t>JIMW@JACKSONDEAN.COM</t>
  </si>
  <si>
    <t>SHAMBAUGH &amp; SON</t>
  </si>
  <si>
    <t>COMMON WEALTH DAIRY BUILDING</t>
  </si>
  <si>
    <t>W GILA BEND HIGHWAY</t>
  </si>
  <si>
    <t>260-214-4172</t>
  </si>
  <si>
    <t>STEVE SCHAEFER</t>
  </si>
  <si>
    <t>SSCHAEFER@SHAMBAUGH.COM</t>
  </si>
  <si>
    <t>CURVE AT ESTRELLA COMMONS</t>
  </si>
  <si>
    <t>EAST OF SEC</t>
  </si>
  <si>
    <t>ROOSEVELT ST. &amp; ESTRELLA PKWY</t>
  </si>
  <si>
    <t>602-499-5370</t>
  </si>
  <si>
    <t>PRSTON COOLING</t>
  </si>
  <si>
    <t>PRESTONC@CURVEDDEVELOPMENT.COM</t>
  </si>
  <si>
    <t xml:space="preserve">LGE DESIGN </t>
  </si>
  <si>
    <t>IMMEDIA/ICON AT PERIMETER CENTER</t>
  </si>
  <si>
    <t>E HARTFORD DR</t>
  </si>
  <si>
    <t>602-359-2160</t>
  </si>
  <si>
    <t>MARK TRAUGHBER</t>
  </si>
  <si>
    <t>MARKT@LGEDESIGNBUILD.COM</t>
  </si>
  <si>
    <t>GUADALUPE HEALTH CENTER - PASQUA YAQUI TRIBE</t>
  </si>
  <si>
    <t>S PRIEST DRIVE</t>
  </si>
  <si>
    <t>602-680-9831</t>
  </si>
  <si>
    <t>JASON WALLACE</t>
  </si>
  <si>
    <t>jwallace@chasse.us</t>
  </si>
  <si>
    <t>SCOTT DLUZEN</t>
  </si>
  <si>
    <t>LOT 1 12195 SOUTH 70TH STREET</t>
  </si>
  <si>
    <t>S 70TH STREET</t>
  </si>
  <si>
    <t>480-332-6261</t>
  </si>
  <si>
    <t>scottyd1971@msn.com</t>
  </si>
  <si>
    <t>SE JUSTICE CENTER</t>
  </si>
  <si>
    <t>E. JAVELINA</t>
  </si>
  <si>
    <t>602-432-3774</t>
  </si>
  <si>
    <t>ADAM WEST / ALEXA TATE</t>
  </si>
  <si>
    <t>atate@laytonconstruction.com</t>
  </si>
  <si>
    <t>SCHNITZER PROPERTIES</t>
  </si>
  <si>
    <t xml:space="preserve">TUCSON AIRPORT TADC BLDG C </t>
  </si>
  <si>
    <t>E MEDINA RD &amp; BROSIUS AVE</t>
  </si>
  <si>
    <t>520-392-4859</t>
  </si>
  <si>
    <t>GILBERT CHAVEZ</t>
  </si>
  <si>
    <t>gchavez@chasse.us</t>
  </si>
  <si>
    <t>THE ARBOR PH.2</t>
  </si>
  <si>
    <t xml:space="preserve">W 3RD STREET </t>
  </si>
  <si>
    <t xml:space="preserve">TEMPE </t>
  </si>
  <si>
    <t>602-689-6673 / 480-980-2632</t>
  </si>
  <si>
    <t>MICHAEL BUTTS / JARED GUYMAN</t>
  </si>
  <si>
    <t>mbutts@laytonconstruction.com;jaredguyman@laytonconstruction.com</t>
  </si>
  <si>
    <t>ALTA CHANDLER AT THE PARK</t>
  </si>
  <si>
    <t>W PARKLANE BLVD</t>
  </si>
  <si>
    <t>ROB BANNING</t>
  </si>
  <si>
    <t>rob.banning@woodpartners.com</t>
  </si>
  <si>
    <t>TUCSON AIRPORT TAC2 BLDG A</t>
  </si>
  <si>
    <t>PWI RESIDENTAL</t>
  </si>
  <si>
    <t>ASCENT AT THE PHOENICIAN</t>
  </si>
  <si>
    <t>480-290-3386</t>
  </si>
  <si>
    <t>RANDY RAYNES</t>
  </si>
  <si>
    <t>rraynes@pwiresidential.com</t>
  </si>
  <si>
    <t>EMBREE GROUP</t>
  </si>
  <si>
    <t>PORTILLO'S HOT DOGS</t>
  </si>
  <si>
    <t>E BROADWAY BLVD</t>
  </si>
  <si>
    <t>TUSCON</t>
  </si>
  <si>
    <t>737-808-6995</t>
  </si>
  <si>
    <t>CHASE GAMMON</t>
  </si>
  <si>
    <t xml:space="preserve"> cgammon@embreegroup.com</t>
  </si>
  <si>
    <t>RAISING CANE'S #695</t>
  </si>
  <si>
    <t>469-933-4037</t>
  </si>
  <si>
    <t>ANTON KUHLMANN</t>
  </si>
  <si>
    <t>AKUHLMANN@PKWYCON.COM</t>
  </si>
  <si>
    <t>THE HANGER AT THUNDERBIRD</t>
  </si>
  <si>
    <t>GREENWAY RD &amp; 57TH AVE</t>
  </si>
  <si>
    <t>bjablonsky@mtprojects.com</t>
  </si>
  <si>
    <t xml:space="preserve">PHELAN MESA GATEWAY INDUSTRIAL PARK </t>
  </si>
  <si>
    <t xml:space="preserve">E RAY RD AND S 71ST ST </t>
  </si>
  <si>
    <t>602-621-7554</t>
  </si>
  <si>
    <t>KYLE BENDURE</t>
  </si>
  <si>
    <t>KBENDURE@FCLBUILDERS.COM; ckeim@fclbuilders.com;jbach@fclbuilders.com</t>
  </si>
  <si>
    <t xml:space="preserve">WARNER COMMONS </t>
  </si>
  <si>
    <t>602-672-7493</t>
  </si>
  <si>
    <t>CEIRA DOSS</t>
  </si>
  <si>
    <t>dclark@willmeng.com;cdoss@willmeng.com</t>
  </si>
  <si>
    <t>GLEN91 APARTMENTS</t>
  </si>
  <si>
    <t xml:space="preserve">GLENDALE AVE &amp; 89TH AVE </t>
  </si>
  <si>
    <t>602-885-2932</t>
  </si>
  <si>
    <t>CRAIG EDWARDS</t>
  </si>
  <si>
    <t>CEDWARDS@EOSBUILDERS.COM</t>
  </si>
  <si>
    <t>MERCY CENTER</t>
  </si>
  <si>
    <t>MERCY DR &amp; VAL VISTA</t>
  </si>
  <si>
    <t>JIM PALAGREENO</t>
  </si>
  <si>
    <t>JIMP@LGEDESIGNBUILD.COM</t>
  </si>
  <si>
    <t>RAGINGWIRE</t>
  </si>
  <si>
    <t>TREVOR WEISS</t>
  </si>
  <si>
    <t>tweiss@holder.com</t>
  </si>
  <si>
    <t xml:space="preserve">DEERFIELD CONSTRUCTION </t>
  </si>
  <si>
    <t>ALDI FOOD STORE #155</t>
  </si>
  <si>
    <t>513-623-3722</t>
  </si>
  <si>
    <t>PHIL WALKER</t>
  </si>
  <si>
    <t>phil.walker@deerfield1.com</t>
  </si>
  <si>
    <t>PMB MERCY MOB II</t>
  </si>
  <si>
    <t xml:space="preserve">S MERCY ROAD </t>
  </si>
  <si>
    <t>602-291-9213</t>
  </si>
  <si>
    <t>VICTOR GONZALEZ</t>
  </si>
  <si>
    <t>victor.gonzalez@venncompanies.com</t>
  </si>
  <si>
    <t>SCOTTSDALE CIVIC CENTER CMAR</t>
  </si>
  <si>
    <t>DRINKWATER BLVD</t>
  </si>
  <si>
    <t>mruthrauff@willmeng.com</t>
  </si>
  <si>
    <t xml:space="preserve">DEREK BUILDERS </t>
  </si>
  <si>
    <t>PLC</t>
  </si>
  <si>
    <t>E HAMMOND LANE</t>
  </si>
  <si>
    <t>480-353-0814</t>
  </si>
  <si>
    <t>Tracy Jones</t>
  </si>
  <si>
    <t>TJones@DerekBuilders.com</t>
  </si>
  <si>
    <t xml:space="preserve">OLD WORLD COMMUNITIES LLC </t>
  </si>
  <si>
    <t xml:space="preserve">ENCANTO BELL PARK </t>
  </si>
  <si>
    <t xml:space="preserve">N 12TH ST </t>
  </si>
  <si>
    <t>602-908-4487</t>
  </si>
  <si>
    <t>DON BORGMANN</t>
  </si>
  <si>
    <t>donencantoliving@icloud.com</t>
  </si>
  <si>
    <t>SMITH &amp; RIO APARTMENTS</t>
  </si>
  <si>
    <t>928-699-5124</t>
  </si>
  <si>
    <t>JUSTIN LINDER</t>
  </si>
  <si>
    <t>jlinder@wespacaz.com</t>
  </si>
  <si>
    <t>BANNER DESERT MEDICAL</t>
  </si>
  <si>
    <t>602-390-4807</t>
  </si>
  <si>
    <t>TONY DESROSIERS</t>
  </si>
  <si>
    <t>tonyde@dpr.com</t>
  </si>
  <si>
    <t>COSTCO WHOLESALE PHX BUSINESS CENTER</t>
  </si>
  <si>
    <t>N 33RD AVE</t>
  </si>
  <si>
    <t>zlc Derek Pooler</t>
  </si>
  <si>
    <t>HOUGHTON ROAD AT FORT LOWELL ROAD</t>
  </si>
  <si>
    <t>HOUGHTON ROAT AT FORT LOWELL ROAD</t>
  </si>
  <si>
    <t>520-730-4489</t>
  </si>
  <si>
    <t>JOSEPH ELIAS</t>
  </si>
  <si>
    <t xml:space="preserve"> dhugeback@ashtoncoinc.com</t>
  </si>
  <si>
    <t>MAGNUM PAVING</t>
  </si>
  <si>
    <t>CORTARO RANCH BASIN BUILD OUT</t>
  </si>
  <si>
    <t>CORTARO FARMS RD &amp; JOPLIN LN</t>
  </si>
  <si>
    <t>602-920-9295</t>
  </si>
  <si>
    <t>STEVE HAWS</t>
  </si>
  <si>
    <t>STEVE@MAGNUMPAVING.COM</t>
  </si>
  <si>
    <t xml:space="preserve">SUNDT </t>
  </si>
  <si>
    <t>KAPBCS TRAINING CENTER</t>
  </si>
  <si>
    <t>S 20TH PLACE</t>
  </si>
  <si>
    <t>602-320-1964</t>
  </si>
  <si>
    <t>MITCH COZZENS</t>
  </si>
  <si>
    <t>MTCOZZENS@SUNDT.COM</t>
  </si>
  <si>
    <t>CABANA SOUTHERN</t>
  </si>
  <si>
    <t>602-568-0915</t>
  </si>
  <si>
    <t>RANDY UNDERWOOD</t>
  </si>
  <si>
    <t xml:space="preserve"> runderwood@greenlightgc.com;jmauch@greenlightgc.com</t>
  </si>
  <si>
    <t>AFUHSD TRANSPORTATION FAVILITY</t>
  </si>
  <si>
    <t xml:space="preserve">COTTON LN &amp; THOMAS RD </t>
  </si>
  <si>
    <t>SCOCHRAN@CHASSE.US;opeterson@chasse.us</t>
  </si>
  <si>
    <t>ASU BATEMAN</t>
  </si>
  <si>
    <t>550</t>
  </si>
  <si>
    <t>E TYLER MALL</t>
  </si>
  <si>
    <t>85287</t>
  </si>
  <si>
    <t>602-695-3190</t>
  </si>
  <si>
    <t>LARRY MITCHELL</t>
  </si>
  <si>
    <t>larrymitchell@coreconstruction.com;nasebrahim@coreconstruction.com;           remanalmusawi@coreconstruction.com;jacobblum@coreconstruction.com; lanetodoroff@coreconstruction.com</t>
  </si>
  <si>
    <t>VERDE AT COOLEY STATION</t>
  </si>
  <si>
    <t>WILLIAMSFIELD RD &amp; RECKER RD</t>
  </si>
  <si>
    <t>PARC TOLLESON</t>
  </si>
  <si>
    <t xml:space="preserve">89TH AVE &amp; MCDOWELL RD </t>
  </si>
  <si>
    <t xml:space="preserve">TODD BURDA </t>
  </si>
  <si>
    <t>TBURDA@MTBPROJECTS.COM</t>
  </si>
  <si>
    <t>CUTTER AVIATION</t>
  </si>
  <si>
    <t xml:space="preserve">W DEER VALLEY RD </t>
  </si>
  <si>
    <t>713-724-1984</t>
  </si>
  <si>
    <t>MATT MURPHY</t>
  </si>
  <si>
    <t>mattm@gconinc.com</t>
  </si>
  <si>
    <t>17 NORTH COMMERCE CENTER</t>
  </si>
  <si>
    <t xml:space="preserve">W CORPRATE CENTER DR </t>
  </si>
  <si>
    <t>480-268-0319</t>
  </si>
  <si>
    <t>KEN DONALDSON</t>
  </si>
  <si>
    <t>KEN.DONALDSON@RYANCOMPANIES.COM; sawyer.bos@ryancompanies.com</t>
  </si>
  <si>
    <t xml:space="preserve">NEXT GEN </t>
  </si>
  <si>
    <t>RETREAT &amp; TUSCANO</t>
  </si>
  <si>
    <t>7725</t>
  </si>
  <si>
    <t>480-773-1051</t>
  </si>
  <si>
    <t>JASON</t>
  </si>
  <si>
    <t>JASONB@NEXTGENAPARTMENTS.COM</t>
  </si>
  <si>
    <t>CARL'S JR- LITCHFIELD PARK</t>
  </si>
  <si>
    <t>480-527-5872</t>
  </si>
  <si>
    <t>OMAR FIGUEROA</t>
  </si>
  <si>
    <t>OMAR@PRIDECONTRACTINGAZ.COM</t>
  </si>
  <si>
    <t>CABANA ON BULLARD</t>
  </si>
  <si>
    <t xml:space="preserve">14720 </t>
  </si>
  <si>
    <t>480-815-7205</t>
  </si>
  <si>
    <t>A ALTERMAN</t>
  </si>
  <si>
    <t>aaltman@greenlightgc.com</t>
  </si>
  <si>
    <t>ARCO CONTRUCTION</t>
  </si>
  <si>
    <t>MDH-PV303</t>
  </si>
  <si>
    <t xml:space="preserve">N COTTON LANE </t>
  </si>
  <si>
    <t>314-732-6762</t>
  </si>
  <si>
    <t>480-259-2959</t>
  </si>
  <si>
    <t>JOHN MCKEAN</t>
  </si>
  <si>
    <t>JMCKEAN@ARCO1.COM</t>
  </si>
  <si>
    <t>BRIMLEY DEVELOPMENT</t>
  </si>
  <si>
    <t>CARDER RESIDENCE</t>
  </si>
  <si>
    <t>E EXETER BLVD</t>
  </si>
  <si>
    <t>480-395-9034</t>
  </si>
  <si>
    <t>JASON FOWLER</t>
  </si>
  <si>
    <t>JASON@BRIMDEV.COM</t>
  </si>
  <si>
    <t>MARICOPA HIGH SCHOOL #2 - Phase 2</t>
  </si>
  <si>
    <t>CENTRAL AZ TRANSFER STATION</t>
  </si>
  <si>
    <t xml:space="preserve"> N. HUNT HWY</t>
  </si>
  <si>
    <t>480-679-8291</t>
  </si>
  <si>
    <t>KEVIN WELBORN</t>
  </si>
  <si>
    <t>kwelborn@CAMBRIDGECOINC.COM</t>
  </si>
  <si>
    <t>JET AVIATION HANGER 2</t>
  </si>
  <si>
    <t>N AIRPORT DRIVE</t>
  </si>
  <si>
    <t>602-647-1356 / 602-397-0166</t>
  </si>
  <si>
    <t>DANNY MURPHY / BRANDON VERSTEEG</t>
  </si>
  <si>
    <t>danny.murphy@weoneil.com;bversteeg@weoneil.com</t>
  </si>
  <si>
    <t>S.J. ANDERSON</t>
  </si>
  <si>
    <t>ARIZONA DEPARTMENT OF CORRECTIONS</t>
  </si>
  <si>
    <t>WEST JEFFERSON ST</t>
  </si>
  <si>
    <t>MYCHAL SALVIONE</t>
  </si>
  <si>
    <t>MYCHAL@THESJANDERSON.COM</t>
  </si>
  <si>
    <t>APS HUB WEST</t>
  </si>
  <si>
    <t>MC 85 &amp; SR85</t>
  </si>
  <si>
    <t>602-531-4392</t>
  </si>
  <si>
    <t xml:space="preserve">KEVIN BROWN </t>
  </si>
  <si>
    <t>kbrown@mccarthy.com;cwagner@mccarthy.com</t>
  </si>
  <si>
    <t>DISTRICT AT CIVIC SQUARE</t>
  </si>
  <si>
    <t>PEBBLE CREEK AND MONTE VISTA</t>
  </si>
  <si>
    <t>EDDIE ESTRADA/STEVE VICE</t>
  </si>
  <si>
    <t>EESTRADA@MTBPROJECTS.COM</t>
  </si>
  <si>
    <t>KEY CONSTRUCTION</t>
  </si>
  <si>
    <t>CHICKEN N PICKLE</t>
  </si>
  <si>
    <t>9330 W HANNA DRIVE</t>
  </si>
  <si>
    <t>316-250-4660</t>
  </si>
  <si>
    <t>MATT VOSS</t>
  </si>
  <si>
    <t>MVOSS@KEYCONSTRUCTION.COM</t>
  </si>
  <si>
    <t xml:space="preserve">KYRENE ESD - CIELO BUS STOP </t>
  </si>
  <si>
    <t>N LAKE SHORE DRIVE</t>
  </si>
  <si>
    <t>480-221-2577</t>
  </si>
  <si>
    <t xml:space="preserve">BEN    </t>
  </si>
  <si>
    <t>bengeraty@conreconstruction.com</t>
  </si>
  <si>
    <t>ALBUM MARANA</t>
  </si>
  <si>
    <t>602-509-8429</t>
  </si>
  <si>
    <t>RIKKI MINETTI</t>
  </si>
  <si>
    <t>RIKKI.MINETTI@GRAYSTAR.COM</t>
  </si>
  <si>
    <t>CENTURY COMMUNITIES CONSTRUCTION OF AZ</t>
  </si>
  <si>
    <t>NORTH COPPER CANYON PARCEL 2.1</t>
  </si>
  <si>
    <t xml:space="preserve">PINNACLE PEAK ROAD &amp; CITRUS </t>
  </si>
  <si>
    <t>623-522-9298</t>
  </si>
  <si>
    <t>NIKI ALI</t>
  </si>
  <si>
    <t>NIKI@COPPER-NAIL.COM</t>
  </si>
  <si>
    <t>ACOYA SHEA AT SCOTTSDALE</t>
  </si>
  <si>
    <t>7373</t>
  </si>
  <si>
    <t>RAY GOMEZ / MIKE ZOEMISCH</t>
  </si>
  <si>
    <t>michael.zoemisch@ryancompanies.com;ray.gomez@ryancompanies.com</t>
  </si>
  <si>
    <t>SIGMA CONTRACTING</t>
  </si>
  <si>
    <t>LIFTED TRUCKS - PHASE 2</t>
  </si>
  <si>
    <t>4545 &amp; 4601</t>
  </si>
  <si>
    <t>W INDA ROAD</t>
  </si>
  <si>
    <t>480-578-0365</t>
  </si>
  <si>
    <t>KELLY FELDMAN</t>
  </si>
  <si>
    <t>SUNLAND ASPHALT</t>
  </si>
  <si>
    <t>UTILITY TRAILER SALES COMPANY  OF AZ</t>
  </si>
  <si>
    <t>W ROOSEVELT STREET</t>
  </si>
  <si>
    <t>602-859-7189</t>
  </si>
  <si>
    <t>PAUL BUNNELL</t>
  </si>
  <si>
    <t>pbunnell@sunlandasphalt.com</t>
  </si>
  <si>
    <t>ASU ALUMNI LAWN</t>
  </si>
  <si>
    <t>602-418-5041</t>
  </si>
  <si>
    <t>ROBERT WATLEY / ZSOLT PISZTEL</t>
  </si>
  <si>
    <t>rwatley@willmeng.com;zpisztel@willmeng.com</t>
  </si>
  <si>
    <t>843-323-8165</t>
  </si>
  <si>
    <t>jbrown@dooleymacksc.com;dgross@dooleymacksc.com;sshealey@dooleymacksc.com</t>
  </si>
  <si>
    <t xml:space="preserve">PEBBLE CREEK POTATO BARN </t>
  </si>
  <si>
    <t>157TH AVE AND W MCDOWELL RD</t>
  </si>
  <si>
    <t>480-289-0769</t>
  </si>
  <si>
    <t>RON ALDERMAN</t>
  </si>
  <si>
    <t>RALDERMAN@SIGMACONTRACTING.COM</t>
  </si>
  <si>
    <t>COPPER RIDGE TENNIS COURTS EXPANSION</t>
  </si>
  <si>
    <t>E HORSESHOE CANYON DRIVE</t>
  </si>
  <si>
    <t>602-697-1485</t>
  </si>
  <si>
    <t>MARCUS BUTLER</t>
  </si>
  <si>
    <t>mbutler@a-p.com</t>
  </si>
  <si>
    <t>THE RESERVE- SCOTTSDALE</t>
  </si>
  <si>
    <t>NORTH 136TH STREET</t>
  </si>
  <si>
    <t>602-809-0927</t>
  </si>
  <si>
    <t>MARK RUBISCHKO</t>
  </si>
  <si>
    <t>mark@fdgroup.us</t>
  </si>
  <si>
    <t>CADENCE AT GATEWAY</t>
  </si>
  <si>
    <t>951-489-6604</t>
  </si>
  <si>
    <t>MARCUS MORALES</t>
  </si>
  <si>
    <t>marcus.morales@sodella.com; cesar.sanchez@sodella.com;derrick.moreira@sodella.com</t>
  </si>
  <si>
    <t>BANNER GATEWAY MEDICAL</t>
  </si>
  <si>
    <t>602-527-2363</t>
  </si>
  <si>
    <t>STEVEN STUMP</t>
  </si>
  <si>
    <t xml:space="preserve">WOOLF LOGISTICS </t>
  </si>
  <si>
    <t>DARIN.KRIER@RYANCOMPANIES.COM</t>
  </si>
  <si>
    <t>DESERTBUILD COMPANIES LLC</t>
  </si>
  <si>
    <t>BLACK ROCK COFFEE 35TH AVE &amp; BASELINE</t>
  </si>
  <si>
    <t>35TH AVE &amp;  BASELINE</t>
  </si>
  <si>
    <t>602-788-2616</t>
  </si>
  <si>
    <t>STEVEN BOWSER</t>
  </si>
  <si>
    <t>sb@hxeng.com;matt@desertbuild.net</t>
  </si>
  <si>
    <t>QTS - PHX2 DC1</t>
  </si>
  <si>
    <t>GALLO CON</t>
  </si>
  <si>
    <t>IRON CITY POLARIS</t>
  </si>
  <si>
    <t>N PINAL AVE</t>
  </si>
  <si>
    <t>520-836-8899</t>
  </si>
  <si>
    <t>JESSE GLADMAN</t>
  </si>
  <si>
    <t>gesse@galloconstruction.com</t>
  </si>
  <si>
    <t>X-FACTOR SOCCER PARK</t>
  </si>
  <si>
    <t>N TREKELL ROAD</t>
  </si>
  <si>
    <t>520-560-0171</t>
  </si>
  <si>
    <t xml:space="preserve">DAVID   </t>
  </si>
  <si>
    <t>info@gall0construction.com</t>
  </si>
  <si>
    <t>KENTWOOD 10</t>
  </si>
  <si>
    <t>215TH AVE &amp; ROOSEVELT</t>
  </si>
  <si>
    <t>djameson@willmeng.com;jcrichton@willmeng.com</t>
  </si>
  <si>
    <t>TWG</t>
  </si>
  <si>
    <t xml:space="preserve">SUNLAND FLATS </t>
  </si>
  <si>
    <t xml:space="preserve">215 </t>
  </si>
  <si>
    <t xml:space="preserve">W SUNLAND AVE </t>
  </si>
  <si>
    <t>602-592-0309</t>
  </si>
  <si>
    <t>BEN GORBEA</t>
  </si>
  <si>
    <t>bgorbea@twgdev.com</t>
  </si>
  <si>
    <t xml:space="preserve">VISTA RIDGE APARTMENTS </t>
  </si>
  <si>
    <t>507-884-4199</t>
  </si>
  <si>
    <t>CHRIS ANDRIST</t>
  </si>
  <si>
    <t>CHADANDRIST@WEISBUILDERS.COM</t>
  </si>
  <si>
    <t>BOYD DEVELOPMENT</t>
  </si>
  <si>
    <t>GOODYEAR STORAGE</t>
  </si>
  <si>
    <t>480-349-9984</t>
  </si>
  <si>
    <t>JONATHAN BOYD</t>
  </si>
  <si>
    <t>JBOYD@BOYDDEVCO.COM</t>
  </si>
  <si>
    <t>VCC LLC</t>
  </si>
  <si>
    <t>VINYARD TOWNE CENTER</t>
  </si>
  <si>
    <t>GANTZEL RD &amp; COMBS RD</t>
  </si>
  <si>
    <t xml:space="preserve"> 469-712-8992</t>
  </si>
  <si>
    <t>RYAN HIGENS</t>
  </si>
  <si>
    <t>ryanhigens@vccusa.com</t>
  </si>
  <si>
    <t>WHITING TURNER</t>
  </si>
  <si>
    <t>FAIRWAY COMMERCE CENTER</t>
  </si>
  <si>
    <t>NORTH FAIRWAY DRIVE</t>
  </si>
  <si>
    <t>949-400-7044</t>
  </si>
  <si>
    <t>OCTAVIO</t>
  </si>
  <si>
    <t>OCTAVIO.MONTOYA@WHITING-TURNER.COM</t>
  </si>
  <si>
    <t>GOODYEAR POLICE DEPT PHASE II</t>
  </si>
  <si>
    <t>TODD DOAN</t>
  </si>
  <si>
    <t>TODDDOAN@CORECONSTRUCTION.COM</t>
  </si>
  <si>
    <t>SONORAN CREST CONSTRUCTION</t>
  </si>
  <si>
    <t>ASU APACHE BLVD LANDSCAPE</t>
  </si>
  <si>
    <t>APACHE BLVD &amp; NORMAL AVE</t>
  </si>
  <si>
    <t>480-316-3994</t>
  </si>
  <si>
    <t>WAYNE HARMON</t>
  </si>
  <si>
    <t>wayne.harmon@sonorancrest.com</t>
  </si>
  <si>
    <t>SKYWAY COMMONS BLDG D</t>
  </si>
  <si>
    <t>ASU LOT 47 CONSTRUCTION</t>
  </si>
  <si>
    <t>S RURAL ROAD</t>
  </si>
  <si>
    <t>623-256-1765</t>
  </si>
  <si>
    <t>BEN FYFFE</t>
  </si>
  <si>
    <t>bfyffe@willmeng.cm</t>
  </si>
  <si>
    <t>ACERO QUEEN CREEK</t>
  </si>
  <si>
    <t>E. RITTENHOUSE ROAD</t>
  </si>
  <si>
    <t>JAMIE WILLIAMS / RYAN OBERG</t>
  </si>
  <si>
    <t>jamie.williams@idmbuilds.com;ryan.oberg@idmbuilds.com</t>
  </si>
  <si>
    <t>FRIENDSHIP VILLAGE OF TEMPE PHASE 2 BUILDING</t>
  </si>
  <si>
    <t>480-812-5555</t>
  </si>
  <si>
    <t>RYAN SVETICHAN</t>
  </si>
  <si>
    <t>ryan.svetichan@ryancompies.com</t>
  </si>
  <si>
    <t>MESA ARTS DISTRICT LOFTS</t>
  </si>
  <si>
    <t xml:space="preserve">145 </t>
  </si>
  <si>
    <t>E MAIN STREET</t>
  </si>
  <si>
    <t>amoses@mtbuilders.com</t>
  </si>
  <si>
    <t xml:space="preserve">UNBOUND GATEWAY </t>
  </si>
  <si>
    <t xml:space="preserve">SOSSAMAN RD &amp; PECOS RD </t>
  </si>
  <si>
    <t>602-903-0089 / 480-369-1990</t>
  </si>
  <si>
    <t>RON BANKSON  /JIM THORPE</t>
  </si>
  <si>
    <t>rbankson@DEREKBUILDERS.COM;jthorpe@derekbuilders.com</t>
  </si>
  <si>
    <t>TOYBARN SCOTTSDALE II</t>
  </si>
  <si>
    <t xml:space="preserve">E HELM DR </t>
  </si>
  <si>
    <t>480-708-5667</t>
  </si>
  <si>
    <t>JAKOB PORTER / MATTHEW SHAWCROFT</t>
  </si>
  <si>
    <t>jporter@renconco.com ;MSHAWCROFT@RENCONCO.COM</t>
  </si>
  <si>
    <r>
      <t xml:space="preserve">WD BUILDERS  </t>
    </r>
    <r>
      <rPr>
        <sz val="11"/>
        <color rgb="FFFF0000"/>
        <rFont val="Calibri"/>
        <family val="2"/>
        <scheme val="minor"/>
      </rPr>
      <t xml:space="preserve">2 PROJECTS COMBIINED </t>
    </r>
  </si>
  <si>
    <t>SUNCREST VISTA AT CANYON TRAIL</t>
  </si>
  <si>
    <t>303 AND W VAN BUREN</t>
  </si>
  <si>
    <t>490-991-3985</t>
  </si>
  <si>
    <t>DAN LEONE</t>
  </si>
  <si>
    <t>dleone@hunterengineeringpc.</t>
  </si>
  <si>
    <t>QTS DATA CENTER PHX2 DC2</t>
  </si>
  <si>
    <t>N 40TH STREET</t>
  </si>
  <si>
    <t>314-740-6144</t>
  </si>
  <si>
    <t>BRYANT ENSMAN</t>
  </si>
  <si>
    <t>ensmanb@claycorp.com</t>
  </si>
  <si>
    <t>MET 202</t>
  </si>
  <si>
    <t>S CRISMON ROAD</t>
  </si>
  <si>
    <t>480-848-5648</t>
  </si>
  <si>
    <t>ARARON SCOTT</t>
  </si>
  <si>
    <t>ascott@willmeng.com</t>
  </si>
  <si>
    <t>WOODSPRINGS CHANDLER AIRPORT</t>
  </si>
  <si>
    <t>602-819-4888</t>
  </si>
  <si>
    <t>MARK MITCHELL</t>
  </si>
  <si>
    <t>mmicho@pathcc.com</t>
  </si>
  <si>
    <t>MESA INDUSTRIAL PHASE II</t>
  </si>
  <si>
    <t>480-710-7088</t>
  </si>
  <si>
    <t>TIM BENNETT / DAN ROMAN</t>
  </si>
  <si>
    <t>tim.bennett@ryancompanies.com</t>
  </si>
  <si>
    <t>LAKIN INDUSTRIAL</t>
  </si>
  <si>
    <t>602-418-4648</t>
  </si>
  <si>
    <t>CHRIS CAVIN/TANNER STEWART</t>
  </si>
  <si>
    <t>CCAVIN@LAYTONCONSTRUCTION.COM;vanessa.sanchez@laytonconstruction.com</t>
  </si>
  <si>
    <t>THE CUBES AT GLENDALE BUILDING B</t>
  </si>
  <si>
    <t>15301</t>
  </si>
  <si>
    <t>W NORTHERN AVENUE</t>
  </si>
  <si>
    <t>MICHAEL BSCHOR</t>
  </si>
  <si>
    <t>BschorM@claycorp.com;BatiliE@claycorp.com</t>
  </si>
  <si>
    <t>NDC</t>
  </si>
  <si>
    <t>41 NORTH CONTRACTORS, LLC</t>
  </si>
  <si>
    <t>WHITE CASTLE</t>
  </si>
  <si>
    <t>S JEWEL STREET</t>
  </si>
  <si>
    <t>602-300-7890</t>
  </si>
  <si>
    <t>MIKE LEGRAND</t>
  </si>
  <si>
    <t>mike.legrand@41northcontractors.com</t>
  </si>
  <si>
    <t xml:space="preserve">AIRPARK LOGISTICS </t>
  </si>
  <si>
    <t>YUMA ROAD &amp; BULLARD</t>
  </si>
  <si>
    <t>JIM KELLY</t>
  </si>
  <si>
    <t>jimk@lgedesignbuild.com</t>
  </si>
  <si>
    <t>SUNDANCE PARK PHASE II</t>
  </si>
  <si>
    <t>480-287-3693</t>
  </si>
  <si>
    <t>ANWAR ALBANDAK</t>
  </si>
  <si>
    <t>aalbandak@willmeng.com;hbeerangi@willmeng.com</t>
  </si>
  <si>
    <t xml:space="preserve">MARICOPA EAST VALLEY ANIMAL CONTROL </t>
  </si>
  <si>
    <t xml:space="preserve">S LEWIS </t>
  </si>
  <si>
    <t>480-760-5831</t>
  </si>
  <si>
    <t>KEVIN SHADE / BRANDON HOFFMAN</t>
  </si>
  <si>
    <t>kevin.shade@laytonconstruction.com;bhoffman@laytonconstruction.com</t>
  </si>
  <si>
    <t>SANTORINI HOMES</t>
  </si>
  <si>
    <t>JONES RESIDENCE</t>
  </si>
  <si>
    <t>602-818-8232</t>
  </si>
  <si>
    <t>MATTHEW</t>
  </si>
  <si>
    <t>matthew@santorinihomes.com</t>
  </si>
  <si>
    <t>CORONA COMMERCE CENTER</t>
  </si>
  <si>
    <t>2713, 2717</t>
  </si>
  <si>
    <t>CORONA RD</t>
  </si>
  <si>
    <t>503-242-2900</t>
  </si>
  <si>
    <t>RYAN SCHERA</t>
  </si>
  <si>
    <t>RYANS@SCHNITZERPROPERTIES.COM</t>
  </si>
  <si>
    <t>DREXEL ROAD COMMERCE CENTER</t>
  </si>
  <si>
    <t>E DREXEL ROAD</t>
  </si>
  <si>
    <t>503-973-0258</t>
  </si>
  <si>
    <t>ryans@harsch.com</t>
  </si>
  <si>
    <t>PLENIUM BUILDERS INC</t>
  </si>
  <si>
    <t>SCHEELS ALL SPORTS</t>
  </si>
  <si>
    <t>775-870-2040</t>
  </si>
  <si>
    <t>GARET ISAMAN</t>
  </si>
  <si>
    <t>gisaman@pleniumbuilders.com;rpetters@pleniumbuilders.com</t>
  </si>
  <si>
    <r>
      <t xml:space="preserve">PARKWAY CONSTRUCTION </t>
    </r>
    <r>
      <rPr>
        <sz val="11"/>
        <color rgb="FFFF0000"/>
        <rFont val="Calibri"/>
        <family val="2"/>
        <scheme val="minor"/>
      </rPr>
      <t>Changed to NDC</t>
    </r>
  </si>
  <si>
    <t>ANDRETTI INDOOR KARTING &amp; GAMES</t>
  </si>
  <si>
    <t>N 99TH AVE &amp; MARYLAND AVE</t>
  </si>
  <si>
    <t>949-302-0843</t>
  </si>
  <si>
    <t>JIM WILLIAMS</t>
  </si>
  <si>
    <t xml:space="preserve">COLLABORATIVE CONSTRUCTION </t>
  </si>
  <si>
    <r>
      <t>CAFÉ ZUPAS</t>
    </r>
    <r>
      <rPr>
        <sz val="11"/>
        <color rgb="FFFF0000"/>
        <rFont val="Calibri"/>
        <family val="2"/>
        <scheme val="minor"/>
      </rPr>
      <t>GC canned contract with collab</t>
    </r>
  </si>
  <si>
    <t>3233</t>
  </si>
  <si>
    <t>602-919-0326</t>
  </si>
  <si>
    <t>BARRON BRUCE</t>
  </si>
  <si>
    <t>shawn.w@collabconst.com; baron.b@collabconst.com;joe.c@collabconst.com</t>
  </si>
  <si>
    <t>ALEXANDER</t>
  </si>
  <si>
    <t>MERKIN VINEYARD</t>
  </si>
  <si>
    <t>N VERDE HEIGHTS DRIVE</t>
  </si>
  <si>
    <t xml:space="preserve">COTTONWOOD </t>
  </si>
  <si>
    <t>480-513-6144</t>
  </si>
  <si>
    <t>JOHN MULLIN</t>
  </si>
  <si>
    <t>jmullin@abccre.com</t>
  </si>
  <si>
    <t>ELECTRIC PICKLE TEMPE - P1</t>
  </si>
  <si>
    <t>S EMERALD DRIVE</t>
  </si>
  <si>
    <t>602-434-2811</t>
  </si>
  <si>
    <t>DEL HAMMAN</t>
  </si>
  <si>
    <t>dhamman@abccre.com</t>
  </si>
  <si>
    <t xml:space="preserve">OASIS BEHAVIORAL </t>
  </si>
  <si>
    <t>N GRACE BLVD</t>
  </si>
  <si>
    <t>MANUEL VIDAURE</t>
  </si>
  <si>
    <t>mvidaure@a-p.com</t>
  </si>
  <si>
    <t>REPUBLIC SERVICES RECYCLING</t>
  </si>
  <si>
    <t>N BEELINE HIGHWAY</t>
  </si>
  <si>
    <t>480-679-8310</t>
  </si>
  <si>
    <t>MATTHEW BRADY</t>
  </si>
  <si>
    <t>mbrady@cambridgecoinc.com;tim@cambridgecoinc.com</t>
  </si>
  <si>
    <t>E.P.A PERMIT #AZR1010VW</t>
  </si>
  <si>
    <t>BUESING CORP</t>
  </si>
  <si>
    <t>602-291-9021</t>
  </si>
  <si>
    <t>TROY WOLFE</t>
  </si>
  <si>
    <t>twolfe@Buesingcorp.com</t>
  </si>
  <si>
    <t>770-558-0240 / 770-928-7120</t>
  </si>
  <si>
    <t>JOHN SMITH</t>
  </si>
  <si>
    <t>JGSMITH@PRIMUSBUILDERS.COM</t>
  </si>
  <si>
    <t>MARTEN TRANSPORT</t>
  </si>
  <si>
    <t>602-376-1528</t>
  </si>
  <si>
    <t>PAUL SALSBURY</t>
  </si>
  <si>
    <t>pauls@ibcaz.com</t>
  </si>
  <si>
    <t>ARIZONA HUMAN SOCIETY - PAPAGO PARK CAMPUS</t>
  </si>
  <si>
    <t>480-489-3751 / 480-688-0123</t>
  </si>
  <si>
    <t>MIKE DAHDAL / SHANON JOHNSON</t>
  </si>
  <si>
    <t>michael.dahdal@ryancompanies.com;shanon.johnson@ryancompanies.com</t>
  </si>
  <si>
    <t>EDGE CONSTRUCTION</t>
  </si>
  <si>
    <t>ASU 104035 CHILD BUILDING DEMO</t>
  </si>
  <si>
    <t>S TERRACE ROAD</t>
  </si>
  <si>
    <t>602-228-8383</t>
  </si>
  <si>
    <t>CLINT SCHAMBACH</t>
  </si>
  <si>
    <t>Clint@edgeconstruct.com</t>
  </si>
  <si>
    <t>THE CUBES AT MESA BLDG C</t>
  </si>
  <si>
    <t xml:space="preserve">S CRISMON RD </t>
  </si>
  <si>
    <t>314-910-7753</t>
  </si>
  <si>
    <t>KEITH</t>
  </si>
  <si>
    <t>pinkertonk@claycorp.com</t>
  </si>
  <si>
    <t>MERA CHANDLER</t>
  </si>
  <si>
    <t>W PECOS BLVD</t>
  </si>
  <si>
    <t>480-415-9048</t>
  </si>
  <si>
    <t>CHIEN WU</t>
  </si>
  <si>
    <t>chien.wu@sparrow-partners.com</t>
  </si>
  <si>
    <t>QTS DC5</t>
  </si>
  <si>
    <t>623-680-2739</t>
  </si>
  <si>
    <t xml:space="preserve">OTTAWA UNIVERSITY </t>
  </si>
  <si>
    <t>W TIERRA BUENA LN</t>
  </si>
  <si>
    <t>602-329-0002</t>
  </si>
  <si>
    <t>BRYAN PARKER</t>
  </si>
  <si>
    <t>tgrimaldi@chasse.us</t>
  </si>
  <si>
    <t>EDISON POINT - RETAIL DEVELOPMENT</t>
  </si>
  <si>
    <t>W. EDISON ROAD</t>
  </si>
  <si>
    <t>RHETT BUTTLER</t>
  </si>
  <si>
    <t>GLEN BRANHAM CONSTRUCTION</t>
  </si>
  <si>
    <t>APACHE JUNCTION WEDDING VENUE</t>
  </si>
  <si>
    <t>S STAR ROAD</t>
  </si>
  <si>
    <t>480-645-2738</t>
  </si>
  <si>
    <t>GLEN BRANHAM</t>
  </si>
  <si>
    <t>glenbranham@hotmail.com</t>
  </si>
  <si>
    <t>KENTWOOD 10-OFFSITE</t>
  </si>
  <si>
    <t xml:space="preserve">MERITAGE HOMES </t>
  </si>
  <si>
    <t>PROVINCE (DUST INSPECTION )</t>
  </si>
  <si>
    <t>W SMITH ENKE RD</t>
  </si>
  <si>
    <t>chris.colbourn@meritagehomes.com;antonio.aviles@meritagehomes.com</t>
  </si>
  <si>
    <t>PROVINCE (SWPPP INSPECTION )</t>
  </si>
  <si>
    <t>C.O GREENFIELD</t>
  </si>
  <si>
    <t>S 10TH ST</t>
  </si>
  <si>
    <t>602-568-8995</t>
  </si>
  <si>
    <t>ENRIQUE OCHOA</t>
  </si>
  <si>
    <t>jpmclaughlin@chasse.us;igarcia@chasse.us</t>
  </si>
  <si>
    <t>QTS PHX2 DC2 36MW</t>
  </si>
  <si>
    <t>PECOS PACIFIC</t>
  </si>
  <si>
    <t>MICK</t>
  </si>
  <si>
    <t>314-452-1461</t>
  </si>
  <si>
    <t>bixbym@claycorp.com</t>
  </si>
  <si>
    <t xml:space="preserve">SUNTEC CONCRETE </t>
  </si>
  <si>
    <t xml:space="preserve">GLENDALE &amp; 303 </t>
  </si>
  <si>
    <t xml:space="preserve">COTTON LN &amp; GLENDALE </t>
  </si>
  <si>
    <t>602-757-7949</t>
  </si>
  <si>
    <t>TODD BREUER</t>
  </si>
  <si>
    <t>tbreuer@suntecconcrete.com</t>
  </si>
  <si>
    <t>HOPEWELL - POWER &amp; WARNER</t>
  </si>
  <si>
    <t>480-343-1186</t>
  </si>
  <si>
    <t>ALAN LEICHTMAN</t>
  </si>
  <si>
    <t>aleichtman@fclbuilders.com</t>
  </si>
  <si>
    <t>FLOWING WELLS CLC</t>
  </si>
  <si>
    <t xml:space="preserve">W PRINCE RD </t>
  </si>
  <si>
    <t>520-248-0772</t>
  </si>
  <si>
    <t>MARK MILLER</t>
  </si>
  <si>
    <t>MMILLER@A-P.COM</t>
  </si>
  <si>
    <t xml:space="preserve">HARMONY @ CACTUS </t>
  </si>
  <si>
    <t>602-399-9155</t>
  </si>
  <si>
    <t>602-717-8141</t>
  </si>
  <si>
    <t>SCOTT WEIGELE</t>
  </si>
  <si>
    <t xml:space="preserve">scottw@treger.com; ken@treger.com; jason@treger.com
</t>
  </si>
  <si>
    <t xml:space="preserve">CCV SURPRISE </t>
  </si>
  <si>
    <t>163RD AVE &amp; PINNACLE PEAK RD</t>
  </si>
  <si>
    <t>MARC@PCDM.US</t>
  </si>
  <si>
    <t>TYR TACTICAL III</t>
  </si>
  <si>
    <t xml:space="preserve">PEORIA </t>
  </si>
  <si>
    <t>602-859-0084</t>
  </si>
  <si>
    <t>DAVE HILL</t>
  </si>
  <si>
    <t>dhill@derekbuilders.com</t>
  </si>
  <si>
    <t>STERLING GROVE</t>
  </si>
  <si>
    <t>NW CORNER</t>
  </si>
  <si>
    <t>PEORIA AND 303</t>
  </si>
  <si>
    <t>602-550-7358</t>
  </si>
  <si>
    <t>JERRY REICHENBERGER</t>
  </si>
  <si>
    <t>JREICHEDNBERGER@ARMAYS.COM</t>
  </si>
  <si>
    <t>NEWPORT POWER INDUSTRIAL</t>
  </si>
  <si>
    <t>314-941-0514</t>
  </si>
  <si>
    <t>TIMOTHY GRAVES</t>
  </si>
  <si>
    <t>gravest@claycorp.com</t>
  </si>
  <si>
    <t>SCANNELL DOVE RANCH</t>
  </si>
  <si>
    <t>67TH AVE &amp; WEST DOBBINS RD</t>
  </si>
  <si>
    <t>314-713-1414</t>
  </si>
  <si>
    <t>ARNEZ STEVENSON</t>
  </si>
  <si>
    <t>STEVENSONA@CLAYCORP.COM</t>
  </si>
  <si>
    <t>WOOD SPRINGS TOLLESON</t>
  </si>
  <si>
    <t>605 N 99TH AVE</t>
  </si>
  <si>
    <t>602-818-1715</t>
  </si>
  <si>
    <t>CRAIG STEWART</t>
  </si>
  <si>
    <t>CSTEWART@PATHCC.COM;ashurkus@pathcc.com</t>
  </si>
  <si>
    <t>COLLABORATIVE CONSTRUCTION</t>
  </si>
  <si>
    <t>RETAIL RESTAURANT QC</t>
  </si>
  <si>
    <t xml:space="preserve">OCOTILLO RD AND SIGNAL BUTTE </t>
  </si>
  <si>
    <t>602-999-2920</t>
  </si>
  <si>
    <t>TERRY LAMB</t>
  </si>
  <si>
    <t>terry.l@collabconst.com</t>
  </si>
  <si>
    <t>VANTASSEL PROCTOR</t>
  </si>
  <si>
    <t>AUTOZONE #5304</t>
  </si>
  <si>
    <t>E OLD WEST HIGHWAY</t>
  </si>
  <si>
    <t>501-410-0225</t>
  </si>
  <si>
    <t>RUSS CAMERON</t>
  </si>
  <si>
    <t>rcameron@vpconstruct.com</t>
  </si>
  <si>
    <t xml:space="preserve">WESTPARK PARCEL 18 </t>
  </si>
  <si>
    <t xml:space="preserve">ROOKS RD &amp; WESTPARK LOOP </t>
  </si>
  <si>
    <t>WESTPARK18SITE@GMAIL.COM</t>
  </si>
  <si>
    <t>UNIVERSITY OF AZ ANDREW WEIL</t>
  </si>
  <si>
    <t>E MARBLE STREET</t>
  </si>
  <si>
    <t>480-689-1739</t>
  </si>
  <si>
    <t>jake smaellie</t>
  </si>
  <si>
    <t>JAKES@DPR.COM</t>
  </si>
  <si>
    <t>TB PENICK AND SONS INC</t>
  </si>
  <si>
    <t>THE PHOENICIAN VILLAS AT CANYON SUITES</t>
  </si>
  <si>
    <t>E CAMELBACK ROAD</t>
  </si>
  <si>
    <t>805-714-2621 / 805-314-3100</t>
  </si>
  <si>
    <t>GARY MARVEL / BHRANDON BEASLEY</t>
  </si>
  <si>
    <t>GaryM@tbpenick.com;bhrandonb@tbpenick.com;gerardob@tbpenick.com</t>
  </si>
  <si>
    <t>GILILAND MIDDLE SCHOOL</t>
  </si>
  <si>
    <t>S BECK AVE</t>
  </si>
  <si>
    <t>brennanparker@chasse.us;tgeary@chasse.us</t>
  </si>
  <si>
    <t>ELWOOD LOGISTICS - ADDITIONAL PARKING</t>
  </si>
  <si>
    <t>ELWOOD &amp; SARIVAL AVE</t>
  </si>
  <si>
    <t>ACERO HAWES 2</t>
  </si>
  <si>
    <t>S 79TH STREET</t>
  </si>
  <si>
    <t>602-639-0954</t>
  </si>
  <si>
    <t>ERIC EVANS / PEDRO ALVAREZ-BAZAN</t>
  </si>
  <si>
    <t>eric.evans@idmbuilds.com;pedro.alvarez-bazan@idmbuilds.com</t>
  </si>
  <si>
    <t>OVERTURE RAINTREE</t>
  </si>
  <si>
    <t>N 90TH ST &amp; RAINTREE CIRCLE DR</t>
  </si>
  <si>
    <t>mark.sloan@greystar.com</t>
  </si>
  <si>
    <t xml:space="preserve">RESIDENCES ON 1ST </t>
  </si>
  <si>
    <t>S MACDONALD RD</t>
  </si>
  <si>
    <t>85210</t>
  </si>
  <si>
    <t>928-830-7161</t>
  </si>
  <si>
    <t>SHANE  BURROUGHS</t>
  </si>
  <si>
    <t>sburroughs@pacificap.com;vbhandari@pacificap.com</t>
  </si>
  <si>
    <t xml:space="preserve">BICKMAN INDUSTRIAL </t>
  </si>
  <si>
    <t>480-708-9315</t>
  </si>
  <si>
    <t>beldredge@renconco.com; jcervantes@renconco.com</t>
  </si>
  <si>
    <t>SHOPS AT 75TH</t>
  </si>
  <si>
    <t>BETRHANY HOME RD &amp; 75TH AVE</t>
  </si>
  <si>
    <t>623-255-2014</t>
  </si>
  <si>
    <t>MIKE MURRY</t>
  </si>
  <si>
    <t>mikem@bprcompanies.com</t>
  </si>
  <si>
    <t>AVONDALE AQUATICS CENTER</t>
  </si>
  <si>
    <t xml:space="preserve">SEC </t>
  </si>
  <si>
    <t xml:space="preserve">AVONDALE BLVD &amp; CIVIC CENTER DR </t>
  </si>
  <si>
    <t>480-338-6787</t>
  </si>
  <si>
    <t>DONOVAN JAMES</t>
  </si>
  <si>
    <t>donovanjames@coreconstruction.com; zachestes@coreconstruction.com</t>
  </si>
  <si>
    <t>BJERK BUILDERS, INC</t>
  </si>
  <si>
    <t>ARIZONA CORRUGATED CONTAINER</t>
  </si>
  <si>
    <t>S DOBSON ROAD</t>
  </si>
  <si>
    <t>480-688-2259</t>
  </si>
  <si>
    <t>SHAWN HUSTON</t>
  </si>
  <si>
    <t>shawn@bjerkbuilders.com</t>
  </si>
  <si>
    <t>AMERICAN RETAIL CONTRACTORS, LLC</t>
  </si>
  <si>
    <t xml:space="preserve">MESA - MCKELLIPS </t>
  </si>
  <si>
    <t>E MCKELLIPS ROAD</t>
  </si>
  <si>
    <t>602-370-6570</t>
  </si>
  <si>
    <t>DERRICK KAPP</t>
  </si>
  <si>
    <t>dknipp.arc@gmail.com</t>
  </si>
  <si>
    <t>MESA, ELLIOT &amp; SIGNAL BUTTE</t>
  </si>
  <si>
    <t>314-346-5761</t>
  </si>
  <si>
    <t>BRIAN KLEVE</t>
  </si>
  <si>
    <t>kleveb@claycorp.com;pirtzr@claycorp.com;grozag@claycorp.com</t>
  </si>
  <si>
    <t>MCDONALD BROS CONSTRUCTION</t>
  </si>
  <si>
    <t>HIGH VIEW AT BOULDER CREEK</t>
  </si>
  <si>
    <t xml:space="preserve"> W STATE ROUTE 260</t>
  </si>
  <si>
    <t>928-925-3553</t>
  </si>
  <si>
    <t>BLAZE PATSKA</t>
  </si>
  <si>
    <t>blaze@mcdonaldbrosaz.com</t>
  </si>
  <si>
    <t>ADOT REGINAL BASIN</t>
  </si>
  <si>
    <t>W ROOSEVELT RD &amp; PERRYVILLE RD</t>
  </si>
  <si>
    <t>928-533-6513</t>
  </si>
  <si>
    <t>JACOB DITTBRENNER</t>
  </si>
  <si>
    <t>dallred@willmeng.com;DTooley@willmeng.com</t>
  </si>
  <si>
    <t>GOODYEAR FIRE STATION #188</t>
  </si>
  <si>
    <t>HARRISON ST. &amp; CITRUS</t>
  </si>
  <si>
    <t>602-708-8995</t>
  </si>
  <si>
    <t>BRIANOLTHOFF@CORECONSTRUCTION.COM</t>
  </si>
  <si>
    <t>TANGER OUTLETS AT WESTGATE IMPROVEMENTS</t>
  </si>
  <si>
    <t>W GLENDALE AVE 7 LOOP 101</t>
  </si>
  <si>
    <t>ART CORDOVA</t>
  </si>
  <si>
    <t>Art@sandstormconstructionaz.com;Aaron@sandstormconstructionaz.com</t>
  </si>
  <si>
    <t>M2 HANGERS AT FALCON FIELD - HANGER G &amp; h</t>
  </si>
  <si>
    <t>N GREENFIELD ROAD</t>
  </si>
  <si>
    <t>602-770-0938</t>
  </si>
  <si>
    <t>TONY</t>
  </si>
  <si>
    <t>ANTONIOV@GCONINC.COM</t>
  </si>
  <si>
    <t xml:space="preserve">CAVASSON PH 2 </t>
  </si>
  <si>
    <t>MILLER RD &amp; LEGACY BLVD</t>
  </si>
  <si>
    <t>602-570-6379</t>
  </si>
  <si>
    <t>TIM JOHANSON</t>
  </si>
  <si>
    <t>jloukota@markhamcontracting.com;tjohanson@markhamcontracting.com</t>
  </si>
  <si>
    <t>NOVUS TEMPE 3F</t>
  </si>
  <si>
    <t>E 6TH STREET</t>
  </si>
  <si>
    <t>pdepas@mtbprojects.com</t>
  </si>
  <si>
    <t>S.D. CRANE BUILDERS, INC</t>
  </si>
  <si>
    <t>DOC ACI METAL FABRICATION BUILDING</t>
  </si>
  <si>
    <t>E BUTTE AVE</t>
  </si>
  <si>
    <t>480-710-8213</t>
  </si>
  <si>
    <t>CLIFF HALL</t>
  </si>
  <si>
    <t>chall@sdcranbuilders.com</t>
  </si>
  <si>
    <t>HANNA DESIGN GROUP</t>
  </si>
  <si>
    <t>AUTOZONE #5841</t>
  </si>
  <si>
    <t>N HUNT HIGHWAY</t>
  </si>
  <si>
    <t>760-810-5132</t>
  </si>
  <si>
    <t>ALAN YATES</t>
  </si>
  <si>
    <t>ayates@hannadesigngroup.com</t>
  </si>
  <si>
    <t>PAPAGO CIVIL WORK</t>
  </si>
  <si>
    <t xml:space="preserve"> AUSTIN D'AMBROSIO</t>
  </si>
  <si>
    <t>ADambrosio@sigmacontracting.com</t>
  </si>
  <si>
    <t>DEREK BUILDERS</t>
  </si>
  <si>
    <t>PAPAGO ARROYO COMPLEX</t>
  </si>
  <si>
    <t>W WASHINGTON STREET</t>
  </si>
  <si>
    <t>480-369-5190 / 602-329-2205</t>
  </si>
  <si>
    <t>LEWIS APODACA / SOPHIA CYWINSKI</t>
  </si>
  <si>
    <t>lapodaca@derekbuilders.com;scywinski@dereckbuilders.com</t>
  </si>
  <si>
    <t>THE EASTMARK</t>
  </si>
  <si>
    <t>602-679-1449 /480-285-9687</t>
  </si>
  <si>
    <t>TIME DE VINE / JIMMY SHARP</t>
  </si>
  <si>
    <t>tdevine@laytonconstruction.com;jimmy.sharp@laytonconstruction.com</t>
  </si>
  <si>
    <t>MANOR SCOTTSDALE</t>
  </si>
  <si>
    <t>BMyers@mcshane.com</t>
  </si>
  <si>
    <t>RSG BUILDERS, LLC</t>
  </si>
  <si>
    <t>GATEWAY COMMERCE PARK</t>
  </si>
  <si>
    <t xml:space="preserve">SOUTH 89TH PLACE </t>
  </si>
  <si>
    <t>602-790-6736</t>
  </si>
  <si>
    <t>MICHAEL MORGAN</t>
  </si>
  <si>
    <t>michael.morgan@rsgbuilders.com</t>
  </si>
  <si>
    <t>KROGER FLAMING BIRD FC-09</t>
  </si>
  <si>
    <t>RICK.ERHARDT@RYANCOMPANIES.COM</t>
  </si>
  <si>
    <t xml:space="preserve">MISSION REALTY </t>
  </si>
  <si>
    <t>CUSTOM RESIDENCE - KEIM DRIVE</t>
  </si>
  <si>
    <t>E KEIM DRIVE</t>
  </si>
  <si>
    <t>602-315-2888</t>
  </si>
  <si>
    <t>ROBERT</t>
  </si>
  <si>
    <t>robert@banovac.com</t>
  </si>
  <si>
    <t xml:space="preserve">PNG BUILDERS </t>
  </si>
  <si>
    <t>AES WESTWING PHASE 1B</t>
  </si>
  <si>
    <t>310-738-6656</t>
  </si>
  <si>
    <t>MICHAEL JESSICK</t>
  </si>
  <si>
    <t>m.jessick@pacsysinteriors.com;ay.lee@pacnatgroup.com; e.gomez@pacsysinteriors.com;v.dinh@pacnatgroup.com; j.menjivar@abgbuilt.com</t>
  </si>
  <si>
    <t>N.D.C.'</t>
  </si>
  <si>
    <r>
      <t xml:space="preserve">CATAMOUNT CONSTRUCTORS </t>
    </r>
    <r>
      <rPr>
        <sz val="11"/>
        <color rgb="FFFF0000"/>
        <rFont val="Calibri"/>
        <family val="2"/>
        <scheme val="minor"/>
      </rPr>
      <t>insp not budgeted</t>
    </r>
  </si>
  <si>
    <t xml:space="preserve">TJX PHX BUILDING EXPANSION </t>
  </si>
  <si>
    <t xml:space="preserve">S 55TH AVE </t>
  </si>
  <si>
    <t>210-213-3978</t>
  </si>
  <si>
    <t>RANDY METZ</t>
  </si>
  <si>
    <t>randy.metz@catamountinc.com; Daniel.Garza@catamountinc.com; Eric.Adams@catamountinc.com; John.Theiss@catamountinc.com; Ruben.Garcia-Salinas@catamountinc.com</t>
  </si>
  <si>
    <t>ALEXAN TEMPE</t>
  </si>
  <si>
    <t xml:space="preserve">BASELINE RD </t>
  </si>
  <si>
    <t>623-688-4874</t>
  </si>
  <si>
    <t>PAUL SHEPHERD</t>
  </si>
  <si>
    <t>pshepherd@mtprojects.com</t>
  </si>
  <si>
    <t xml:space="preserve">PRIDE CONTRACTING </t>
  </si>
  <si>
    <t>CAFÉ ZUPAS</t>
  </si>
  <si>
    <t>mikah@pridecontractingllc.com; jr@pridecontractingllc.com; tomas@pridecontractingllc.com</t>
  </si>
  <si>
    <t>HUB @ 202</t>
  </si>
  <si>
    <t>WARNER RD &amp; SOSSOMAN RD</t>
  </si>
  <si>
    <t>602-616-1431</t>
  </si>
  <si>
    <t>ZACH TANNER</t>
  </si>
  <si>
    <t>zach.tanner@laytonconstruction.com</t>
  </si>
  <si>
    <t>CROWN BUILDERS, INC</t>
  </si>
  <si>
    <t>ASTER AT MOUNTAIN VISTA</t>
  </si>
  <si>
    <t>S CRISMON</t>
  </si>
  <si>
    <t>480-510-7150</t>
  </si>
  <si>
    <t>ALEX MILLER / ADAM REAVES</t>
  </si>
  <si>
    <t>amiller@crownaz.com;areaves@crownaz.com</t>
  </si>
  <si>
    <t>MISSION CONSTRUCTORS</t>
  </si>
  <si>
    <t xml:space="preserve">RIDGEHOUSE @SURPRISE CENTER </t>
  </si>
  <si>
    <t>314-348-6197</t>
  </si>
  <si>
    <t>SCOTT HOEFLER/JOEY BEAVER</t>
  </si>
  <si>
    <t>shoefler@ridgehouseco.com;jbeaver@ridgehouseco.com</t>
  </si>
  <si>
    <t>TOWN SURPRISE CENTER</t>
  </si>
  <si>
    <t>ELM ST &amp; 142ND AVE</t>
  </si>
  <si>
    <t>480.737.7540/602.694.6179</t>
  </si>
  <si>
    <t>PAUL CONDO/LUIS LUGO</t>
  </si>
  <si>
    <t>PCONDO@FDGROUP.US;LLUGO@FDGROUP.US</t>
  </si>
  <si>
    <t xml:space="preserve">CITY NORTH RESIDENTIAL </t>
  </si>
  <si>
    <t xml:space="preserve">DEER VALLEY AND 55TH ST </t>
  </si>
  <si>
    <t>206-909-9827</t>
  </si>
  <si>
    <t>david.benjamin@greystar.com; joseph.gainer@greystar.com; otis.clanton@greystar.com; john.waters@greystar.com; jaxon.whitman@greystar.com; gentry.forde@greystar.com; tye.davis@greystar.com</t>
  </si>
  <si>
    <t xml:space="preserve">ALEXAN PEORIA </t>
  </si>
  <si>
    <t xml:space="preserve">NORTHERN AND LOOP 101 </t>
  </si>
  <si>
    <t>480-338-1485</t>
  </si>
  <si>
    <t>SHAWN CHAPMAN</t>
  </si>
  <si>
    <t>shawnchapman@chasse.us;jjordan@chasse.us</t>
  </si>
  <si>
    <t xml:space="preserve">ALTA 99TH </t>
  </si>
  <si>
    <t xml:space="preserve">W CAMPBELL AVE </t>
  </si>
  <si>
    <t>anthony.agunzo@woodpartners.com</t>
  </si>
  <si>
    <t>TSMC SUPPLIER BUILIDING C</t>
  </si>
  <si>
    <t xml:space="preserve">E PINNACLE PEAK RD </t>
  </si>
  <si>
    <t>623-670-2664</t>
  </si>
  <si>
    <t>STEVE/CRAIGE</t>
  </si>
  <si>
    <t>cspecht@nittidac.com</t>
  </si>
  <si>
    <t>TOWN DEER VALLEY</t>
  </si>
  <si>
    <t>mikeb@gconinc.com;dmartinez@gconinc.com;ianj@gconinc.com; chantallk@gconinc.com;ryand@gconinc.com</t>
  </si>
  <si>
    <t>TOFEL DENT CONSTRUCTION</t>
  </si>
  <si>
    <t>CARDINAL 95 APARTMENTS</t>
  </si>
  <si>
    <t>W GEORGIA AVE</t>
  </si>
  <si>
    <t>520-539-2962</t>
  </si>
  <si>
    <t>ERIC FURBACHER</t>
  </si>
  <si>
    <t>jnoller@tofeldent.com;efurbacher@Tofeldent.com;spalazzo@Tofeldent.com</t>
  </si>
  <si>
    <t>SPARROW ARROWHEAD</t>
  </si>
  <si>
    <t>BELL RD AND 51ST AVE</t>
  </si>
  <si>
    <t>623-414-2560</t>
  </si>
  <si>
    <t>MARK DEKARSKE</t>
  </si>
  <si>
    <t>MARK.DEKARSKE@SPARROW-PARTNERS.COM;billy.denman@sparrow-partners.com</t>
  </si>
  <si>
    <t>MOUNTAINSIDE FITNESS - AVONDALE</t>
  </si>
  <si>
    <t>103RD AVE &amp; MCDOWELL RD</t>
  </si>
  <si>
    <t>602-526-0403</t>
  </si>
  <si>
    <t>TIM NETZ</t>
  </si>
  <si>
    <t>tnetz@armays.com;gmccreary@armays.com</t>
  </si>
  <si>
    <t>VANTAGE DATA CENTERS PHASE 2</t>
  </si>
  <si>
    <t>480-327-7783/480-769-0748</t>
  </si>
  <si>
    <t>ROBERT SIMSEN</t>
  </si>
  <si>
    <t>RSIEMSEN@MCCARTHY.COM; RBecky@mccarthy.com; MCCornforth@mccarthy.com; CHMcCoy@mccarthy.com</t>
  </si>
  <si>
    <t>VANTAGE DATA CENTERS AZ 14 OFFSITE COMPLEX</t>
  </si>
  <si>
    <t>N143RD AVE &amp; CELEBRATE LIFE WAY</t>
  </si>
  <si>
    <t>RSIEMSEN@MCCARTHY.COM; RBecky@mccarthy.com; MCCornforth@mccarthy.com; CHMcCoy@mccarthy.com; KGAllen@mccarthy.com</t>
  </si>
  <si>
    <t>KENTWOOD CASA GRANDE</t>
  </si>
  <si>
    <t>W LAWRENCE STREET</t>
  </si>
  <si>
    <t>602-763-8929</t>
  </si>
  <si>
    <t>PATRICK GLEASON</t>
  </si>
  <si>
    <t>pgleason@willmeng.com</t>
  </si>
  <si>
    <t>GRIC - POLICE DEPARTMENT</t>
  </si>
  <si>
    <t>BLUEBIRD AVE &amp; GU U KI STREET</t>
  </si>
  <si>
    <t>480-262-1030</t>
  </si>
  <si>
    <t>TYLER BIVINS</t>
  </si>
  <si>
    <t>tylerbivins@coreconstruction.com; tomzamora@coreconstruction.com</t>
  </si>
  <si>
    <t>AZR1010W3</t>
  </si>
  <si>
    <t>CHANDLER APARTMENTS</t>
  </si>
  <si>
    <t>6.31 ACRES</t>
  </si>
  <si>
    <t>E COMMONWEALTH AVE</t>
  </si>
  <si>
    <t>ryan.williams@emjcorp.com</t>
  </si>
  <si>
    <t>DE NOVO BEHAVIORAL HEALTH FACILITY</t>
  </si>
  <si>
    <t>480-620-0046</t>
  </si>
  <si>
    <t>ROBERT BOX</t>
  </si>
  <si>
    <t>rbox@a-p.com</t>
  </si>
  <si>
    <t>ALTA SURPRISE</t>
  </si>
  <si>
    <t>STATLER STREET &amp; LITCHFIELD ROAD</t>
  </si>
  <si>
    <t>949-563-1480/602-579-4422</t>
  </si>
  <si>
    <t>DAN ARMSTRONG/MICHAEL GARNICA</t>
  </si>
  <si>
    <t>danny.armstrong@woodpartners.com;tim.cahanes@woodpartners.com</t>
  </si>
  <si>
    <t>LCG KIERLAND</t>
  </si>
  <si>
    <t>E TIERRA BUENA LANE</t>
  </si>
  <si>
    <t>480-589-7843</t>
  </si>
  <si>
    <t>KEN REBLIN</t>
  </si>
  <si>
    <t>kreblin@mcshane.com; emendivil@cadencemcshane.com; pmcmanis@mcshane.com</t>
  </si>
  <si>
    <t>ALTA 87</t>
  </si>
  <si>
    <t>N ARIZONA AVE</t>
  </si>
  <si>
    <t>JAMIE FOSTER</t>
  </si>
  <si>
    <t xml:space="preserve">TREVOR G BROWN HS ATHLETIC FIELDS </t>
  </si>
  <si>
    <t xml:space="preserve">W CATELINA DR </t>
  </si>
  <si>
    <t>todddoan@coreconstruction.com; braydenpringle@coreconstruction.com</t>
  </si>
  <si>
    <t>EVIT STUDENT HOUSING (FOSTER)</t>
  </si>
  <si>
    <t>W MAIN AVE</t>
  </si>
  <si>
    <t>480-797-5323</t>
  </si>
  <si>
    <t>OWEN PETERSON / TOBY BROOKS</t>
  </si>
  <si>
    <t>tbrooks@chasse.us;opeterson@chasse.us</t>
  </si>
  <si>
    <t>SIHI CAMELBACK CENTER</t>
  </si>
  <si>
    <t>PEBBLE CREEK PKWY &amp; CAMELBACK RD</t>
  </si>
  <si>
    <t>480-670-3950</t>
  </si>
  <si>
    <t>DOMINIC YOUKHANA</t>
  </si>
  <si>
    <t>Dominic_Youkhana@Graycor.com;james_williams@graycor.com</t>
  </si>
  <si>
    <t>ACERO ON ROOSEVELT</t>
  </si>
  <si>
    <t xml:space="preserve">ESTRELLA PKWY &amp; ROOSEVELT ST </t>
  </si>
  <si>
    <t>480-330-8922</t>
  </si>
  <si>
    <t>SAM HENNSEN</t>
  </si>
  <si>
    <t>SAM.HENSON@IDMBUILDS.COM</t>
  </si>
  <si>
    <r>
      <t xml:space="preserve">ROHM BUILDNG AND DEVELOPMENT </t>
    </r>
    <r>
      <rPr>
        <sz val="11"/>
        <color rgb="FFFF0000"/>
        <rFont val="Calibri"/>
        <family val="2"/>
        <scheme val="minor"/>
      </rPr>
      <t>CANCELED</t>
    </r>
  </si>
  <si>
    <t>WALMART 2777-259</t>
  </si>
  <si>
    <t xml:space="preserve">ALA WEST FOOTHILLS - THEATER </t>
  </si>
  <si>
    <t>520-237-4225 / 602-592-3223</t>
  </si>
  <si>
    <t>KEITH KUNZMAN/ART CORDOVA</t>
  </si>
  <si>
    <t>Keith@mcgrathconstructionphx.com;Art@sandstormconstructionaz.com; aaron@sandstormconstructionaz.com</t>
  </si>
  <si>
    <t>ADKHC BUCKEYE</t>
  </si>
  <si>
    <t>S WATSON RD</t>
  </si>
  <si>
    <t>602-909-7638</t>
  </si>
  <si>
    <t>Chase Mcbride</t>
  </si>
  <si>
    <t>chasem@gconinc.com;maggiet@gconinc.com&gt;</t>
  </si>
  <si>
    <t>VIRGIN INDUSTRIAL PARK</t>
  </si>
  <si>
    <t>OLIVE AVE &amp; REEMS ROAD</t>
  </si>
  <si>
    <t>480-651-4358</t>
  </si>
  <si>
    <t>CALEB JOHNSON</t>
  </si>
  <si>
    <t>Caleb_Johnson@Graycor.com; Terry_Morrell@graycor.com</t>
  </si>
  <si>
    <t>MERCY CENTER SHOPS</t>
  </si>
  <si>
    <t>S VAL VISTA DRIVE</t>
  </si>
  <si>
    <t>brozeboom@sigmaconractng.com</t>
  </si>
  <si>
    <t>GRAYCOR CONSTRUCTION</t>
  </si>
  <si>
    <t>SKYBRIDGE  109</t>
  </si>
  <si>
    <t>E VELOCITY WAY</t>
  </si>
  <si>
    <t>702-499-6923/480-670-6391</t>
  </si>
  <si>
    <t>PAT / ADAM SHELNICK</t>
  </si>
  <si>
    <t>adam_shelnick@graycor.com</t>
  </si>
  <si>
    <t>IRON MOUNTAIN DATA CENTER AZP3</t>
  </si>
  <si>
    <t>E ROOSEVELT STREET</t>
  </si>
  <si>
    <t>781-664-0689</t>
  </si>
  <si>
    <t>BILLY DUGGAN</t>
  </si>
  <si>
    <t xml:space="preserve">FLEMING COMPLETE    </t>
  </si>
  <si>
    <t xml:space="preserve">AVONDALE MOB PARKING EXPANSION </t>
  </si>
  <si>
    <t xml:space="preserve">W MCDOWELL RD </t>
  </si>
  <si>
    <t>951-858-2957</t>
  </si>
  <si>
    <t>MARCUS RICHARDSON</t>
  </si>
  <si>
    <t>mrichardson@flemingcomplete.com</t>
  </si>
  <si>
    <t>HARRIS ASSOCIATES</t>
  </si>
  <si>
    <t>BULLARD &amp;  MCDOWELL SITE</t>
  </si>
  <si>
    <t>BULLARD &amp; MCDOWELL RD</t>
  </si>
  <si>
    <t>623-262-0245</t>
  </si>
  <si>
    <t>RON MOORE</t>
  </si>
  <si>
    <t>ronm@harrislv.com</t>
  </si>
  <si>
    <t>BRINKMANN CONSTRUCTORS</t>
  </si>
  <si>
    <t>LHM GENESIS OF PEORIA</t>
  </si>
  <si>
    <t>N 84TH AVE</t>
  </si>
  <si>
    <t>480-432-1116</t>
  </si>
  <si>
    <t>KRIS BLANCHARD</t>
  </si>
  <si>
    <t>kblanchard@brinkmannconstructors.com; lrogers@brinkmannconstructors.com</t>
  </si>
  <si>
    <t>COSTCO DEPOT EXPANSION</t>
  </si>
  <si>
    <t>W SHERMAN</t>
  </si>
  <si>
    <t>425-531-1085</t>
  </si>
  <si>
    <t>ERIC SANDOVAL</t>
  </si>
  <si>
    <t>erics@jacksondean.com;aaronr@jacksondean.com</t>
  </si>
  <si>
    <t xml:space="preserve">J. WALTERS </t>
  </si>
  <si>
    <t xml:space="preserve">RIO GLASS </t>
  </si>
  <si>
    <t>W RIO GLASS SOLAR RD</t>
  </si>
  <si>
    <t>480-604-7705</t>
  </si>
  <si>
    <t>MARK BREWER</t>
  </si>
  <si>
    <t>markb@j-walters.com </t>
  </si>
  <si>
    <t>AES WESTWING PHASE 1A</t>
  </si>
  <si>
    <t xml:space="preserve">ISOLA AT GREER RANCH  </t>
  </si>
  <si>
    <t>CACTUS RD  &amp; REEMS RD</t>
  </si>
  <si>
    <t>602-574-8323</t>
  </si>
  <si>
    <t>JAMES VAN BALEN</t>
  </si>
  <si>
    <t>James.VanBalen@SoDella.com; cj.escalante@sodella.com;alex.cerna@sodella.com</t>
  </si>
  <si>
    <t>GILBERT SPECTRUM - BUILDING 3</t>
  </si>
  <si>
    <t>480-790-0348</t>
  </si>
  <si>
    <t>Damon_Spangle@Graycor.com</t>
  </si>
  <si>
    <t>LOTT BROTHERS CONSTRUCTION</t>
  </si>
  <si>
    <t xml:space="preserve">SPRINGS @ STADIUM VILLAGE </t>
  </si>
  <si>
    <t>N STADIUM WAY</t>
  </si>
  <si>
    <t>817-734-5357</t>
  </si>
  <si>
    <t>PATRICK GEORGIOU</t>
  </si>
  <si>
    <t>PatrickG@lottbrothers.com; GageT@lottbrothers.com</t>
  </si>
  <si>
    <t>ISOLA 202 MESA</t>
  </si>
  <si>
    <t>N ELLSWORTH RD</t>
  </si>
  <si>
    <t>602-376-0981</t>
  </si>
  <si>
    <t>RICHARD HUTCHESON / JASON REDMAN</t>
  </si>
  <si>
    <t>richard.hutcheson@sodella.com; jason.redman@sodella.com</t>
  </si>
  <si>
    <t>HOME AWAY FROM HOME</t>
  </si>
  <si>
    <t>E BANNER GATEWAY</t>
  </si>
  <si>
    <t>480-549-1535</t>
  </si>
  <si>
    <t>MITCH MARTINSON</t>
  </si>
  <si>
    <t>mmartinson@mccarthy.com</t>
  </si>
  <si>
    <t>CLUNE CONSTRUCTION</t>
  </si>
  <si>
    <t xml:space="preserve">STREAM DATA CENTER PHX01 PHASE 5 </t>
  </si>
  <si>
    <t>S LITCHFIELD RD</t>
  </si>
  <si>
    <t>PEORIA INDUSTRIAL</t>
  </si>
  <si>
    <t>N 79TH AVE</t>
  </si>
  <si>
    <t>480-790-1485</t>
  </si>
  <si>
    <t>travis.kahanek@laytonconstruction.com; zachary.commons@laytonconstruction.com; bgreen@laytonconstruction.com</t>
  </si>
  <si>
    <t>G.S.S.  COMPANIES, INC.</t>
  </si>
  <si>
    <t>TEI - CASA GRANDE CAMPUS</t>
  </si>
  <si>
    <t>S COMMERCE DRIVE</t>
  </si>
  <si>
    <t>BILL SHAFFSTALL /  DUNCAN McTAVISH / JUSTIN DOLL</t>
  </si>
  <si>
    <t>duncan@gssco.com;Bill@gssco.com</t>
  </si>
  <si>
    <t>JET AVIATION - CACTUS</t>
  </si>
  <si>
    <t>bversteeg@weoneil.com</t>
  </si>
  <si>
    <t>STANDING STONES</t>
  </si>
  <si>
    <t>E STANDING STONE ROAD</t>
  </si>
  <si>
    <t>480-364-3955</t>
  </si>
  <si>
    <t>CODY KELLEY</t>
  </si>
  <si>
    <t>kodyk@lgedesignbuild.com</t>
  </si>
  <si>
    <t>44TH &amp; 202 APARTMENTS</t>
  </si>
  <si>
    <t xml:space="preserve">N 44TH ST </t>
  </si>
  <si>
    <t>480-544-8110</t>
  </si>
  <si>
    <t>TIM ANDERSON</t>
  </si>
  <si>
    <t>TANDERSON@JLBPARTNERS.COM</t>
  </si>
  <si>
    <t>CROSSLAND CONSTRUCTION COMPANY, INC</t>
  </si>
  <si>
    <t>TUCSON LANDING - 22AZ01TABE</t>
  </si>
  <si>
    <t>TUCSON STREET</t>
  </si>
  <si>
    <t>602-212-3189</t>
  </si>
  <si>
    <t>ZACH COLE</t>
  </si>
  <si>
    <t>zcole@crossland.com</t>
  </si>
  <si>
    <t>STREAMLINER 67TH AVE</t>
  </si>
  <si>
    <t>85035</t>
  </si>
  <si>
    <t>480-689-3705</t>
  </si>
  <si>
    <t>wgullett@greenlightgc.com; gprieto@greenlightgc.com</t>
  </si>
  <si>
    <t>SPINOFF CONSTRUCTION</t>
  </si>
  <si>
    <t>TAKE 5 OIL CHANGE, GOODYEAR #655</t>
  </si>
  <si>
    <t>N ESTRELLA PARKWAY</t>
  </si>
  <si>
    <t>480-208-0651</t>
  </si>
  <si>
    <t>WILLIAM FRANCIS</t>
  </si>
  <si>
    <t>wfrancis@spinoffconstruction.com</t>
  </si>
  <si>
    <r>
      <t xml:space="preserve">WILLMENG </t>
    </r>
    <r>
      <rPr>
        <sz val="11"/>
        <color rgb="FFFF0000"/>
        <rFont val="Calibri"/>
        <family val="2"/>
        <scheme val="minor"/>
      </rPr>
      <t>Canceled</t>
    </r>
  </si>
  <si>
    <t>10 GOODYEAR</t>
  </si>
  <si>
    <t>CITRUS RD &amp; I-10</t>
  </si>
  <si>
    <r>
      <t xml:space="preserve">TLW CONSTRUCTION </t>
    </r>
    <r>
      <rPr>
        <sz val="11"/>
        <color rgb="FFFF0000"/>
        <rFont val="Calibri"/>
        <family val="2"/>
        <scheme val="minor"/>
      </rPr>
      <t>Doing own inspections</t>
    </r>
  </si>
  <si>
    <t>STACK STORAGE - BUCKEYE- PHASE 1</t>
  </si>
  <si>
    <t>MILLER RD &amp; W SOTHERN AVE</t>
  </si>
  <si>
    <t>520-771-2423</t>
  </si>
  <si>
    <t>BRAD JENSEN</t>
  </si>
  <si>
    <t>brad@tlwconstruction.com</t>
  </si>
  <si>
    <t xml:space="preserve">ST. VINCENT DE PAUL </t>
  </si>
  <si>
    <t>W WATKINS STREET</t>
  </si>
  <si>
    <t>602-573-3208</t>
  </si>
  <si>
    <t>RYAN STAPLES</t>
  </si>
  <si>
    <t>ryan.svetichan@ryancompanies.com; dana.loussaert@ryancompanies.com</t>
  </si>
  <si>
    <t>MISSION PARK</t>
  </si>
  <si>
    <t>DJ ARNBERGER</t>
  </si>
  <si>
    <t>bbaker@willmeng.com; darnberger@willmeng.com; tosborn@willmeng.com</t>
  </si>
  <si>
    <t>MADDISON PARK REBUILD</t>
  </si>
  <si>
    <t xml:space="preserve">E CAMPBELL AVE </t>
  </si>
  <si>
    <t>602-510-9927</t>
  </si>
  <si>
    <t>JEFF SERMENO</t>
  </si>
  <si>
    <t>jsermeno@chasse.us</t>
  </si>
  <si>
    <t>SKYBRIDGE 108</t>
  </si>
  <si>
    <t>ACES EXPANSION PHX</t>
  </si>
  <si>
    <t>robr@lgedesignbuild.com</t>
  </si>
  <si>
    <t>ARCO CONSTRUCTION</t>
  </si>
  <si>
    <t>EL MIRAGE WAREHOUSE</t>
  </si>
  <si>
    <t xml:space="preserve">N  EL MIRAGE RD </t>
  </si>
  <si>
    <t>314-724-5789</t>
  </si>
  <si>
    <t>DANNY HOLT</t>
  </si>
  <si>
    <t>dholt@arco1.com</t>
  </si>
  <si>
    <t>CHASE, CARSON &amp; WHITE LLC</t>
  </si>
  <si>
    <t>CAMP NAVAJO</t>
  </si>
  <si>
    <t xml:space="preserve">VETERANS DRIVE </t>
  </si>
  <si>
    <t>BELLEMONT</t>
  </si>
  <si>
    <t>623-694-1549 / 951-378-2925</t>
  </si>
  <si>
    <t>DENISE BIRO / RANDY</t>
  </si>
  <si>
    <t>dcrow@ccw-llc.com;randyc@ccw-llc.com</t>
  </si>
  <si>
    <t>NOVUS 3A SHELL</t>
  </si>
  <si>
    <t>S NOVUS PLACE</t>
  </si>
  <si>
    <t>602-550-1700</t>
  </si>
  <si>
    <t>CHRIS TAMBURO / JAMES PEARLSTEIN / THOMAS HANES</t>
  </si>
  <si>
    <t>ctamburo@armays.com;jpearlstein@armays.com;thanes@armays.com;dokuka@armays.com</t>
  </si>
  <si>
    <t>ASU MILL AVE PARKING STRUCTURE</t>
  </si>
  <si>
    <t>602-400-0720</t>
  </si>
  <si>
    <t>PAT MARSHALL / SILVINO VILLANUEVA</t>
  </si>
  <si>
    <t>svillanueva@mccarthy.com;MPAHearn@mccarthy.com</t>
  </si>
  <si>
    <t>NORTH COPPER CANYON PARCEL 2.4</t>
  </si>
  <si>
    <t>183RD AVE &amp; PARAISO DR</t>
  </si>
  <si>
    <t>GREENBURG CONSTRUCTION</t>
  </si>
  <si>
    <t>BELL BANK GILBERT</t>
  </si>
  <si>
    <t>480-251-8283</t>
  </si>
  <si>
    <t>DEBRA MILLER / SCOTT SANDMANN</t>
  </si>
  <si>
    <t>SSANDMANN@greenberg-construction.com;dmiller@greenberg-construction.com</t>
  </si>
  <si>
    <t>SHAW &amp; COMPANY</t>
  </si>
  <si>
    <t>QUINTANA @ COOLEY STATION</t>
  </si>
  <si>
    <t xml:space="preserve"> S VERDE DR</t>
  </si>
  <si>
    <t>602-463-5963</t>
  </si>
  <si>
    <t>SULLY SULLIVAN</t>
  </si>
  <si>
    <t xml:space="preserve">ssullivan@shaw-ltd.com   </t>
  </si>
  <si>
    <t>MAYO IERB</t>
  </si>
  <si>
    <t>602-448-0794</t>
  </si>
  <si>
    <t>TOM CORREY</t>
  </si>
  <si>
    <t>TOMC@DPR.COM</t>
  </si>
  <si>
    <t xml:space="preserve">MOUNTAINSIDE HIGH- NADABURG </t>
  </si>
  <si>
    <t>N CROZIER RD &amp; DIXILETS DR</t>
  </si>
  <si>
    <t>NADABURG</t>
  </si>
  <si>
    <t>480-440-3386/ 720-775-5297</t>
  </si>
  <si>
    <t>DAVE BEITLER/ RHETT PEDERSON</t>
  </si>
  <si>
    <t>jbaehman@chasse.us</t>
  </si>
  <si>
    <t>QCUSD - GPA</t>
  </si>
  <si>
    <t>SIGNAL BUTTE ROAD</t>
  </si>
  <si>
    <t>623-258-3761</t>
  </si>
  <si>
    <t>BROOKS DUNN</t>
  </si>
  <si>
    <t>brooksdunn@coreconstruction.com;;zack.few@coreconstruction.com</t>
  </si>
  <si>
    <t>CARVANA CORPRATE CAMPUS</t>
  </si>
  <si>
    <t>W RIO SALADO PKWAY</t>
  </si>
  <si>
    <t>602-540-9322</t>
  </si>
  <si>
    <t>MIKE SHALLEY</t>
  </si>
  <si>
    <t>MSHALLEY@WESPACAZ.COM</t>
  </si>
  <si>
    <t>STREAMLINER 16TH</t>
  </si>
  <si>
    <t>E POLK STREET</t>
  </si>
  <si>
    <t>602-568-0915 / 602-525-3512</t>
  </si>
  <si>
    <t>BRIAN SPETMAN</t>
  </si>
  <si>
    <t>bspetman@greenlightgc.com; mhenige@greenlightgc.com; mhenige@greenlightgc.com; hhegsted@greenlightgc.com; JMartinez@greenlightgc.com</t>
  </si>
  <si>
    <t>RESERVE @ THUNDERBIRD</t>
  </si>
  <si>
    <t>602-989-1559</t>
  </si>
  <si>
    <t>DOUG HARRIS/John Gill</t>
  </si>
  <si>
    <t>DOUG9891559@GMAIL.COM;ratt30th@gmail.com</t>
  </si>
  <si>
    <t>CHANDLER AIRPARK 202</t>
  </si>
  <si>
    <t>GERMANN RD &amp; NORTHROP BLVD</t>
  </si>
  <si>
    <t>480-226-9701</t>
  </si>
  <si>
    <t>JANDERSON@WILLMENG.COM</t>
  </si>
  <si>
    <t>55 RESORT</t>
  </si>
  <si>
    <t>9449</t>
  </si>
  <si>
    <t>N 90TH STREET</t>
  </si>
  <si>
    <t>KEITH KNIPP / DENNIS SEIDEL / CONNER BURKE / RICK SEIDEL (Gate code:6439)</t>
  </si>
  <si>
    <t xml:space="preserve"> kknipp@weoneil.com;dseidel@weoneil.com;cburke@weoneil.com;rseidel@weoneil.com</t>
  </si>
  <si>
    <t>SPRINGS @ WESTGATE</t>
  </si>
  <si>
    <t>512-781-3836</t>
  </si>
  <si>
    <t>CARL JARKA</t>
  </si>
  <si>
    <t>carlj@lottbrothers.com; AlecN@lottbrothers.com; JuanM@lottbrothers.com; ThomasA@lottbrothers.com; WesleyW@lottbrothers.com</t>
  </si>
  <si>
    <t>NEAR - CAL CORP</t>
  </si>
  <si>
    <t>PUBLIC STORAGE VAL VISTA DR</t>
  </si>
  <si>
    <t>808-208-2545</t>
  </si>
  <si>
    <t>JAMIE  KOTCHE</t>
  </si>
  <si>
    <t>jamiek@nearcal.com</t>
  </si>
  <si>
    <t>REDDEN CONSTRUCTION</t>
  </si>
  <si>
    <t>PARKER AEROSPACE</t>
  </si>
  <si>
    <t>602-568-6208</t>
  </si>
  <si>
    <t>ERIC LUNDIN</t>
  </si>
  <si>
    <t>elundin@reddenconstruction.com</t>
  </si>
  <si>
    <t>SUBZERO</t>
  </si>
  <si>
    <t>STEVE SCHARBONEAU</t>
  </si>
  <si>
    <t>sscharboneau@willmeng.com</t>
  </si>
  <si>
    <t>BICENTENNIAL SOUTH ELEMENTARY SCHOOL</t>
  </si>
  <si>
    <t>W COLTER ST</t>
  </si>
  <si>
    <t>480-294-1446</t>
  </si>
  <si>
    <t>BRIAN BRINKERHOFF</t>
  </si>
  <si>
    <t>bbrinkerhoff@chasse.us</t>
  </si>
  <si>
    <t>SUMMIT BUSINESS PARK</t>
  </si>
  <si>
    <t>W CACTUS RD &amp; DYSART DRIVE</t>
  </si>
  <si>
    <t>RSMITH@NITTIBLDRS.COM</t>
  </si>
  <si>
    <t>RAINTREE DRIVE RESIDENTIAL</t>
  </si>
  <si>
    <t>E. RAINTREE</t>
  </si>
  <si>
    <t>480-349-9748</t>
  </si>
  <si>
    <t>TOM VELASQUEZ</t>
  </si>
  <si>
    <t>tom.velasquez@weitz.com</t>
  </si>
  <si>
    <t>SCHNEPF ELEMENTARY</t>
  </si>
  <si>
    <t>S 231ST STREET</t>
  </si>
  <si>
    <t>480-599-7418 / 602-3197903</t>
  </si>
  <si>
    <t>ERIC DECKER / ZACK FREW / JON COLLINS</t>
  </si>
  <si>
    <t>joncollins@corconstruction.com;zack.few@coreconstruction.com</t>
  </si>
  <si>
    <t>QCUSD - CRISMON HIGH SCHOOL</t>
  </si>
  <si>
    <t>RIGGS ROAD</t>
  </si>
  <si>
    <t>ERIC DECKER / ZAC</t>
  </si>
  <si>
    <t>zack.few@coreconstruction.com;ericdecker@corconstruction.com</t>
  </si>
  <si>
    <t>N/A'</t>
  </si>
  <si>
    <t>ASU TEMPE NEW ACADEMIC BLDG</t>
  </si>
  <si>
    <t>UNIVERSITY DR W OF COLLEGE AVE</t>
  </si>
  <si>
    <t>928-230-9838</t>
  </si>
  <si>
    <t>ZACK BROWN</t>
  </si>
  <si>
    <t>ZBROWN@HOLDER.COM</t>
  </si>
  <si>
    <t xml:space="preserve">TLW CONSTRUCTION </t>
  </si>
  <si>
    <t>EXTRA SPACE STORAGE - PHOENIX</t>
  </si>
  <si>
    <t>E BELL RD</t>
  </si>
  <si>
    <t>PCDS PARKING LOT UPGRADES</t>
  </si>
  <si>
    <t>BEN DALLMANN / MARIO RENTERIA</t>
  </si>
  <si>
    <t>bdallmann@chasse.us;mrenteria@chasse.us</t>
  </si>
  <si>
    <t>EVERHOME SUITES GLENDALE</t>
  </si>
  <si>
    <t>602-819-4552</t>
  </si>
  <si>
    <t>COLLIN INGRAM</t>
  </si>
  <si>
    <t>jbrown@pathcc.com; cingram@pathcc.com; jstenzel@pathcc.com</t>
  </si>
  <si>
    <t>CASCADE FALLS</t>
  </si>
  <si>
    <t xml:space="preserve">SARIVAL &amp; VAN BUREN </t>
  </si>
  <si>
    <t>512-576-1608</t>
  </si>
  <si>
    <t>IGNACIO TALAVERA</t>
  </si>
  <si>
    <t>Ignacio.Talavera@tdc-properties.com; brian.goodwin@tdc-properties.com; Jim.Johnston@tdc-properties.com</t>
  </si>
  <si>
    <t>HILBERS INC</t>
  </si>
  <si>
    <t>RAISING CANE'S RESTAURANT</t>
  </si>
  <si>
    <t>N POWER ROAD</t>
  </si>
  <si>
    <t>530-565-0427</t>
  </si>
  <si>
    <t>KEVIN STINNETT</t>
  </si>
  <si>
    <t>EVIT EAST PARKING LOT</t>
  </si>
  <si>
    <t xml:space="preserve">W MAIN STREET </t>
  </si>
  <si>
    <t>602-376-1085 / 480-594-0144</t>
  </si>
  <si>
    <t>KENNY GUADIANA / SHAWN STRANGE</t>
  </si>
  <si>
    <t>kguadiana@chasse.us;sstrage@chasse.us</t>
  </si>
  <si>
    <t>AILERON</t>
  </si>
  <si>
    <t xml:space="preserve">N 7TH AVE </t>
  </si>
  <si>
    <t>602-550-0784</t>
  </si>
  <si>
    <t>TIM HICKS</t>
  </si>
  <si>
    <t>thicks@armays.com; cvildosola@armays.com; apassantino@armays.com</t>
  </si>
  <si>
    <t>ASU WEST CAMPUS LOT 4 RELOCATION</t>
  </si>
  <si>
    <t>480-684-0027</t>
  </si>
  <si>
    <t>ALAN ARVIZU</t>
  </si>
  <si>
    <t>alanarvizu@coreconstruction.com; petermettler@coreconstruction.com;orlandosaavedra@coreconstruction.com</t>
  </si>
  <si>
    <t>AVONDALE POLICE DETENTION CENTER</t>
  </si>
  <si>
    <t>N ELISEO C. FELIX JR. WAY</t>
  </si>
  <si>
    <t>mruthrauff@willmeng.com; jburbo@willmeng.com; kvekaria@willmeng.com;ddesai@willmeng.com</t>
  </si>
  <si>
    <t xml:space="preserve">SURPISE POINT INDUSTRIAL </t>
  </si>
  <si>
    <t>W SWEETWATER AVE</t>
  </si>
  <si>
    <t>602-309-7356/602-418-4648</t>
  </si>
  <si>
    <t>MIKE HARTMAN</t>
  </si>
  <si>
    <t>mike.hartman@laytonconstruction.com;tstewart@laytonconstruction.com; matt.slater@laytonconstruction.com</t>
  </si>
  <si>
    <t>7-ELEVEN DYSART &amp; BELL</t>
  </si>
  <si>
    <t>DYSART RD &amp; BELL RD</t>
  </si>
  <si>
    <t>602-550-7096</t>
  </si>
  <si>
    <t>ANDY RAMIREZ</t>
  </si>
  <si>
    <t>Art@sandstormconstructionaz.com;Aaron@sandstormconstructionaz.com; andy@sandstormconstructionaz.com</t>
  </si>
  <si>
    <t>FRONTERA BUILDING COMPANY</t>
  </si>
  <si>
    <t>7-ELEVEN - BELL</t>
  </si>
  <si>
    <t>704-960-3101</t>
  </si>
  <si>
    <t>MARCUS MUMBY</t>
  </si>
  <si>
    <t>Marcus@fronterabuildingco.com; kevin.griffith@fronterabuildingco.com</t>
  </si>
  <si>
    <t>ELLIOT MESA COMMERCE CENTER</t>
  </si>
  <si>
    <t>480-848-6830 / 775-313-4955</t>
  </si>
  <si>
    <t>SCOTT / NATHAN</t>
  </si>
  <si>
    <t>sroberts@alstonco.com; nshirey@alstonco.com</t>
  </si>
  <si>
    <t>BANYAN NORTH TEMPE</t>
  </si>
  <si>
    <t>847-421-9283</t>
  </si>
  <si>
    <t xml:space="preserve">JASON BREDEN </t>
  </si>
  <si>
    <t>jbreden@mcshane.com;YNaik@mcshane.com;CWooters@mcshane.com</t>
  </si>
  <si>
    <t>SAGE MEMORIAL HOSPITAL</t>
  </si>
  <si>
    <t>SR</t>
  </si>
  <si>
    <t>264 &amp; CEDAR HILLS ROAD</t>
  </si>
  <si>
    <t>GANADO</t>
  </si>
  <si>
    <t>PWI RESIDENTIAL</t>
  </si>
  <si>
    <t>ASCENT AT AMENITY</t>
  </si>
  <si>
    <t>N CAMELBACK RIDGE DRIVE</t>
  </si>
  <si>
    <t>480-338-4250</t>
  </si>
  <si>
    <t>DAVID DAWSON</t>
  </si>
  <si>
    <t>ddawson@pwiresidential.com</t>
  </si>
  <si>
    <t xml:space="preserve">WILLMENG     </t>
  </si>
  <si>
    <t>SUN VALLEY ACADEMY- GLENDALE</t>
  </si>
  <si>
    <t>940-260-9961</t>
  </si>
  <si>
    <t>SCOTT JOHNSON</t>
  </si>
  <si>
    <t>sjohnson@willmeng.com; asegu@willmeng.com; snihart@willmeng.com; pkadu@willmeng.com</t>
  </si>
  <si>
    <t>DOBBINS INDUSTRIAL</t>
  </si>
  <si>
    <t>DOBBINS &amp; 65TH AVE</t>
  </si>
  <si>
    <t>BEZTAK COMPANIES</t>
  </si>
  <si>
    <t>SAGE APARTMENTS</t>
  </si>
  <si>
    <t>N BLACK CANYON HIGHWAY</t>
  </si>
  <si>
    <t>540-300-0771 / 810-459-8303 / 602-290-6332 / 480-469-9274</t>
  </si>
  <si>
    <t xml:space="preserve"> FRANK RUBIO / DONALD BURNAU / RONALD VILLEGAS / WILLIAM MORRIS</t>
  </si>
  <si>
    <t xml:space="preserve"> frubio@beztak.com;dburnau@beztak.com;rvillegas@beztak.com;wmorris@beztak.com</t>
  </si>
  <si>
    <t>DICONCINI PARK RENOVATION</t>
  </si>
  <si>
    <t>CHRIS PETERS</t>
  </si>
  <si>
    <t>chrisp@bprcompanies.com</t>
  </si>
  <si>
    <t>DWELL TEMPE</t>
  </si>
  <si>
    <t>W FIFTH STREET</t>
  </si>
  <si>
    <t>602-980-5903 / 602-541-9217</t>
  </si>
  <si>
    <t>PRESTON CARTER / JIM BERGER</t>
  </si>
  <si>
    <t>pcarter@armays.com;jberger@armays.com;ddibiasi@armays.com</t>
  </si>
  <si>
    <t xml:space="preserve">MODERNE ARROWHEAD </t>
  </si>
  <si>
    <t>N 67TH AVE</t>
  </si>
  <si>
    <t>602-525-4867</t>
  </si>
  <si>
    <t>JEREMY KASSEL</t>
  </si>
  <si>
    <t>jkassel@armays.com; cvega@armays.com</t>
  </si>
  <si>
    <t>NIRVANA @ HARBOR SHORES</t>
  </si>
  <si>
    <t>N HARBOR SHORES BLVD</t>
  </si>
  <si>
    <t>847-812-8400</t>
  </si>
  <si>
    <t xml:space="preserve">John Murphy </t>
  </si>
  <si>
    <t>jmurphy@ridgehouseco.com; BBarney@ridgehouseco.com; jcamarena@ridgehouseco.com</t>
  </si>
  <si>
    <t>IDEAL CO INC.</t>
  </si>
  <si>
    <t xml:space="preserve">TRACTOR SUPPLY TUCSON </t>
  </si>
  <si>
    <t>405-397-5209</t>
  </si>
  <si>
    <t>JON SANDERS</t>
  </si>
  <si>
    <t>j.sanders61@hotmail.com; kristinef@idealco.net</t>
  </si>
  <si>
    <t>CCV QUEEN CREEK CAMPUS</t>
  </si>
  <si>
    <t>ELLSWORTH AND CHANDLER HEIGHTS</t>
  </si>
  <si>
    <t>480-245-8981 / 602-460-2305</t>
  </si>
  <si>
    <t>KEN BAKER / ANDY GOODING</t>
  </si>
  <si>
    <t>kbaker@chasse.us;agooding@chasse.us</t>
  </si>
  <si>
    <t>AGATE CONSTRUCTION INC.</t>
  </si>
  <si>
    <t>FORD PRO ELITE</t>
  </si>
  <si>
    <t xml:space="preserve">N 89TH ST </t>
  </si>
  <si>
    <t>714-587-8234 / 480-686-1681</t>
  </si>
  <si>
    <t>ROBERT HOGG / ZANE SERRANO</t>
  </si>
  <si>
    <t>Robert.Hogg@agateconstructioninc.com;zane.serrano@agateconstructioninc.com</t>
  </si>
  <si>
    <t>AZR1010ZX'</t>
  </si>
  <si>
    <t>ALLERO 59</t>
  </si>
  <si>
    <t>JOE PRIVITERA</t>
  </si>
  <si>
    <t>JOE@NUNNSCONSTRUCTION.COM</t>
  </si>
  <si>
    <t>LB WEST CONSTRUCTION</t>
  </si>
  <si>
    <t xml:space="preserve">EAGLE RIDGE APARTMENTS </t>
  </si>
  <si>
    <t>N VISTANCIA BLVD</t>
  </si>
  <si>
    <t>480-262-7569</t>
  </si>
  <si>
    <t>KENDALL HOUSE</t>
  </si>
  <si>
    <t>kh@lbwest.com;jw@lbwest.com;rlevalley@lbwest.com</t>
  </si>
  <si>
    <t>ROBINSON CONSTRUCTION CO</t>
  </si>
  <si>
    <t>HOME DEPOT - MARICOPA</t>
  </si>
  <si>
    <t>42410 W Maricopa</t>
  </si>
  <si>
    <t>503-707-9799</t>
  </si>
  <si>
    <t>BLAKE INGRAM / CODY RANDALL</t>
  </si>
  <si>
    <t xml:space="preserve">bingram@robcon.com;crandall@robcon.com;icolton@robcon.com;rporter@robcon.com </t>
  </si>
  <si>
    <t>ADKHC BILTMORE</t>
  </si>
  <si>
    <t>623-239-8680</t>
  </si>
  <si>
    <t>STEVE WILSON</t>
  </si>
  <si>
    <t>swilson@gconinc.com; maggiet@gconinc.com; tomd@gconinc.com</t>
  </si>
  <si>
    <t>CLARK CONSTRUCTION GROUP LLC</t>
  </si>
  <si>
    <t>PROJECT YUCCA BUILDING 1</t>
  </si>
  <si>
    <t>MCDOWELL ROAD &amp; PERRYVILLE ROAD</t>
  </si>
  <si>
    <t>BUCKEY</t>
  </si>
  <si>
    <t>949-375-8308</t>
  </si>
  <si>
    <t>WINSTON</t>
  </si>
  <si>
    <t>pete.virostek@clarkconstruction.com</t>
  </si>
  <si>
    <t>LENNAR MULTIFAMILY COMMUNITIES, LLC</t>
  </si>
  <si>
    <t>LMC CAVE CREEK</t>
  </si>
  <si>
    <t>E MARCO POLO ROAD</t>
  </si>
  <si>
    <t>602-859-4532/480.258.0691</t>
  </si>
  <si>
    <t>TONY DEBEVEC/JEFF HARRIS</t>
  </si>
  <si>
    <t>tony.debevec@livelmc.com;america.cano@quarterra.com</t>
  </si>
  <si>
    <t>SUNRISE PRESCHOOL - GLENDALE</t>
  </si>
  <si>
    <t>91ST AVE &amp; CAMELBACK RD</t>
  </si>
  <si>
    <t>520-858-5179</t>
  </si>
  <si>
    <t>MIKAH DOSSIE</t>
  </si>
  <si>
    <t>mikah@pridecontractingllc.com; jr@pridecontractingllc.com; tomas@pridecontractingllc.com; jett@pridecontractingllc.com</t>
  </si>
  <si>
    <t>APACHE RIVER</t>
  </si>
  <si>
    <t>480-277-0596 / 602-508-6166</t>
  </si>
  <si>
    <t xml:space="preserve"> RYAN / STEVE</t>
  </si>
  <si>
    <t>sbrittner@mcshane.com;rrosenfield@mcshane.com</t>
  </si>
  <si>
    <t>MAYDALL CONSTRUCTION</t>
  </si>
  <si>
    <t>SRP-MIC EARLY CHILDHOOD EDUCATION CENTER</t>
  </si>
  <si>
    <t>N CENTER STREET</t>
  </si>
  <si>
    <t>480-850-6950</t>
  </si>
  <si>
    <t>BRENT TRANGSRUD</t>
  </si>
  <si>
    <t>btrangsrud@maydall.com</t>
  </si>
  <si>
    <t>ARZ1010X1'</t>
  </si>
  <si>
    <t>GILBERT COMMONS</t>
  </si>
  <si>
    <t>N COOPER RD &amp; W MERRILL AVE</t>
  </si>
  <si>
    <t>gmorgan@mtbuilders.com</t>
  </si>
  <si>
    <t xml:space="preserve">ALLIANCE RESIDENTIAL BUILDERS LLC </t>
  </si>
  <si>
    <t>BROADSTONE WESTGATE</t>
  </si>
  <si>
    <t>N 93RD AVE</t>
  </si>
  <si>
    <t>J QUAID</t>
  </si>
  <si>
    <t xml:space="preserve">JQUAID@ALLRESCO.COM; kdove@allresco.com; </t>
  </si>
  <si>
    <t>ONE SCOTTSDALE MOB</t>
  </si>
  <si>
    <t>KEN DONALDSON / MICHAEL ZOEMISCH</t>
  </si>
  <si>
    <t>ken.donaldson@ryancompanies.com; michael.zoemisch@ryancompanies.com</t>
  </si>
  <si>
    <t>US BANK - HIGLEY RD-GILBERT</t>
  </si>
  <si>
    <t>N HIGLEY ROAD</t>
  </si>
  <si>
    <t>512-635-0919</t>
  </si>
  <si>
    <t>TIM HESSELFIELDT / CONNOR MARTIN</t>
  </si>
  <si>
    <t>thesselfeldt@embreegroup.com;cmartin@embreegroup.com</t>
  </si>
  <si>
    <t>ALLORA SURPRISE</t>
  </si>
  <si>
    <t>480-640-3237</t>
  </si>
  <si>
    <t>MITCHELL EGGEN</t>
  </si>
  <si>
    <t>meggen@chasse.us; canderson@chasse.us; llechuga@chasse.us; msoto@chasse.us; bpask@chasse.us</t>
  </si>
  <si>
    <t>CACTUS 303 OFFSITE</t>
  </si>
  <si>
    <t>PRASADA PKWY &amp; CACTUS RD</t>
  </si>
  <si>
    <t>480-450-6344</t>
  </si>
  <si>
    <t>TYLER HARTPENCE</t>
  </si>
  <si>
    <t>tyler.hartpence@laytonconstruction.com; Danny.Perez@laytonconstruction.com</t>
  </si>
  <si>
    <t xml:space="preserve">NWFD TRAINING CENTER - UTILITY &amp; PAVEMENT </t>
  </si>
  <si>
    <t>W CAMINO DE FUEGO</t>
  </si>
  <si>
    <t>480-435-3383</t>
  </si>
  <si>
    <t>DAVID KINNEY</t>
  </si>
  <si>
    <t>davidkinney@coreconstruction.com</t>
  </si>
  <si>
    <t>AVM CONSTRUCTION LLC</t>
  </si>
  <si>
    <t>DOBSON &amp; GERMANN ROAD RETAIL CENTER</t>
  </si>
  <si>
    <t>GERMAN ROAD &amp; DOBSON ROAD</t>
  </si>
  <si>
    <t>602-803-3456</t>
  </si>
  <si>
    <t>CHAD D'ANGELO / JAKE WILKINSON</t>
  </si>
  <si>
    <t>chad@avmconstruction.net;jake@avmconstruction.net3</t>
  </si>
  <si>
    <t>PUHSD-NEW DSF CONSTRUCTION</t>
  </si>
  <si>
    <t>W OSBORN</t>
  </si>
  <si>
    <t>480-980-4648</t>
  </si>
  <si>
    <t>eochoa@chasse.us</t>
  </si>
  <si>
    <t>VAL VISTA SELF STORAGE - MESA</t>
  </si>
  <si>
    <t>N VAL VISTA DRIVE</t>
  </si>
  <si>
    <t>480-589-0266</t>
  </si>
  <si>
    <t>JOHN WEBSTER</t>
  </si>
  <si>
    <t>john@tlwconstruction.com;carol@tlwconstruction.com;jason@tlwconstruction.com</t>
  </si>
  <si>
    <t>GEN2 PARKING GARAGE</t>
  </si>
  <si>
    <t>150TH DR &amp; W MCDOWELL RD</t>
  </si>
  <si>
    <t>480-202-9807</t>
  </si>
  <si>
    <t>DON ENGQUIST</t>
  </si>
  <si>
    <t>don.engquist@ryancompanies.com</t>
  </si>
  <si>
    <t>PROJECT NEMO</t>
  </si>
  <si>
    <t>480-468-7500</t>
  </si>
  <si>
    <t>CODY KEIM</t>
  </si>
  <si>
    <t>ckeim@fclbuilders.com; gkolodziej@fclbuilders.com</t>
  </si>
  <si>
    <t>971-404-4502</t>
  </si>
  <si>
    <t>PAUL MAGRONE</t>
  </si>
  <si>
    <t>pmagrone@willmeng.com</t>
  </si>
  <si>
    <t>THOMPSON THRIFT CONSTRUCTION</t>
  </si>
  <si>
    <t>AZ, BUCKEYE, YUMA ROAD (THE MADDOX)</t>
  </si>
  <si>
    <t>jpiascik@thompsonthrift.com</t>
  </si>
  <si>
    <t>PROLOGIS 303</t>
  </si>
  <si>
    <t>602-803-3649</t>
  </si>
  <si>
    <t>KEITH HERRINGTON</t>
  </si>
  <si>
    <t>keith.herrington@laytonconstruction.com; kincade.stalun@laytonconstruction.com</t>
  </si>
  <si>
    <t>CAP ROCK - WEST 202 LOGISTICS</t>
  </si>
  <si>
    <t>602-526-6392</t>
  </si>
  <si>
    <t>Christopher Coffer</t>
  </si>
  <si>
    <t>ccoffer@willmeng.com</t>
  </si>
  <si>
    <t>COTTON LN COMMERCE CENTER PARK</t>
  </si>
  <si>
    <t>619-632-2207</t>
  </si>
  <si>
    <t>CHRISTIAN CORTEZ</t>
  </si>
  <si>
    <t>ccortez@willmeng.com; dtappen@willmeng.com</t>
  </si>
  <si>
    <t>TOWNPLACE SUITES FLAGSTAFF</t>
  </si>
  <si>
    <t>E ROUTE 66</t>
  </si>
  <si>
    <t>209-598-3242 / 602-999-4375</t>
  </si>
  <si>
    <t>BYRON BECK / TONY DISCUILLO</t>
  </si>
  <si>
    <t>byron@aceconstructionlv.com;bethk@overlandcorp.com;tonyd@overlandcorp.com</t>
  </si>
  <si>
    <t>STREETLIGHTS</t>
  </si>
  <si>
    <t>702-721-6631 / 480-865-0848</t>
  </si>
  <si>
    <t>MIKE SCHOFIELD / ADAM BROWN</t>
  </si>
  <si>
    <t>abrown@streetlightsres.com;mschofield@streetlightsres.com</t>
  </si>
  <si>
    <t>C1 HILLSIDE RESIDENCE</t>
  </si>
  <si>
    <t xml:space="preserve">N ASCENT DRIVE </t>
  </si>
  <si>
    <t>CORNERSTONE CHRISTIAN FELLOWSHIP, BUILDING E</t>
  </si>
  <si>
    <t>ddiehl@concordinc.com</t>
  </si>
  <si>
    <t>109 LIV UNION PEAK</t>
  </si>
  <si>
    <t>N 21ST AVE</t>
  </si>
  <si>
    <t>DAVE HALBISON</t>
  </si>
  <si>
    <t>DHALBISON@MTBPROJECTS.COM</t>
  </si>
  <si>
    <t>ELEVEN WESTERN BUILDERS</t>
  </si>
  <si>
    <t>99TH &amp; MCDOWELL MIXED USE PROJECT</t>
  </si>
  <si>
    <t>N 99TH AVE</t>
  </si>
  <si>
    <t>858-568-0123</t>
  </si>
  <si>
    <t>DAN HENDRICKSON</t>
  </si>
  <si>
    <t>stomlinson@ewbinc.com; dkherrick@ewbinc.com; dhendrickson@ewbinc.com; pcobas@ewbinc.com</t>
  </si>
  <si>
    <t>BJERK BUILDERS</t>
  </si>
  <si>
    <t>SADDLE CREEK TI</t>
  </si>
  <si>
    <t>480-688-7531</t>
  </si>
  <si>
    <t>DARYLL CREVISTON</t>
  </si>
  <si>
    <t>daryll@bjerkbuilders.com</t>
  </si>
  <si>
    <t>602.821.9933</t>
  </si>
  <si>
    <t>BRUCE DORGE</t>
  </si>
  <si>
    <t>bdorge@fclbuilders.com; jlovrich@fclbuilders.com</t>
  </si>
  <si>
    <t>DALLAS CONSTRUCTION</t>
  </si>
  <si>
    <t>SRPMIC COMMUNITY BUILDING</t>
  </si>
  <si>
    <t xml:space="preserve">N LONGMORE </t>
  </si>
  <si>
    <t>480-229-3607 / 602-625-9749</t>
  </si>
  <si>
    <t>KATHLEEN TAITANO / EASTON MULLEN</t>
  </si>
  <si>
    <t>ktaitano@dallasconstructionllc.com;emullen@dallasconstructionllc.com</t>
  </si>
  <si>
    <t>ARIZONA AVE LOGISTICS</t>
  </si>
  <si>
    <t>602-763-0047 / 480-915-4667</t>
  </si>
  <si>
    <t>BRIAN TREANER / MICHAEL OAKLEY</t>
  </si>
  <si>
    <t>moakley@alstonco.com;kjohnsen@alstonco.com</t>
  </si>
  <si>
    <t>AGAVE HOUSE</t>
  </si>
  <si>
    <t>801-347-2935 / 602-571-9630 / 480-416-3862</t>
  </si>
  <si>
    <t>MIKE WASHBURN / PETE ROBINSON / GIOVANNI GARCIA</t>
  </si>
  <si>
    <t>mike.washburn@big-d.com;pete.robinson@big-d.com;giovanni.garcia@big-d.com</t>
  </si>
  <si>
    <t>VINYLTECH BUILDING</t>
  </si>
  <si>
    <t>S 61ST AVE</t>
  </si>
  <si>
    <t>480-377-8796</t>
  </si>
  <si>
    <t>tim.schalk@ryancompanies.com; hannah.pier@ryancompanies.com</t>
  </si>
  <si>
    <t>MARANA AQUATICS</t>
  </si>
  <si>
    <t>N MARANA MAIN STREET</t>
  </si>
  <si>
    <t>520-310-3718</t>
  </si>
  <si>
    <t>DAXTON TONN</t>
  </si>
  <si>
    <t>dtonn@chasse.us; brennanparker@chasse.us; mfinch@chasse.us</t>
  </si>
  <si>
    <t>McMANUS CONSTRUCTION</t>
  </si>
  <si>
    <t>DUTCH BROTHERS - AJO HIGHWAY</t>
  </si>
  <si>
    <t>W AJO HIGHWAY</t>
  </si>
  <si>
    <t>520-425-2425</t>
  </si>
  <si>
    <t>NICK PAPANIKOLAS</t>
  </si>
  <si>
    <t>n.papanikolas@mcmanusconstruction.net</t>
  </si>
  <si>
    <r>
      <rPr>
        <sz val="11"/>
        <color rgb="FF000000"/>
        <rFont val="Calibri"/>
        <scheme val="minor"/>
      </rPr>
      <t xml:space="preserve">EMBREY BUILDERS, LLC  </t>
    </r>
    <r>
      <rPr>
        <sz val="11"/>
        <color rgb="FFFF0000"/>
        <rFont val="Calibri"/>
        <scheme val="minor"/>
      </rPr>
      <t>FINAL 12-9-24</t>
    </r>
  </si>
  <si>
    <t>EMBREY-7TH &amp; OAK</t>
  </si>
  <si>
    <t>N 7TH STREET</t>
  </si>
  <si>
    <t>480-665-6446</t>
  </si>
  <si>
    <t>tmalafa@EmbreyDC.com; zhyde@embreydc.com</t>
  </si>
  <si>
    <t xml:space="preserve">WESPAC           </t>
  </si>
  <si>
    <t>COVE LOGISTICS</t>
  </si>
  <si>
    <t>KIRK JONOVICH</t>
  </si>
  <si>
    <t>AdamJ@Wespacaz.com; jwasemiller@wespacaz.com; JRomo@wespacaz.com</t>
  </si>
  <si>
    <t xml:space="preserve">ROSS STORES DISTRIBUION </t>
  </si>
  <si>
    <t>WATSON RD &amp; W SOUTHERN AVE</t>
  </si>
  <si>
    <t>623.694.9840</t>
  </si>
  <si>
    <t>TONY PETTY</t>
  </si>
  <si>
    <t>TPETTY@HMCOMPANY.COM</t>
  </si>
  <si>
    <t>SCAHCC HEALTH CLINIC</t>
  </si>
  <si>
    <t>SAN CARLOS / 193 BYLAS</t>
  </si>
  <si>
    <t>707-386-7925 / 602-342-6150 / 480-406-8547</t>
  </si>
  <si>
    <t>MATT ALDRIDGE / TRACY GARDNER / ANNA CHARAMEDA</t>
  </si>
  <si>
    <t>maldridge@willmeng.com;tgardner@willmeng.com;acharameda@willmeng.com</t>
  </si>
  <si>
    <t>ELECTIRIC PICKLE PHASE ll</t>
  </si>
  <si>
    <t xml:space="preserve">S EMERALD DRIVE </t>
  </si>
  <si>
    <t>623-235-4374</t>
  </si>
  <si>
    <t>BILLY BALL</t>
  </si>
  <si>
    <t>bball@abccre.com</t>
  </si>
  <si>
    <t>POWER INDUSTRIAL PROJECT MEERA</t>
  </si>
  <si>
    <t>DONALD SCHROAT</t>
  </si>
  <si>
    <t>dschroat@fclbuilders.com</t>
  </si>
  <si>
    <t>GILBERT WOODSPRING'S SUITES</t>
  </si>
  <si>
    <t>602-515-9135</t>
  </si>
  <si>
    <t>ANDREW</t>
  </si>
  <si>
    <t>andrewashurkus@brycon.com</t>
  </si>
  <si>
    <t>UNITED CONTRACTORS</t>
  </si>
  <si>
    <t xml:space="preserve">KEN GARFF KIA - KIA OF PHOENIX </t>
  </si>
  <si>
    <t>BLUE @ EASTLINE VILLAGE</t>
  </si>
  <si>
    <t>602-763-0047</t>
  </si>
  <si>
    <t>BRIAN TREANOR / JP ELLIOT</t>
  </si>
  <si>
    <t>BTREANOR@ALSTONCO.COM;jelliott@alstonco.com</t>
  </si>
  <si>
    <t>HARKINS ON BELL</t>
  </si>
  <si>
    <t xml:space="preserve">ADAM    </t>
  </si>
  <si>
    <t>astone@csigc.com;Jdoonan@csigc.com;klane@csigc.com</t>
  </si>
  <si>
    <t xml:space="preserve">MTI- MITCHELL GENERAL CONRACTING </t>
  </si>
  <si>
    <t>CHIPOTLE #5245</t>
  </si>
  <si>
    <t>480-291-2729</t>
  </si>
  <si>
    <t>MIKE NAFTZGER</t>
  </si>
  <si>
    <t>mike@mitchellgcinc.com</t>
  </si>
  <si>
    <t>WOODSPRINGS SUITES &amp; EVERHOME SUITES</t>
  </si>
  <si>
    <t>W WILLIS ROAD</t>
  </si>
  <si>
    <t>JAMES TOVAR</t>
  </si>
  <si>
    <t>jtovar@pathcc.com;dkrupp@pathcc.com</t>
  </si>
  <si>
    <t>GOODYEAR CIVIC SQUARE LOT 2B &amp; 2C</t>
  </si>
  <si>
    <t>W HOLLY ST &amp; N 150TH DR</t>
  </si>
  <si>
    <t>scochran@chasse.us; kmatsuda@chasse.us</t>
  </si>
  <si>
    <t xml:space="preserve">MCKESSON PHOENIX </t>
  </si>
  <si>
    <t xml:space="preserve">87TH AVE &amp; DURANGO ST </t>
  </si>
  <si>
    <t>480-824-3136</t>
  </si>
  <si>
    <t>JASON WILHELM</t>
  </si>
  <si>
    <t>jwilhelm@willmeng.com</t>
  </si>
  <si>
    <t>DOBBINS &amp; 59TH</t>
  </si>
  <si>
    <t>KIM MCCORD</t>
  </si>
  <si>
    <t>KMCCORD@MTBPROJECTS.COM</t>
  </si>
  <si>
    <t>U OF A AMIT</t>
  </si>
  <si>
    <t>602-689-7434</t>
  </si>
  <si>
    <t>JOE TRAPP</t>
  </si>
  <si>
    <t>jatrapp@mccarthy.com</t>
  </si>
  <si>
    <t>ONE SCOTTSDALE APARTMENTS</t>
  </si>
  <si>
    <t>E LEGACY BLVD</t>
  </si>
  <si>
    <t>970-209-0978 / 973-222-7473</t>
  </si>
  <si>
    <t>RICHARD GEERY  / BEN KISSANE</t>
  </si>
  <si>
    <t>rgeery@streetlightsres.com;bkissane@streetlightsres.com</t>
  </si>
  <si>
    <t xml:space="preserve">AVONDALE RESIDENCES </t>
  </si>
  <si>
    <t>AVONDALE BLVD &amp; ROOSEVELT ST.</t>
  </si>
  <si>
    <t>602-803-2417</t>
  </si>
  <si>
    <t>BILL PENNINGTON</t>
  </si>
  <si>
    <t>JZOZAYA@MCSHANE.COM;bpennington@mcshane.com</t>
  </si>
  <si>
    <t xml:space="preserve">7-ELEVEN #47390 - GOODYEAR </t>
  </si>
  <si>
    <t xml:space="preserve">N ESTRELLA PKWY </t>
  </si>
  <si>
    <t>630-337-3041</t>
  </si>
  <si>
    <t>TSMC SUPPLIER BUILIDING A</t>
  </si>
  <si>
    <t>424-757-9532</t>
  </si>
  <si>
    <t>CRAIG SPECHT</t>
  </si>
  <si>
    <t>cspecht@nittidac.com;sgoetzenberger@nittibldrs.com</t>
  </si>
  <si>
    <t>SKYWEST - MAINTENANCE HANGAR</t>
  </si>
  <si>
    <t>E AERONAUTICAL WAY</t>
  </si>
  <si>
    <t>480-296-9679</t>
  </si>
  <si>
    <t>JIIM FAY</t>
  </si>
  <si>
    <t>jim.fay@big-d.com; matt.woodburn@big-d.com</t>
  </si>
  <si>
    <t>ALTA AVONDALE</t>
  </si>
  <si>
    <t>I (Bill before 20th)</t>
  </si>
  <si>
    <t>602-908-4450</t>
  </si>
  <si>
    <t>ESTEBAN ROMERO</t>
  </si>
  <si>
    <t>ESTEBAN.ROMERO@WOODPARTNERS.COM</t>
  </si>
  <si>
    <t xml:space="preserve">TRACTOR SUPPLY - LAVEEN </t>
  </si>
  <si>
    <t>S 35TH AVE</t>
  </si>
  <si>
    <t>937-313-2479</t>
  </si>
  <si>
    <t>gatkin007@yahoo.com; j.sanders61@hotmail.com</t>
  </si>
  <si>
    <t>NITTI DAC LLC</t>
  </si>
  <si>
    <t>ELLIOT 96</t>
  </si>
  <si>
    <t xml:space="preserve">E ELLIOT ROAD </t>
  </si>
  <si>
    <t>214-683-5863</t>
  </si>
  <si>
    <t>JOEL PAINTER</t>
  </si>
  <si>
    <t>joel.painter@emjcorp.com</t>
  </si>
  <si>
    <t xml:space="preserve">LLOYD CONTRUCTION COMPANY </t>
  </si>
  <si>
    <t>DEMA RITA RD REDINESS CENTER</t>
  </si>
  <si>
    <t>E DINA MARIE PL &amp; RITA RD</t>
  </si>
  <si>
    <t>520-345-3092</t>
  </si>
  <si>
    <t>MAX MEJIA</t>
  </si>
  <si>
    <t>max@lloydconstruction.com</t>
  </si>
  <si>
    <t xml:space="preserve">RYAN COMPANIES  </t>
  </si>
  <si>
    <t>SURPISE POINT 34</t>
  </si>
  <si>
    <t>WADDELL RD &amp; WILLOW AVE</t>
  </si>
  <si>
    <t>319-499-7516</t>
  </si>
  <si>
    <t>DALTON CLARK</t>
  </si>
  <si>
    <t>dalton.clark@ryancompanies.com</t>
  </si>
  <si>
    <t>MESA GATEWAY INFRASTRUCTURE</t>
  </si>
  <si>
    <t>WILLIAMSFIELD AND ELLSWORTH</t>
  </si>
  <si>
    <t>602-290-7119</t>
  </si>
  <si>
    <t>JOE KELLUM</t>
  </si>
  <si>
    <t>jkellum@wespacaz.com</t>
  </si>
  <si>
    <t>PROSTEEL STR</t>
  </si>
  <si>
    <t>OXYGO</t>
  </si>
  <si>
    <t>DESERT COVE RD &amp; 132ND AVE</t>
  </si>
  <si>
    <t>480-544-4852</t>
  </si>
  <si>
    <t>ENRIQUE ROBLES</t>
  </si>
  <si>
    <t>enrique@prosteelstr.com; tomstitt@prosteelstr.com</t>
  </si>
  <si>
    <t>TABARKA WAREHOUSE 1</t>
  </si>
  <si>
    <t>N 22ND ST</t>
  </si>
  <si>
    <t>TOM STITT</t>
  </si>
  <si>
    <t>tomstitt@prosteelstr.com</t>
  </si>
  <si>
    <t>ALTA ELLIOT - GILBERT</t>
  </si>
  <si>
    <t>N MCQUEEN ROAD</t>
  </si>
  <si>
    <t>U</t>
  </si>
  <si>
    <t>joe.garcia@woodpartners.com</t>
  </si>
  <si>
    <t xml:space="preserve">RYAN COMPANIES    </t>
  </si>
  <si>
    <t>GLOBE DR INFRASTRUCTURE</t>
  </si>
  <si>
    <t>GLOBE DR</t>
  </si>
  <si>
    <t>NORTERRA PUD 22ND LN EXTENSION</t>
  </si>
  <si>
    <t>N 22ND LN &amp; HAPPY VALLEY</t>
  </si>
  <si>
    <t>TIMOTHY HUTTER</t>
  </si>
  <si>
    <t>timothy.hutter@laytonconstruction.com</t>
  </si>
  <si>
    <t>NOVUS 3A OPEN SPACE</t>
  </si>
  <si>
    <t xml:space="preserve">  </t>
  </si>
  <si>
    <t>BLUE HORIZON FIRE STATION #707</t>
  </si>
  <si>
    <t>602-881-3242</t>
  </si>
  <si>
    <t>EDGAR NEVAREZ</t>
  </si>
  <si>
    <t>edgarnevarez@coreconstruction.com</t>
  </si>
  <si>
    <t>32ND &amp; SOUTHERN APARTMENTS</t>
  </si>
  <si>
    <t>S 32ND STREET</t>
  </si>
  <si>
    <t>562-376-0312</t>
  </si>
  <si>
    <t>CHRIS AYALA</t>
  </si>
  <si>
    <t>jstewart@Mtbprojects.com; cayala@mtbuilders.com; sstanley@mtbprojects.com</t>
  </si>
  <si>
    <t>GUTHRIE GENERAL INC</t>
  </si>
  <si>
    <t>CVRMC KEARNY CLINIC</t>
  </si>
  <si>
    <t>TIBURY DRIVE</t>
  </si>
  <si>
    <t>KEARNY</t>
  </si>
  <si>
    <t>602-647-1938</t>
  </si>
  <si>
    <t>GREG FREEMAN</t>
  </si>
  <si>
    <t>gfreeman@guthriegeneral.com</t>
  </si>
  <si>
    <t>RIDGEHOUSE @GLENDALE</t>
  </si>
  <si>
    <t>N. 99TH AVE</t>
  </si>
  <si>
    <t>602-549-7944</t>
  </si>
  <si>
    <t>MARSH RAGLAND</t>
  </si>
  <si>
    <t>mragland@ridgehouseco.com; mlimpert@ridgehouseco.com; walter@ridgehouseco.com; cpaolinetti@ridgehouseco.com; shoefler@ridgehouseco.com</t>
  </si>
  <si>
    <t xml:space="preserve">DESERT THUNDER ELEMENTARY SCHOOL </t>
  </si>
  <si>
    <t>W GARFIELD ST</t>
  </si>
  <si>
    <t>CITY OF SCOTTSDALE FIRE DEPARTMENT TRAINING FACILITY</t>
  </si>
  <si>
    <t>480-521-1989</t>
  </si>
  <si>
    <t>RYAN JEWELL</t>
  </si>
  <si>
    <t>ryanjewell@coreconstruction.com</t>
  </si>
  <si>
    <t xml:space="preserve">ARCO CONSTRUCTION  </t>
  </si>
  <si>
    <t>LEVEL CROSSING PHASE 3</t>
  </si>
  <si>
    <t>480-282-2961</t>
  </si>
  <si>
    <t>ROB SHEPARD</t>
  </si>
  <si>
    <t>rshepard@arco1.com</t>
  </si>
  <si>
    <t>COMMONWEALTH CONSTRUCTION CORPORATION</t>
  </si>
  <si>
    <t>THE COVE APARTMENTS</t>
  </si>
  <si>
    <t>W DESERT COVE AVE</t>
  </si>
  <si>
    <t>920-851-1914</t>
  </si>
  <si>
    <t>SCOTT SCHIMMERS</t>
  </si>
  <si>
    <t>s.schimmers@commonwealthco.net</t>
  </si>
  <si>
    <t>CABANA NORTH VALLEY</t>
  </si>
  <si>
    <t>VINCE MORROW</t>
  </si>
  <si>
    <t>lsaldivar@greenilghtgc.com; ggriffiths@greenlightgc.com</t>
  </si>
  <si>
    <t>ST MARY'S FOOD BANK- 29TH AVE</t>
  </si>
  <si>
    <t>djameson@willmeng.com</t>
  </si>
  <si>
    <t>AMPLIFY PHASE 3</t>
  </si>
  <si>
    <t>AARON SCOTT</t>
  </si>
  <si>
    <t>LA PRADERA PARK RENOVATION</t>
  </si>
  <si>
    <t xml:space="preserve">N 39TH AVE </t>
  </si>
  <si>
    <t>Ken baker</t>
  </si>
  <si>
    <t>kbaker@chasse.us</t>
  </si>
  <si>
    <t>PHX86 DATA CENTER</t>
  </si>
  <si>
    <t>602-316-3976</t>
  </si>
  <si>
    <t>GABE/ SCOTTY TERRAZAS</t>
  </si>
  <si>
    <t>jesse.nekula@redpointcontracting.com; sterrazas@henselphelps.com; TMartin4@henselphelps.com; RFinnegan@henselphelps.com; ICarefoot@henselphelps.com</t>
  </si>
  <si>
    <t>TUMBLEWEED REC CENTER EXPANSION</t>
  </si>
  <si>
    <t>E GERMANN ROAD</t>
  </si>
  <si>
    <t>480-628-0681 / 602-301-2222</t>
  </si>
  <si>
    <t>STEVE MARTIN / JOHN FOOTE</t>
  </si>
  <si>
    <t>smartin@chasse.us;jfoote@chasse.us</t>
  </si>
  <si>
    <t>THE BASE INDUSTRIAL</t>
  </si>
  <si>
    <t>720-415-8823</t>
  </si>
  <si>
    <t>TOM HIGHSMITH</t>
  </si>
  <si>
    <t>tshrivastava@willmeng.com; landerson@willmeng.com; rstuker@willmeng.com</t>
  </si>
  <si>
    <t>SUPERSTITION APARTMENTS (STILLWATER MESA)</t>
  </si>
  <si>
    <t>S CLEARVIEW AVE</t>
  </si>
  <si>
    <t>480-688-3735 / 602-525-9800</t>
  </si>
  <si>
    <t>JASON LEPORTE / MATT LEGGE</t>
  </si>
  <si>
    <t>jleporte@mtbuilders.com; mlegge@mtbprojects.com</t>
  </si>
  <si>
    <t>ALIGNED DATA CENTER PHX08</t>
  </si>
  <si>
    <t>W BEHREND DR</t>
  </si>
  <si>
    <t>602-649-0589</t>
  </si>
  <si>
    <t>NICK LAKE</t>
  </si>
  <si>
    <t>nlake@holder.com</t>
  </si>
  <si>
    <r>
      <rPr>
        <sz val="11"/>
        <color rgb="FF000000"/>
        <rFont val="Calibri"/>
      </rPr>
      <t xml:space="preserve">ARMAYS </t>
    </r>
    <r>
      <rPr>
        <sz val="11"/>
        <color rgb="FFFF0000"/>
        <rFont val="Calibri"/>
      </rPr>
      <t>Inspection not Estimated</t>
    </r>
  </si>
  <si>
    <t>BROOKLYN BEDDING PHASE 2</t>
  </si>
  <si>
    <t>5202/5210</t>
  </si>
  <si>
    <t>W MONTEBELLOW AVE</t>
  </si>
  <si>
    <t>85301</t>
  </si>
  <si>
    <t>602-695-6201</t>
  </si>
  <si>
    <t>CHRIS TURCHANY</t>
  </si>
  <si>
    <t>cturchany@armays.com; jzozaya@armays.com</t>
  </si>
  <si>
    <t>THE RESIDENCES AT QUEEN CREEK COMMONS</t>
  </si>
  <si>
    <t>queencreekcommons@sodella.com;marcus.morales@sodella.com;james.vanbalen@sodella.com</t>
  </si>
  <si>
    <t xml:space="preserve">PARKWAY CONSTRUCTION &amp; ASSOCIATES </t>
  </si>
  <si>
    <t>BJ'S RESTAURANT BREWHOUSE - QUEEN CREEK</t>
  </si>
  <si>
    <t>469-794-9904</t>
  </si>
  <si>
    <t>KEVIN BROOKS</t>
  </si>
  <si>
    <t>kbrooks@parkwayconstruction.com</t>
  </si>
  <si>
    <t>THE VILLAGE AT MAYO CLINIC - CASITA #4</t>
  </si>
  <si>
    <t>602-859-0643</t>
  </si>
  <si>
    <t>BILL PACE</t>
  </si>
  <si>
    <t xml:space="preserve"> wpace@wespacaz.com</t>
  </si>
  <si>
    <t>MOUNTAIN PARK HEALTH CENTER - JESSE OWENS CLINIC</t>
  </si>
  <si>
    <t>928-231-3709</t>
  </si>
  <si>
    <t>PHIL WOJCIK</t>
  </si>
  <si>
    <t>pwojcik@calienteconstruction.com</t>
  </si>
  <si>
    <t>7-ELEVEN - MOHAVE</t>
  </si>
  <si>
    <t>S 7TH ST</t>
  </si>
  <si>
    <t>KEVIN GRIFFITH</t>
  </si>
  <si>
    <t>kevin.griffith@fronterabuildingco.com; andrew@fronterabuildingco.com</t>
  </si>
  <si>
    <r>
      <rPr>
        <sz val="11"/>
        <color rgb="FF000000"/>
        <rFont val="Calibri"/>
        <scheme val="minor"/>
      </rPr>
      <t xml:space="preserve">VENN COMPANIES </t>
    </r>
    <r>
      <rPr>
        <sz val="11"/>
        <color rgb="FFFF0000"/>
        <rFont val="Calibri"/>
        <scheme val="minor"/>
      </rPr>
      <t>OUT OF MONEY</t>
    </r>
  </si>
  <si>
    <t>RED HAWK GARAGE SUITES - GLENDALE</t>
  </si>
  <si>
    <t>N GLENN HARBOR BLVD</t>
  </si>
  <si>
    <r>
      <rPr>
        <sz val="11"/>
        <color rgb="FF000000"/>
        <rFont val="Calibri"/>
        <scheme val="minor"/>
      </rPr>
      <t xml:space="preserve">BFL CONSTRUCTION </t>
    </r>
    <r>
      <rPr>
        <sz val="11"/>
        <color rgb="FFFF0000"/>
        <rFont val="Calibri"/>
        <scheme val="minor"/>
      </rPr>
      <t>Not in Estimate</t>
    </r>
  </si>
  <si>
    <t>PHOENIX FIRE STATION #74</t>
  </si>
  <si>
    <t>19TH AVE AND CHANDLER BLVD</t>
  </si>
  <si>
    <t>602-525-8692</t>
  </si>
  <si>
    <t>DAN VANDRIEL</t>
  </si>
  <si>
    <t>d.vandriel@bflconstruction.com</t>
  </si>
  <si>
    <r>
      <rPr>
        <sz val="11"/>
        <color rgb="FF000000"/>
        <rFont val="Calibri"/>
        <scheme val="minor"/>
      </rPr>
      <t xml:space="preserve">FRONTERA BUILDING COMPANY </t>
    </r>
    <r>
      <rPr>
        <sz val="11"/>
        <color rgb="FFFF0000"/>
        <rFont val="Calibri"/>
        <scheme val="minor"/>
      </rPr>
      <t>Not in Estimate</t>
    </r>
  </si>
  <si>
    <t xml:space="preserve">STORY CANNABIS </t>
  </si>
  <si>
    <t>CAMELBACK &amp; EL MIRAGE RD</t>
  </si>
  <si>
    <t>480-244-0538</t>
  </si>
  <si>
    <t>AARON MULLINS</t>
  </si>
  <si>
    <t>aaron@fronterabuildingco.com</t>
  </si>
  <si>
    <t>HOME DEPOT - SURPRISE</t>
  </si>
  <si>
    <t>503-645-8531</t>
  </si>
  <si>
    <t>RAY SEELEY</t>
  </si>
  <si>
    <t>rseeley@robcon.com; icolton@robcon.com; leob@robcon.com</t>
  </si>
  <si>
    <t>SHRADER &amp; MARTINEZ CONSTRUCTION</t>
  </si>
  <si>
    <t>ULTRA CLEAN - SURPRISE</t>
  </si>
  <si>
    <t>435-705-4190</t>
  </si>
  <si>
    <t>BILL HAYNES</t>
  </si>
  <si>
    <t>bhaynes@shradermartinez.com</t>
  </si>
  <si>
    <t>C.G. SCHMIDT, INC</t>
  </si>
  <si>
    <t>ASCEND CHANDLER AIRPORT ROAD</t>
  </si>
  <si>
    <t>COOPER AND GERMANN</t>
  </si>
  <si>
    <t>480-490-2931</t>
  </si>
  <si>
    <t>DARRIN SCOTT</t>
  </si>
  <si>
    <t>darren.scott@cgschmidt.com</t>
  </si>
  <si>
    <t>PHOENIX 70</t>
  </si>
  <si>
    <t>INDIAN SCHOOL AND CITRUS</t>
  </si>
  <si>
    <t>THOMAS JOHANSON</t>
  </si>
  <si>
    <t>dsimonson@markhamcontracting.com; jluttman@markhamcontracting.com</t>
  </si>
  <si>
    <t>ALTA GOODYEAR</t>
  </si>
  <si>
    <t>150TH AND ENCANTO</t>
  </si>
  <si>
    <t>DAN ARMSTRONG</t>
  </si>
  <si>
    <t>danny.armstrong@woodpartners.com</t>
  </si>
  <si>
    <t>MODERA KIERLAND</t>
  </si>
  <si>
    <t>480-299-5175 / 480-861-4773</t>
  </si>
  <si>
    <t>STEVE SENATRO / JOE / JAKE HALLARAN</t>
  </si>
  <si>
    <t>SSENATRO@MCRTRUST.COM;klask@mcrtrust.com;  mcrandell@mcrtrust.com;jhallaran@mcrtrust.com;jgiaramita@mcrtrust.com;rgeery@mcrtrust.com;gbonanni@mcrtrust.com</t>
  </si>
  <si>
    <t>X PHOENIX</t>
  </si>
  <si>
    <t>602-315-7005</t>
  </si>
  <si>
    <t>MIKE MONIUSZKOM</t>
  </si>
  <si>
    <t>moniuszkom@claycorp.com</t>
  </si>
  <si>
    <t>SIMONCRE @ SURPRISE CENTER</t>
  </si>
  <si>
    <t>BELL &amp; 145TH AVE</t>
  </si>
  <si>
    <t>623-687-5051</t>
  </si>
  <si>
    <t>DAN JOHNSON</t>
  </si>
  <si>
    <t>daniel@pridecontractionaz.com; mikah@pridecontractiogllc.com</t>
  </si>
  <si>
    <t>DEER VALLEY BUSINESS CENTER</t>
  </si>
  <si>
    <t>7TH AVE &amp; MELINDA LN</t>
  </si>
  <si>
    <t>360-790-9705</t>
  </si>
  <si>
    <t>TARN MALLOY</t>
  </si>
  <si>
    <t>tarnmalloy@willmeng.com; psmith@willmeng.com</t>
  </si>
  <si>
    <t>SAN TAN VALLEY, GARY ROAD</t>
  </si>
  <si>
    <t>N GARY ROAD</t>
  </si>
  <si>
    <t>949-563-1480</t>
  </si>
  <si>
    <t>ROBERT KROENER</t>
  </si>
  <si>
    <t>rkroener@thompsonthrift.com</t>
  </si>
  <si>
    <t>EXTENDED STAY AMERICA- CHANDLER</t>
  </si>
  <si>
    <t>COPPER ROAD AND YEAGER DRIVE</t>
  </si>
  <si>
    <t>602-818-1715 / 602-819-4552</t>
  </si>
  <si>
    <t>ANDREW SHURKUS / JOSIAH</t>
  </si>
  <si>
    <t>ashurkus@pathcc.com;jsinsheimer@pathcc.com</t>
  </si>
  <si>
    <t>ROCK POINT CHURCH KIDS BUILDING</t>
  </si>
  <si>
    <t>480-651-3126</t>
  </si>
  <si>
    <t>DOUG BBEAVER</t>
  </si>
  <si>
    <t>dbeaver@concordinc.com</t>
  </si>
  <si>
    <r>
      <rPr>
        <sz val="11"/>
        <color rgb="FF000000"/>
        <rFont val="Calibri"/>
        <scheme val="minor"/>
      </rPr>
      <t xml:space="preserve">ESI CONSTRUCTION    </t>
    </r>
    <r>
      <rPr>
        <sz val="11"/>
        <color rgb="FFFF0000"/>
        <rFont val="Calibri"/>
        <scheme val="minor"/>
      </rPr>
      <t>CANCELED</t>
    </r>
  </si>
  <si>
    <t>WALMART #1325</t>
  </si>
  <si>
    <t>E WETMORE RD</t>
  </si>
  <si>
    <t>208-800-1333</t>
  </si>
  <si>
    <t>BRYAN NANCE</t>
  </si>
  <si>
    <t>bryannance@esiconstruction.com</t>
  </si>
  <si>
    <t>R.E. SPUR CONSTRUCTION</t>
  </si>
  <si>
    <t>MOUNTAIN VIEW CHURCH - WORSHIP CENTER</t>
  </si>
  <si>
    <t>W HUNT HIGHWAY ROAD</t>
  </si>
  <si>
    <t>480-495-1483</t>
  </si>
  <si>
    <t>TOM MAURER</t>
  </si>
  <si>
    <t>tom.maurer@spurrconstruction.com</t>
  </si>
  <si>
    <t>BEL SOUTHWEST DEVELOPMENT</t>
  </si>
  <si>
    <t>AMERICA'S TRUCK &amp; RV WASH</t>
  </si>
  <si>
    <t>W SUNDUST ROAD</t>
  </si>
  <si>
    <t>602-622-5598</t>
  </si>
  <si>
    <t>JAMES / AUSTIN BRIGGS</t>
  </si>
  <si>
    <t>BISSELL.JAMES@GMAIL.COM; JLEONARD@GUEFEN.COM;ABRIGGS@GUEFEN.COM</t>
  </si>
  <si>
    <t xml:space="preserve">FOOTHILLS FOOD BANK   </t>
  </si>
  <si>
    <t>44TH ST &amp; CAREFREE HWY</t>
  </si>
  <si>
    <t>PROSE @ ASCEND AVONDALE</t>
  </si>
  <si>
    <t>480-580-9157</t>
  </si>
  <si>
    <t>ADAM NEBEKER</t>
  </si>
  <si>
    <t>anebeker@allresco.com</t>
  </si>
  <si>
    <t>PARADISE VALLEY MALL APARTMENTS</t>
  </si>
  <si>
    <t>CACTUS ROAD &amp; TATUM BLVD</t>
  </si>
  <si>
    <t>949-228-4650</t>
  </si>
  <si>
    <t>runderwood@streetlightsres.com</t>
  </si>
  <si>
    <t>ALTA UPTOWN</t>
  </si>
  <si>
    <t>E CORPORATE PLACE</t>
  </si>
  <si>
    <t>DIAMOND WEST</t>
  </si>
  <si>
    <t>ADVENTIST NORTH</t>
  </si>
  <si>
    <t>W SATURN WAY</t>
  </si>
  <si>
    <t>480-272-1721</t>
  </si>
  <si>
    <t>NICK SCHMELLA</t>
  </si>
  <si>
    <t>ns@diamondwestaz.com</t>
  </si>
  <si>
    <t>SOLACE AT CASA GRANDE CROSSING</t>
  </si>
  <si>
    <t>WARNE WAY &amp; N CAMINO MERCADO</t>
  </si>
  <si>
    <t>520-705-8649</t>
  </si>
  <si>
    <t>LANDON ADSUARA</t>
  </si>
  <si>
    <t>mark.o@sub4dev.com;landon_Adsuara@casagrandeaz.com</t>
  </si>
  <si>
    <r>
      <t xml:space="preserve">HAYDON BUILDING   </t>
    </r>
    <r>
      <rPr>
        <sz val="11"/>
        <color rgb="FFFF0000"/>
        <rFont val="Calibri"/>
        <family val="2"/>
        <scheme val="minor"/>
      </rPr>
      <t xml:space="preserve"> </t>
    </r>
  </si>
  <si>
    <t>VANGUARD TRUCK CENTER</t>
  </si>
  <si>
    <t>LATHAM ST &amp; N 91ST AVE</t>
  </si>
  <si>
    <t>480-387-6059</t>
  </si>
  <si>
    <t>mtraughber@haydonbc.com; aesqueda@haydonbc.com; lgies@haydonbc.com; jbaker@haydonbc.com</t>
  </si>
  <si>
    <t xml:space="preserve">RED MOUNTAIN COMMUNITY CHURCH </t>
  </si>
  <si>
    <t>E VIRGINIA STREET</t>
  </si>
  <si>
    <t>602-434-1623</t>
  </si>
  <si>
    <t>JASON SEEKELL</t>
  </si>
  <si>
    <t>jseekell@concordinc.com</t>
  </si>
  <si>
    <t>SVCC GILBERT ADMIN / FACILITIES BLDG</t>
  </si>
  <si>
    <t>S LINDSEY ROAD</t>
  </si>
  <si>
    <t>623-882-5618 / 480-708-1743</t>
  </si>
  <si>
    <t>JIMMY / ALEX BOJAN</t>
  </si>
  <si>
    <t>jrosales@concordinc.com;abojan@concordinc.com</t>
  </si>
  <si>
    <t>CIVES STEEL COMPANY EXPANSION</t>
  </si>
  <si>
    <t>W JOE RAMIREZ RD</t>
  </si>
  <si>
    <t>602-821-9933</t>
  </si>
  <si>
    <t>bdorge@fclbuilders.com; acecchin@fclbuilders.com; jbach@fclbuilders.com</t>
  </si>
  <si>
    <t xml:space="preserve">STELLER BUSINESS PARK </t>
  </si>
  <si>
    <t>I (Needs notary &amp; Bill by the 15th)</t>
  </si>
  <si>
    <t>N ENTERPRISE PLACE</t>
  </si>
  <si>
    <t>602-550-2837</t>
  </si>
  <si>
    <t>ERIC WESTER / MATT WARNICK</t>
  </si>
  <si>
    <t>ewester@armays.com;mwarnick@armays.com</t>
  </si>
  <si>
    <t>KIWANIS PARK NORTH - DOG PARK IMPROVEMENTS</t>
  </si>
  <si>
    <t xml:space="preserve">S ALL AMERICAN WAY </t>
  </si>
  <si>
    <t>LOW MOUNTAIN CONSRUCTION</t>
  </si>
  <si>
    <t>TEMPE BIKE AND PEDESTRIAN PATH</t>
  </si>
  <si>
    <t>E CARSON DRIVE</t>
  </si>
  <si>
    <t>602-545-3936</t>
  </si>
  <si>
    <t>CAMERON STEWART / JIM TURLEY</t>
  </si>
  <si>
    <t>cstewart@lowmountain.com;jturley@lowmountain.com;charriet@cei-az.com;pmahoney@cei-az.com;dblount@cei-az.com;JKirchhardt@lowmountain.com;AKamis@lowmountain.com</t>
  </si>
  <si>
    <t>CANYON TRAILS</t>
  </si>
  <si>
    <t>928-186-1923</t>
  </si>
  <si>
    <t>ALAN GONZALEZ</t>
  </si>
  <si>
    <t>agonzalez@embreydc.com; jkim@embreydc.com</t>
  </si>
  <si>
    <t>NORTHEAST MESA PUBLIC SAFETY FACILITY</t>
  </si>
  <si>
    <t>CUNDO LIZARRAGA</t>
  </si>
  <si>
    <t>secundinolizarraga@coreconstruction.com</t>
  </si>
  <si>
    <t>ASU USB MATERIALS YARD</t>
  </si>
  <si>
    <t xml:space="preserve">E SPENCE AVE </t>
  </si>
  <si>
    <t>ALEXIS TORRES / DYLAN KEELY</t>
  </si>
  <si>
    <t>atorres@chasse.us;dkelley@chasse.us</t>
  </si>
  <si>
    <t>QUEEN CREEK HIGH SCHOOL FOOTBALL FIELD</t>
  </si>
  <si>
    <t>E OCOTILLO ROAD</t>
  </si>
  <si>
    <t>US BANK - RAINTREE</t>
  </si>
  <si>
    <t>512-674-5511</t>
  </si>
  <si>
    <t>CONNOR MARTIN</t>
  </si>
  <si>
    <t>cmartin@embreegroup.com</t>
  </si>
  <si>
    <t>STOUT LLC</t>
  </si>
  <si>
    <t>MISTER CAR WASH - CRAYCROFT</t>
  </si>
  <si>
    <t>E GRANT RD</t>
  </si>
  <si>
    <t>801-928-6852</t>
  </si>
  <si>
    <t>BROCK RICHARDS</t>
  </si>
  <si>
    <t>brockr@stoutllc.com</t>
  </si>
  <si>
    <t>SHAKE SHACK AT GSQ</t>
  </si>
  <si>
    <t>150th &amp; W MCDOWELL RD</t>
  </si>
  <si>
    <t>602-5550-2114</t>
  </si>
  <si>
    <t>JOSHUA WILLS</t>
  </si>
  <si>
    <t>joshuaw@bprcompanies.com; cameronb@bprcompanies.com</t>
  </si>
  <si>
    <t>CITY OF HOPE - SURGERY EXPANSION</t>
  </si>
  <si>
    <t>CELEBRATE LIFE WAY</t>
  </si>
  <si>
    <t>480-335-4669</t>
  </si>
  <si>
    <t>JOHN MILLER</t>
  </si>
  <si>
    <t>john.miller@ryancompanies.com; RICK.ERHARDT@RYANCOMPANIES.COM</t>
  </si>
  <si>
    <t>JDA COMMERCE CENTER</t>
  </si>
  <si>
    <t xml:space="preserve">S LITCHFIELD RD </t>
  </si>
  <si>
    <t>ckeim@fclbuilders.com</t>
  </si>
  <si>
    <t>HERITAGE CHARTER AUDITORIUM</t>
  </si>
  <si>
    <t>W HEROS WAY</t>
  </si>
  <si>
    <t>3G NOVUS</t>
  </si>
  <si>
    <t>CROSSLANDS CONSTRUCTION CO</t>
  </si>
  <si>
    <t>THE LEARNING EXPERIENCE - NEXUS</t>
  </si>
  <si>
    <t>S NEXUS DR</t>
  </si>
  <si>
    <t>505-252-0019</t>
  </si>
  <si>
    <t>JASON GRECO</t>
  </si>
  <si>
    <t>jason.greco@crosslands.us</t>
  </si>
  <si>
    <t xml:space="preserve">FCI CONSTRUCTORS INC  </t>
  </si>
  <si>
    <t>LIBERTY ELEMENTARY TRANSPORT</t>
  </si>
  <si>
    <t>S LIBERTY SCHOOL RD</t>
  </si>
  <si>
    <t>602-684-0133</t>
  </si>
  <si>
    <t>ORLANDO CASTIANO</t>
  </si>
  <si>
    <t>ocastiano@fciol.com; mkuebelbeck@fciol.com; rbrady@fciol.com</t>
  </si>
  <si>
    <t>BUSY BEES DAYCARE MESA</t>
  </si>
  <si>
    <t xml:space="preserve">E GUADALUPE </t>
  </si>
  <si>
    <t>480-694-8762 / 480-825-4399</t>
  </si>
  <si>
    <t>BECKY MCCAIN / STEVE TURNER</t>
  </si>
  <si>
    <t>sturner@calienteconstruction.com;bmccain@calienteconstruction.com</t>
  </si>
  <si>
    <t>180 DEGREES DESIGN &amp; BUILD</t>
  </si>
  <si>
    <t>DESERT BOTANICAL GARDENS HHCPS PHASE II</t>
  </si>
  <si>
    <t>N GALVIN PARKWAY</t>
  </si>
  <si>
    <t>626-328-8913</t>
  </si>
  <si>
    <t xml:space="preserve">HAO </t>
  </si>
  <si>
    <t>hlin@180degreesinc.com</t>
  </si>
  <si>
    <t>N 49TH AVE &amp; MARYLAND AVE</t>
  </si>
  <si>
    <t>W MARYLAND AVE</t>
  </si>
  <si>
    <t>ASU WEST CAMPUS ACADEMIC &amp; OFFICE BUILDING 918</t>
  </si>
  <si>
    <t>W VERDE MALL</t>
  </si>
  <si>
    <t>GC HIGH SCHOOL EXPANSION</t>
  </si>
  <si>
    <t xml:space="preserve">E JASPER DRIVE </t>
  </si>
  <si>
    <t>GILBER</t>
  </si>
  <si>
    <t>480-406-8547 / 509-378-1557</t>
  </si>
  <si>
    <t>ANNA CHARAMEDA / THOMAS KIRK</t>
  </si>
  <si>
    <t>tkirk@willmeng.com;acharmeda@willmeng.com</t>
  </si>
  <si>
    <t>LOTUS POINT</t>
  </si>
  <si>
    <t>602-478-4289 / 480-669-1144</t>
  </si>
  <si>
    <t>ZACH TAYLOR / STEPHEN SHOUP</t>
  </si>
  <si>
    <t>taylor@waltzconstruction.com;sshoup@waltzconstruction.com</t>
  </si>
  <si>
    <t>ENVISION DOBBINS 202 WEST - PHASE 1</t>
  </si>
  <si>
    <t>W DOBBINS ROAD</t>
  </si>
  <si>
    <t>602-316-0024</t>
  </si>
  <si>
    <t>JONNY Millett</t>
  </si>
  <si>
    <t>rstover@laytonconstruction.com; matt.slater@laytonconstruction.com; JMillett@laytonconstruction.com</t>
  </si>
  <si>
    <t>HOMELESS SOLUTIONS NAVIGATION CENTER</t>
  </si>
  <si>
    <t>S 71ST AVE</t>
  </si>
  <si>
    <t>kkelso@brycon.com; nfoster@brycon.com</t>
  </si>
  <si>
    <r>
      <rPr>
        <sz val="11"/>
        <color rgb="FF000000"/>
        <rFont val="Calibri"/>
        <scheme val="minor"/>
      </rPr>
      <t xml:space="preserve">WILLMENG </t>
    </r>
    <r>
      <rPr>
        <sz val="11"/>
        <color rgb="FFFF0000"/>
        <rFont val="Calibri"/>
        <scheme val="minor"/>
      </rPr>
      <t>Doing own inspections</t>
    </r>
  </si>
  <si>
    <t>THREE FIVE LOGISTICS</t>
  </si>
  <si>
    <t xml:space="preserve">S 35TH ST </t>
  </si>
  <si>
    <t>480-580-9792</t>
  </si>
  <si>
    <t>LOGAN BASHFORD</t>
  </si>
  <si>
    <t>lbashford@willmeng.com</t>
  </si>
  <si>
    <t>ROMAN AT HAYDEN FERRY LAKESIDE RESTAURANT</t>
  </si>
  <si>
    <t>E RIO SALADO PARKWAY</t>
  </si>
  <si>
    <t>602-329-5770</t>
  </si>
  <si>
    <t>CODY PILLSBURY</t>
  </si>
  <si>
    <t>SAM'S CLUB TEMPE</t>
  </si>
  <si>
    <t>619-433-4444 / 619-571-0367 / 619-964-3157</t>
  </si>
  <si>
    <t>ELLIOT AUSTIN / PAUL PERRY / JJ SELLNER</t>
  </si>
  <si>
    <t>Elliot.Austin@whiting-turner.com;Paul.perry@whiting-turner.com;JJ.sellner@whiting-turner.com</t>
  </si>
  <si>
    <t>INNOVATIVE BUILDING PARTNERS</t>
  </si>
  <si>
    <t xml:space="preserve">CED - BUILDING EXPANSION </t>
  </si>
  <si>
    <t>E RAIRDAN LN</t>
  </si>
  <si>
    <t>623-236-6860</t>
  </si>
  <si>
    <t>THOMAS FYFFE</t>
  </si>
  <si>
    <t>tfyffe@innovativebuildingpartners.com; bfyffe@innovative-bp.com; lstarrett@innovative-bp.com</t>
  </si>
  <si>
    <t>LARRY KENNEDY REBUILD</t>
  </si>
  <si>
    <t>602-510-1712</t>
  </si>
  <si>
    <t>ROBERT PETERSEN</t>
  </si>
  <si>
    <t>rpetersen@chasse.us</t>
  </si>
  <si>
    <t>MACK DEER VALLEY</t>
  </si>
  <si>
    <t>7TH AVE &amp; PINNACLE PEAK RD</t>
  </si>
  <si>
    <t>480-486-9445</t>
  </si>
  <si>
    <t>JEFF RAMSOUER</t>
  </si>
  <si>
    <t>jeff_ramsouer@graycor.com; luke_hanouw@graycor.com; dominic_youhana@graycor.com</t>
  </si>
  <si>
    <t>3-G CONSTRUCTION CO INC</t>
  </si>
  <si>
    <t>THE VILLAGE AT BIRCH</t>
  </si>
  <si>
    <t>E BIRCH STREET</t>
  </si>
  <si>
    <t>COTTONWOOD</t>
  </si>
  <si>
    <t>602-689-0455</t>
  </si>
  <si>
    <t>MIKE McCRERY</t>
  </si>
  <si>
    <t>mike@3-gconstruction.com</t>
  </si>
  <si>
    <t>SURPRISE COMMUNITY POOL</t>
  </si>
  <si>
    <t xml:space="preserve">CACTUS AND PERRYVILLE </t>
  </si>
  <si>
    <t>602-568-9503</t>
  </si>
  <si>
    <t>CHRIS MOFFITT</t>
  </si>
  <si>
    <t>cmoffitt@willmeng.com; plillegraven@willmeng.com; tgordon@willmeng.com</t>
  </si>
  <si>
    <t>OLIVE LOGISTICS CENTER</t>
  </si>
  <si>
    <t>c</t>
  </si>
  <si>
    <t>N COTTON LN &amp; W OLIVE AVE</t>
  </si>
  <si>
    <t>214-906-1768</t>
  </si>
  <si>
    <t>KENNETH DUMENIL</t>
  </si>
  <si>
    <t>kdumenil@fclbuilders.com</t>
  </si>
  <si>
    <t>MAXWAY TRUCKING</t>
  </si>
  <si>
    <t>N 59TH AVE</t>
  </si>
  <si>
    <t>480-994-9455</t>
  </si>
  <si>
    <t>ZANE SERRANO</t>
  </si>
  <si>
    <t>zane.serrano@agateconstructioninc.com; steve.johnson@agateconstructioninc.com</t>
  </si>
  <si>
    <t>WHATABURGER GILBERT</t>
  </si>
  <si>
    <t>S GILBERT ROAD</t>
  </si>
  <si>
    <t>331-305-8308</t>
  </si>
  <si>
    <t>BRYAN</t>
  </si>
  <si>
    <t>danny.murrietta@41northcontractors.com</t>
  </si>
  <si>
    <t>SLIM CHICKENS - GOODYEAR</t>
  </si>
  <si>
    <t>404-323-4950</t>
  </si>
  <si>
    <t>RICK SEMAS</t>
  </si>
  <si>
    <t>rick@fronterabuildingco.com</t>
  </si>
  <si>
    <t>GARFIELD PHASE II</t>
  </si>
  <si>
    <t>E PORTLAND ST</t>
  </si>
  <si>
    <t>480.952.3743</t>
  </si>
  <si>
    <t>CAIT CONLEY</t>
  </si>
  <si>
    <t>cconley@weoneil.com; aarrizon@weoneil.com; cburke@weoneil.com</t>
  </si>
  <si>
    <t>PENCE CONSTRUCTION INC.</t>
  </si>
  <si>
    <t>S COUNTRY CLUB RD</t>
  </si>
  <si>
    <t>951-941-6715</t>
  </si>
  <si>
    <t>DUSTIN BUTZE</t>
  </si>
  <si>
    <t>dustin@penceconstruction.com; todd@penceconstruction.com</t>
  </si>
  <si>
    <t>WILLMENG CONSTRUCTION</t>
  </si>
  <si>
    <t>WESTERN SEMI SOLUTIONS</t>
  </si>
  <si>
    <t>623-693-0116 / 317-379-7667</t>
  </si>
  <si>
    <t>THOMAS DEBACCO / LEVI EMMERT</t>
  </si>
  <si>
    <t>tdebacco@willmeng.com;lemmert@willmeng.com</t>
  </si>
  <si>
    <t>MARK SCOTT CONSTRUCTION INC</t>
  </si>
  <si>
    <t>USPS GILBERT CARRIER ANNEX</t>
  </si>
  <si>
    <t xml:space="preserve">E OCOTILLO ROAD </t>
  </si>
  <si>
    <t>623-252-9520</t>
  </si>
  <si>
    <t>MARK SCOTT</t>
  </si>
  <si>
    <t>maceves@msconstruction.com</t>
  </si>
  <si>
    <t>ALA - PEORIA</t>
  </si>
  <si>
    <t>EL MIRAGE ROAD &amp; WESTERN SKIES DRIVE</t>
  </si>
  <si>
    <t>AARON MARTINEZ</t>
  </si>
  <si>
    <t>Aaron@sandstormconstructionaz.com</t>
  </si>
  <si>
    <t>BUCKEYE COMMONS PHASE 1</t>
  </si>
  <si>
    <t>623-261-8722</t>
  </si>
  <si>
    <t>KRISTY MATSUDA</t>
  </si>
  <si>
    <t>wwhite@chasse.us; kmatsuda@chasse.us</t>
  </si>
  <si>
    <t>GALLO CONSTRUCTION, INC</t>
  </si>
  <si>
    <t>CED - CASA GRANDE</t>
  </si>
  <si>
    <t>N ROCKWELL AVE</t>
  </si>
  <si>
    <t>480-848-4437</t>
  </si>
  <si>
    <t>MARTIN MORAN</t>
  </si>
  <si>
    <t>martin@gallowconstruction.com</t>
  </si>
  <si>
    <r>
      <rPr>
        <sz val="11"/>
        <color rgb="FF000000"/>
        <rFont val="Calibri"/>
      </rPr>
      <t xml:space="preserve">FRONTERA BUILDING COMPANY   </t>
    </r>
    <r>
      <rPr>
        <sz val="11"/>
        <color rgb="FFFF0000"/>
        <rFont val="Calibri"/>
      </rPr>
      <t>Not in Contract</t>
    </r>
  </si>
  <si>
    <t>NORTERRA PUD UNION ST LOTS 5 &amp; 6</t>
  </si>
  <si>
    <t xml:space="preserve">N 22ND LN </t>
  </si>
  <si>
    <t>623-202-4623</t>
  </si>
  <si>
    <t>DUANE HIPPLE</t>
  </si>
  <si>
    <t xml:space="preserve">duane@fronterabuildingco.com </t>
  </si>
  <si>
    <t>OSBORN SENIOR LIVING SCOTTSDALE</t>
  </si>
  <si>
    <t>480-708-4689/ 720-309-0663</t>
  </si>
  <si>
    <t>JEFF SLADE / SHANE RICKS</t>
  </si>
  <si>
    <t>jslade@brinkmannsconstructors.com;sriicks@brinkmannconstructors.com</t>
  </si>
  <si>
    <t>SHOPS AT PV MARKET PLACE</t>
  </si>
  <si>
    <t>480-544-1302</t>
  </si>
  <si>
    <t>JOHN</t>
  </si>
  <si>
    <r>
      <rPr>
        <sz val="11"/>
        <color rgb="FF000000"/>
        <rFont val="Calibri"/>
        <scheme val="minor"/>
      </rPr>
      <t xml:space="preserve">ESI / ENGINEERED STRUCTURES INC  </t>
    </r>
    <r>
      <rPr>
        <sz val="11"/>
        <color rgb="FFFF0000"/>
        <rFont val="Calibri"/>
        <scheme val="minor"/>
      </rPr>
      <t>Not in Contract</t>
    </r>
  </si>
  <si>
    <t>HOME DEPOT #0427</t>
  </si>
  <si>
    <t>I10 / S VERRADO WAY &amp; JACKRABBIT TRAIL</t>
  </si>
  <si>
    <t>208-514-4427</t>
  </si>
  <si>
    <t>LYLE DAWSON</t>
  </si>
  <si>
    <t>JARS DISPENSARY - METRO</t>
  </si>
  <si>
    <t>N METRO PRKY</t>
  </si>
  <si>
    <t>925-204-4818</t>
  </si>
  <si>
    <t>GEORGE HAGUE</t>
  </si>
  <si>
    <t>george@rcc-az.com</t>
  </si>
  <si>
    <t xml:space="preserve">BOLDT  COMPANY </t>
  </si>
  <si>
    <t xml:space="preserve">NESTLE DYNASTY PROJECT </t>
  </si>
  <si>
    <t>NORTHERN PARKWAY &amp; LITCHFIELD ROAD</t>
  </si>
  <si>
    <t>920-213-8673</t>
  </si>
  <si>
    <t>COLIN ZIMPRICH</t>
  </si>
  <si>
    <t>COLIN.ZIMPRICH@BOLDT.COM</t>
  </si>
  <si>
    <t>SUNSET VISTA ESTATES</t>
  </si>
  <si>
    <t>E JUNCTION STREET</t>
  </si>
  <si>
    <t>310-946-8367</t>
  </si>
  <si>
    <t>SEAN SIMUNDSON / KYLE FRIEDMAN / JESUS FRAUSTO</t>
  </si>
  <si>
    <t xml:space="preserve">kfriedman@weoneil.com; jfrausto@weoneil.com;ssimundson@weoneil.com </t>
  </si>
  <si>
    <t>PALM VALLEY COMMERCE- BUILDING A</t>
  </si>
  <si>
    <t>W AUTO DR</t>
  </si>
  <si>
    <t>602-550-5144</t>
  </si>
  <si>
    <t>darnberger@willmeng.com; ralexander@willmeng.com; mgoodrich@willmeng.com</t>
  </si>
  <si>
    <t xml:space="preserve">LAYTON CONSTRUCTION COMPANY </t>
  </si>
  <si>
    <r>
      <rPr>
        <sz val="11"/>
        <color rgb="FF000000"/>
        <rFont val="Calibri"/>
        <scheme val="minor"/>
      </rPr>
      <t xml:space="preserve">QTS- PHX3- DC2 </t>
    </r>
    <r>
      <rPr>
        <sz val="11"/>
        <color rgb="FFFF0000"/>
        <rFont val="Calibri"/>
        <scheme val="minor"/>
      </rPr>
      <t>Contracted 1,9 and 14</t>
    </r>
  </si>
  <si>
    <t>SDB CONTRACTING SERVICES</t>
  </si>
  <si>
    <t>CITY OF CHANDLER RECYCLE COLLECTION AREA</t>
  </si>
  <si>
    <t>E QUEEN CREEK ROAD</t>
  </si>
  <si>
    <t>602-562-2394</t>
  </si>
  <si>
    <t>DAVE THOMPSON</t>
  </si>
  <si>
    <t>dave.thompson@sdb.com</t>
  </si>
  <si>
    <t>MSRP RENOVATION</t>
  </si>
  <si>
    <t>E INDIAN BEND ROAD</t>
  </si>
  <si>
    <t>480-653-7878/ 928-266-6345  / 805-574-5963</t>
  </si>
  <si>
    <t>VAIBHAV ASSUDANI / IAN DEERING  / ALEXIS BYNUM</t>
  </si>
  <si>
    <t>ideering@willmeng.com;abynum@willmeng.com;vassudani@willmeng.com</t>
  </si>
  <si>
    <t>INNOVATE 48 INDUSTRIAL</t>
  </si>
  <si>
    <t xml:space="preserve">E WASHINGTON ST </t>
  </si>
  <si>
    <t>602-501-7672</t>
  </si>
  <si>
    <t>KARL CAROLL</t>
  </si>
  <si>
    <t>karl.carroll@ryancompanies.com; john.miller@ryancompanies.com</t>
  </si>
  <si>
    <t>AMERIS CONSTRUCTION</t>
  </si>
  <si>
    <t>THE GOLDWATER PROJECT</t>
  </si>
  <si>
    <t>E 4TH STREET</t>
  </si>
  <si>
    <t>JOMAX BUILDERS</t>
  </si>
  <si>
    <t>OREGANO'S SIGNAL BUTTE</t>
  </si>
  <si>
    <t>602-501-1657</t>
  </si>
  <si>
    <t>JOHN BARRY</t>
  </si>
  <si>
    <t xml:space="preserve"> barry@jomaxbuilders.com</t>
  </si>
  <si>
    <t xml:space="preserve">WESTPARK PARCEL 13 </t>
  </si>
  <si>
    <t>480-748-5449</t>
  </si>
  <si>
    <t>BRUCE OLLESTAD</t>
  </si>
  <si>
    <t>bruceo.4leaf@gmail.com; cbwestpark18@gmail.com</t>
  </si>
  <si>
    <t>WESTPARK PARCEL 20</t>
  </si>
  <si>
    <t>AGUA FRIA HIGH SCHOOL #6</t>
  </si>
  <si>
    <t>W VAN BUREN STREET</t>
  </si>
  <si>
    <t>ART DAY</t>
  </si>
  <si>
    <t>aday@chasse.us; mgravert@chasse.us; dhoman@chasse.us</t>
  </si>
  <si>
    <t>COPPERWING</t>
  </si>
  <si>
    <t>N DYSART RD &amp; OLIVE AVE</t>
  </si>
  <si>
    <t>480-972-5313</t>
  </si>
  <si>
    <t xml:space="preserve">amiceli@fclbuilders.com </t>
  </si>
  <si>
    <t>PENSKE TRUCK LEASING</t>
  </si>
  <si>
    <t>W MCDOWELL RD &amp; PERRYVILLE RD</t>
  </si>
  <si>
    <t>602-828-9298</t>
  </si>
  <si>
    <t>JOSEPH PHILPOTT</t>
  </si>
  <si>
    <t>josephp@flemingcomplete.com</t>
  </si>
  <si>
    <t>MODERA RESERVE AT KIERLAND</t>
  </si>
  <si>
    <t>480-271-6660</t>
  </si>
  <si>
    <t>CHARLES MANNINO</t>
  </si>
  <si>
    <t>nricke@mcrtrust.com;mdugas@mcrtrust.com;cmannino@mctrust.com</t>
  </si>
  <si>
    <t>601 N CENTRAL</t>
  </si>
  <si>
    <t>E FILLMORE ST</t>
  </si>
  <si>
    <t>602-980-6102</t>
  </si>
  <si>
    <t>MICHAEL GIANNINI</t>
  </si>
  <si>
    <t>michaelgiannini@laytonconstruction.com; nrochwalik@laytonconstruction.com; timothy.young@laytonconstruction.com</t>
  </si>
  <si>
    <t>PORTER KYLE BUILDERS</t>
  </si>
  <si>
    <t>THE CLEVELAND</t>
  </si>
  <si>
    <t>N SARIVAL AVE</t>
  </si>
  <si>
    <t>TROY LOWE</t>
  </si>
  <si>
    <t>tlowe@porterkyle.com</t>
  </si>
  <si>
    <t>ALCORN</t>
  </si>
  <si>
    <t>AXIS IOS</t>
  </si>
  <si>
    <t>04/11/12025</t>
  </si>
  <si>
    <t xml:space="preserve">S 202ND PLACE </t>
  </si>
  <si>
    <t>760-362-2721</t>
  </si>
  <si>
    <t>SEAN FRAMJEE</t>
  </si>
  <si>
    <t>sframjee@alcornci.com</t>
  </si>
  <si>
    <t>QQCUSD - BUILDING ADDITION AT EASTMARK HIGH SCHOOL</t>
  </si>
  <si>
    <t>bradduba@corconstruction.com;zack.few@coreconstruction.com</t>
  </si>
  <si>
    <t>CRISMON HIGH SCHOOL ADDITIONS PHASE 3</t>
  </si>
  <si>
    <t>E RIGGS ROAD</t>
  </si>
  <si>
    <t>480-599-7418</t>
  </si>
  <si>
    <t>brooksdunn@coreconstruction.com</t>
  </si>
  <si>
    <t>FORMATION PARK 10 - PHASE 1</t>
  </si>
  <si>
    <t>BULLARD &amp; CELEBRATE LIFE WAY</t>
  </si>
  <si>
    <t>480-253-6001</t>
  </si>
  <si>
    <t>JASON ECCLES</t>
  </si>
  <si>
    <t>jeccles@willmeng.com; eenniss@willmeng.com</t>
  </si>
  <si>
    <t>NORTERRA PUD DUAL BRAND HOTEL</t>
  </si>
  <si>
    <t>N 22ND LN</t>
  </si>
  <si>
    <r>
      <rPr>
        <sz val="11"/>
        <color rgb="FF000000"/>
        <rFont val="Calibri"/>
        <scheme val="minor"/>
      </rPr>
      <t xml:space="preserve">W.E ONEIL  </t>
    </r>
    <r>
      <rPr>
        <sz val="11"/>
        <color rgb="FFFF0000"/>
        <rFont val="Calibri"/>
        <scheme val="minor"/>
      </rPr>
      <t>Not in Contract</t>
    </r>
  </si>
  <si>
    <t>GARFIELD PHASE III</t>
  </si>
  <si>
    <t>TOWN FRYE APARTMENTS</t>
  </si>
  <si>
    <t>ELLIS ROAD &amp; FRYE ROAD</t>
  </si>
  <si>
    <t>480-603-8216 / 720-393-9504</t>
  </si>
  <si>
    <t>JAMES LEONARD / TIM GRIMES</t>
  </si>
  <si>
    <t>jleonard@mcshane.com;tgrimes@mcshane.com</t>
  </si>
  <si>
    <t>BEST BOX STORAGE - BETHANY HOME STORAGE</t>
  </si>
  <si>
    <t>602-527-0380</t>
  </si>
  <si>
    <t>DAREN JOHNSON</t>
  </si>
  <si>
    <t>CCV - PEORIA WAREHOUSE</t>
  </si>
  <si>
    <t>W HAPPY VALLEY ROAD</t>
  </si>
  <si>
    <t>623-293-2935</t>
  </si>
  <si>
    <t>MARC</t>
  </si>
  <si>
    <t>marc@pcdm.us</t>
  </si>
  <si>
    <r>
      <rPr>
        <sz val="11"/>
        <color rgb="FF000000"/>
        <rFont val="Calibri"/>
        <scheme val="minor"/>
      </rPr>
      <t xml:space="preserve">LAYTON CONSTRUCTION COMPANY </t>
    </r>
    <r>
      <rPr>
        <sz val="11"/>
        <color rgb="FFFF0000"/>
        <rFont val="Calibri"/>
        <scheme val="minor"/>
      </rPr>
      <t>Merged with dc1</t>
    </r>
  </si>
  <si>
    <t>QTS- PHX3- DC14</t>
  </si>
  <si>
    <t>MICK HINMAN</t>
  </si>
  <si>
    <t>mick.hinman@laytonconstruction.com; sshafer@laytonconstruction.com</t>
  </si>
  <si>
    <r>
      <rPr>
        <sz val="11"/>
        <color rgb="FF000000"/>
        <rFont val="Calibri"/>
        <scheme val="minor"/>
      </rPr>
      <t>LAYTON CONSTRUCTION COMPANY</t>
    </r>
    <r>
      <rPr>
        <sz val="11"/>
        <color rgb="FFFF0000"/>
        <rFont val="Calibri"/>
        <scheme val="minor"/>
      </rPr>
      <t xml:space="preserve"> Merged with dc1</t>
    </r>
  </si>
  <si>
    <t>QTS- PHX3- DC9</t>
  </si>
  <si>
    <t>sshafer@laytonconstruction.com</t>
  </si>
  <si>
    <t>QUEEN CREEK JHS TRANSPORT YARD</t>
  </si>
  <si>
    <t>480-604-7987 / 602-556-1600</t>
  </si>
  <si>
    <t>BRAD PATER  / LISA WARR / BRIAN THOMPSON</t>
  </si>
  <si>
    <t>bpater@rytanconstruction.com;lwarr@rytanconstruction.com;bthompson@rytanconstruction.com</t>
  </si>
  <si>
    <t>ABERNATHEY DEVELOPMENT</t>
  </si>
  <si>
    <t>LOCKSAFE STORAGE</t>
  </si>
  <si>
    <t>623-428-9490</t>
  </si>
  <si>
    <t>A.L. SEAGENT</t>
  </si>
  <si>
    <t>ds@abernatheyholdingco.com; jm@abernatheyholdingco.com</t>
  </si>
  <si>
    <t>REINSMAN COMMONS</t>
  </si>
  <si>
    <t>REINSMAN BLVD</t>
  </si>
  <si>
    <t>623-694-9819</t>
  </si>
  <si>
    <t>BRIAN THOMPSON</t>
  </si>
  <si>
    <t>b.thompson@markhamcontracting.com</t>
  </si>
  <si>
    <t>MCKINLEY SAIYA</t>
  </si>
  <si>
    <t>N 1ST AVE</t>
  </si>
  <si>
    <t>602-361-3967</t>
  </si>
  <si>
    <t>ROBERT GRANT</t>
  </si>
  <si>
    <t>robert.grant@jedunn.com; rick.oelke@jedunn.com; jorge.gonzalez@jedunn.com; gage.gellerman@jedunn.com</t>
  </si>
  <si>
    <t>PCDS PERFORMING ARTS CENTER</t>
  </si>
  <si>
    <t>E STANDFORD DRIVE</t>
  </si>
  <si>
    <t>32 AND ST BASELINE SHOPS</t>
  </si>
  <si>
    <t>MATHEW SHAWCROFT</t>
  </si>
  <si>
    <t>mshawcroft@renconco.com</t>
  </si>
  <si>
    <t xml:space="preserve">ES- PEORIA </t>
  </si>
  <si>
    <t>PEORIA AVE &amp; 91ST AVE</t>
  </si>
  <si>
    <t>SCHRADER FARMS BUSINESS PARK - PHASE 1</t>
  </si>
  <si>
    <t>McQUEEN &amp; QUEEN CREEK</t>
  </si>
  <si>
    <t>480-392-2374 / 602-571-1721</t>
  </si>
  <si>
    <t xml:space="preserve"> RAY GOMEZ / NEAL BUTLER</t>
  </si>
  <si>
    <t>neal.bulter@ryancompanies.com;ray.comez@ryancompanies.com</t>
  </si>
  <si>
    <t>TRAVELERS TEMPE TECH DEMOLITION</t>
  </si>
  <si>
    <t>S 52ND STREET</t>
  </si>
  <si>
    <t>502-299-7813 / 737-932-5577</t>
  </si>
  <si>
    <t>SAWYER BOS /CESAR MENDIETA</t>
  </si>
  <si>
    <t>sawyer.bos@ryancompanies.com;cesar.mendieta@ryancompanies.com;ray.kettel@ryancompanies.com</t>
  </si>
  <si>
    <t>SOSSAMAN BUSINESS CAMPUS</t>
  </si>
  <si>
    <t xml:space="preserve">S SOSSAMAN </t>
  </si>
  <si>
    <t>602-284-5841</t>
  </si>
  <si>
    <t>DEREK BRADY</t>
  </si>
  <si>
    <t>dbrady@arco1.com</t>
  </si>
  <si>
    <t>FOCUS ON THE FAMILY CAVE CREEK</t>
  </si>
  <si>
    <t>E CAVE CREEK</t>
  </si>
  <si>
    <t>480-925-7474</t>
  </si>
  <si>
    <t>PAUL</t>
  </si>
  <si>
    <t>paulb@nearcal.com</t>
  </si>
  <si>
    <t>ALDI CASA GRANDE</t>
  </si>
  <si>
    <t xml:space="preserve">E FLORENCE BLVD </t>
  </si>
  <si>
    <t>AARON ST. JOHN</t>
  </si>
  <si>
    <t>astjohn@armays.com</t>
  </si>
  <si>
    <t xml:space="preserve">DUNN EDWARDS- TCI SITE IMPROVEMENTS </t>
  </si>
  <si>
    <t>710</t>
  </si>
  <si>
    <t>S 67TH AVE</t>
  </si>
  <si>
    <t>623-581-3302</t>
  </si>
  <si>
    <t>LUCAS HALLEY</t>
  </si>
  <si>
    <t>lucash@gconinc.com</t>
  </si>
  <si>
    <t>CHRISTIAN BROTHERS AUTOMOTIVE - PEORIA</t>
  </si>
  <si>
    <t>MYCON GENERAL CONTRACTORS</t>
  </si>
  <si>
    <t>FLOOR &amp; DECOR CHANDLER</t>
  </si>
  <si>
    <t>E NORTHROP BLVD</t>
  </si>
  <si>
    <t xml:space="preserve"> 303-210-1540</t>
  </si>
  <si>
    <t xml:space="preserve"> TERRY ZRUST</t>
  </si>
  <si>
    <t>tzrust@mycon.com</t>
  </si>
  <si>
    <t>NTT DATA CENTER - 2 &amp; 3</t>
  </si>
  <si>
    <t>480-290-1934 / 480-868-4548</t>
  </si>
  <si>
    <t>MIKE JUDGES / PRASAD WAGHMARE</t>
  </si>
  <si>
    <t>judgesm@claycorp.com;HilliardT@claycorp.com;KhandelwalS@claycorp.com; Waghmare@claycorp.com</t>
  </si>
  <si>
    <t>WAXIE EXPANSION</t>
  </si>
  <si>
    <t>602-686-7001 / 602-620-1669</t>
  </si>
  <si>
    <t>JOE NEV / SID CARRELL</t>
  </si>
  <si>
    <t>joe.nev@laytonconstruction.com;sid.carrell@laytonconstruction.com</t>
  </si>
  <si>
    <t xml:space="preserve">WATERVIEW RESIDENTAL </t>
  </si>
  <si>
    <t xml:space="preserve">NEC </t>
  </si>
  <si>
    <t xml:space="preserve">73RD ST AND CAMELBACK </t>
  </si>
  <si>
    <t>602-309-8147 / 480-309-2108</t>
  </si>
  <si>
    <t>KEN LEWIS / ERICK RUVALCABA / STEVE CRUTCHLEY</t>
  </si>
  <si>
    <t>klewis@mcshane.com;eruvalcaba@mcshane.com;scrutchley@mcshane.com</t>
  </si>
  <si>
    <t>BRICKYARD ON ELLSWORTH</t>
  </si>
  <si>
    <t>E WILLIS ROAD</t>
  </si>
  <si>
    <t>ALAN LEICHTMAN / BILLY BARBEE</t>
  </si>
  <si>
    <t>aleichtman@fclbuilders.com;bbarbee@fclbuilders.com</t>
  </si>
  <si>
    <t>MODERA HIGLEY COMMONS</t>
  </si>
  <si>
    <t>Maybe done</t>
  </si>
  <si>
    <t>HIGLEY ROAD &amp; RAY ROAD</t>
  </si>
  <si>
    <t>480-416-0778 / 480-737-2537</t>
  </si>
  <si>
    <t>STEPHAN BYRD / CHARLES HELTON</t>
  </si>
  <si>
    <t>chelton@mcrtrust.com</t>
  </si>
  <si>
    <t>JDA POWER 42</t>
  </si>
  <si>
    <t>630-795-9094</t>
  </si>
  <si>
    <t>JOE BACH</t>
  </si>
  <si>
    <t>JBACH@FCLBUILDERS.COM;dschroat@fclbuilders.com;asollinger@fclbuilders.com</t>
  </si>
  <si>
    <t>VT101 BUILDING B &amp; C</t>
  </si>
  <si>
    <t>99TH AVE &amp; BALLPARK BLVD</t>
  </si>
  <si>
    <t>CRAYCROFT STORAGE</t>
  </si>
  <si>
    <t>22ND ST &amp; CRAYCROFT RD</t>
  </si>
  <si>
    <t xml:space="preserve">ACHEN GARDNER  </t>
  </si>
  <si>
    <t xml:space="preserve">CACTUS ROAD IMPROVEMENTS </t>
  </si>
  <si>
    <t>CACTUS RD &amp; 136TH AVE</t>
  </si>
  <si>
    <t>602-376-6924</t>
  </si>
  <si>
    <t>JOHN BRODERICK</t>
  </si>
  <si>
    <t>jbroderick@achen.com; jrwatkins@achen.com</t>
  </si>
  <si>
    <t>LIBERTY ELEMENTARY SCHOOL #8</t>
  </si>
  <si>
    <t>ERIC DECKER</t>
  </si>
  <si>
    <t>ericdecker@coreconstruction.com</t>
  </si>
  <si>
    <t>AFCU - MESA BASELINE</t>
  </si>
  <si>
    <t>E BASELINE ROAD</t>
  </si>
  <si>
    <t>GSQ MOB MEDICAL OFFICE</t>
  </si>
  <si>
    <t>N CIVIC SQUARE</t>
  </si>
  <si>
    <t>UNION ELEMENTARY SCHOOL</t>
  </si>
  <si>
    <t>623-309-6375</t>
  </si>
  <si>
    <t>TRAE BACA</t>
  </si>
  <si>
    <t>kennygill@coreconstruction.com; traebaca@coreconstruction.com</t>
  </si>
  <si>
    <t>AUTOZONE TOLLESON</t>
  </si>
  <si>
    <t>W WASHINGTON ST</t>
  </si>
  <si>
    <t>602-600-8586</t>
  </si>
  <si>
    <t>SANTIAGO LABORIN</t>
  </si>
  <si>
    <t>slaborin@sunlandasphalt.com</t>
  </si>
  <si>
    <t xml:space="preserve">HAYDON BUILDING    </t>
  </si>
  <si>
    <t>VINEYARD TOWN CENTER - PHASE 2</t>
  </si>
  <si>
    <t>GANTZEL ROAD &amp; COMBS ROAD</t>
  </si>
  <si>
    <t>602-859-7271</t>
  </si>
  <si>
    <t>FRANCO FAZZINO</t>
  </si>
  <si>
    <t>ffazzino@haydonbc.com</t>
  </si>
  <si>
    <t>MORTENSON</t>
  </si>
  <si>
    <t>PROJECT DISCOVERY WESTERN INDUSTRIAL</t>
  </si>
  <si>
    <t>CLAYTON RD &amp; BURRIS RD</t>
  </si>
  <si>
    <t>925-683-9381</t>
  </si>
  <si>
    <t>KELLEN RHOADS</t>
  </si>
  <si>
    <t>kellen.rhoads@mortenson.com</t>
  </si>
  <si>
    <t>602-908-6181</t>
  </si>
  <si>
    <t>BOB SCHAMBACH</t>
  </si>
  <si>
    <t>bob@edgeconstruct.com</t>
  </si>
  <si>
    <t>SANDS KIA - SURPRISE</t>
  </si>
  <si>
    <t>N AUTOSHOW AVE</t>
  </si>
  <si>
    <t>602-815-6506</t>
  </si>
  <si>
    <t>DOUG WENZEL</t>
  </si>
  <si>
    <t>doug.wenzel@big-d.com</t>
  </si>
  <si>
    <t>AFCU - QUEEN CREEK</t>
  </si>
  <si>
    <t>480-410-1155</t>
  </si>
  <si>
    <t>STEPHEN FLORES</t>
  </si>
  <si>
    <t>stephen@bleuwave.com</t>
  </si>
  <si>
    <t>FIRE ROCK COUNTRY CLUB PARKING LOT</t>
  </si>
  <si>
    <t>PROJECT NORTH</t>
  </si>
  <si>
    <t>CITY NORTH DR &amp; 54TH ST</t>
  </si>
  <si>
    <t>Tim.Schalk@ryancompanies.com; Tim.Bennett@ryancompanies.com; Tom.Smallhouse@ryancompanies.com</t>
  </si>
  <si>
    <t>DOVE VALLEY MULTI-FAMILY</t>
  </si>
  <si>
    <t>DOVE VALLEY ROAD &amp; NORTH VALLEY PKY</t>
  </si>
  <si>
    <t>602-245-4252</t>
  </si>
  <si>
    <t>STEPHEN GRIFFIN</t>
  </si>
  <si>
    <t>dbruttig@thompsonthrift.com; asollenberger@thompsonthrift.com; sgriffin@thompsonthrift.com</t>
  </si>
  <si>
    <t>TRI-CITY CARDIOLOGY MOB PHASE II</t>
  </si>
  <si>
    <t xml:space="preserve">S 63RD STREET </t>
  </si>
  <si>
    <t>480-826-4450 / 602-725-7006</t>
  </si>
  <si>
    <t>DAVID KISHPAUGH / RICK WHEELER</t>
  </si>
  <si>
    <t>rick@porterbrothers.com; david@porterbrothers.com</t>
  </si>
  <si>
    <t>FLOOR AND DECORE, SCOTTSDALE</t>
  </si>
  <si>
    <t>N HAYDEN ROAD</t>
  </si>
  <si>
    <t>469-558-4560/ 214-799-4651</t>
  </si>
  <si>
    <t>CHAD PERRY/ MICHAEL WINEINGER</t>
  </si>
  <si>
    <t>CPERRY@MYCON.COM; mwineinger@mycon.com</t>
  </si>
  <si>
    <t>BANNER - EAST MESA HEALTH CENTER EXPANSION</t>
  </si>
  <si>
    <t>STEVEN WILSON</t>
  </si>
  <si>
    <t>swilson@gconinc.com; maggiet@gconinc.com</t>
  </si>
  <si>
    <t>7-11 #47385 VAL VISTA</t>
  </si>
  <si>
    <t>TBD</t>
  </si>
  <si>
    <t>S VAL VISTA</t>
  </si>
  <si>
    <t>lplatz@vequity.com</t>
  </si>
  <si>
    <t>ENGLEWOOD CONSTRUCTION INC</t>
  </si>
  <si>
    <t>PORTILLOS CHANDLER</t>
  </si>
  <si>
    <t>W RAY ROAD</t>
  </si>
  <si>
    <t>312-965-8344</t>
  </si>
  <si>
    <t>ROCKEY SWANSON</t>
  </si>
  <si>
    <t>rswanson@eci.build.com</t>
  </si>
  <si>
    <t>PROJECT THREE-TEN</t>
  </si>
  <si>
    <t>S AVE 4E &amp; 36TH ST</t>
  </si>
  <si>
    <t>caleb_johnson@graycor.com; jeremy_ harris@graycor.com</t>
  </si>
  <si>
    <t>17 NORTH PHASE II - BUILDING C</t>
  </si>
  <si>
    <t>W CORPRORATE CENTER DR</t>
  </si>
  <si>
    <t>JACK DEGRAFF</t>
  </si>
  <si>
    <t>jack.degraff@ryancompanies.com</t>
  </si>
  <si>
    <t>I-10 INTERNATIONAL</t>
  </si>
  <si>
    <t>E LOS REALES RD</t>
  </si>
  <si>
    <t>480-364-0045</t>
  </si>
  <si>
    <t>AIDEN LOWRY</t>
  </si>
  <si>
    <t>alowry@brinkmannconstructors.com</t>
  </si>
  <si>
    <t>101 VAN BUREN</t>
  </si>
  <si>
    <t>W VAN BUREN ST &amp; N 101ST AVE</t>
  </si>
  <si>
    <t>623-688-6388</t>
  </si>
  <si>
    <t>GRAIGE SPECHT</t>
  </si>
  <si>
    <t>cspecht@nittidac.com; nkarki@nittibldrs.com</t>
  </si>
  <si>
    <t>MERITUM SONORAN DESERT</t>
  </si>
  <si>
    <t>602-908-9652</t>
  </si>
  <si>
    <t>JUSTIN ORTEGA</t>
  </si>
  <si>
    <t>justin.ortega@idmbuilds.com</t>
  </si>
  <si>
    <t>DAISY MOUNTAIN FS 144</t>
  </si>
  <si>
    <t>E CLOUD</t>
  </si>
  <si>
    <t>602-790-3605</t>
  </si>
  <si>
    <t>SCOTT TRIVITT</t>
  </si>
  <si>
    <t>strivitt@willmeng.com</t>
  </si>
  <si>
    <t>E CORONA RD</t>
  </si>
  <si>
    <t>602-421-8626</t>
  </si>
  <si>
    <t>rtorres@willmeng.com</t>
  </si>
  <si>
    <t>ESTRELLA SPRING &amp; SUNCREST VISTA @ CANYON TRAIL</t>
  </si>
  <si>
    <t>chadandrist@weisbuilders.com</t>
  </si>
  <si>
    <t>TEMPE FIRE STATION #2</t>
  </si>
  <si>
    <t>S HARDY DRIVE</t>
  </si>
  <si>
    <t>602-469-6030</t>
  </si>
  <si>
    <t>MARK GILSON / VANESSA RODRIGUEZ / AUSTIN BATES / CHAD SLAYMAKER</t>
  </si>
  <si>
    <t>mgilson@calienteconstruction.com; vrodriguez@calienteconstruction.com; abates@calienteconstruction.com; cslaymaker@calienteconstruction.com</t>
  </si>
  <si>
    <t>HAWKINS RAGSDALE</t>
  </si>
  <si>
    <t>602-647-1356</t>
  </si>
  <si>
    <t>ANGELIC PASSANTINO</t>
  </si>
  <si>
    <t>apassantino@weoneil.com</t>
  </si>
  <si>
    <t>RIVULON STILLWATER</t>
  </si>
  <si>
    <t>E RIVULON BLVD / LA ARBOLETA STREET</t>
  </si>
  <si>
    <t>bjablonsky@Mtbprojects.com</t>
  </si>
  <si>
    <t>BUSY BEES DAYCARE - BROWN ROAD</t>
  </si>
  <si>
    <t>E BROWN ROAD</t>
  </si>
  <si>
    <t>602-793-9739</t>
  </si>
  <si>
    <t>JAYDEN DAHL</t>
  </si>
  <si>
    <t>jdahl@calienteconstruction.com</t>
  </si>
  <si>
    <r>
      <rPr>
        <sz val="11"/>
        <color rgb="FF000000"/>
        <rFont val="Calibri"/>
        <scheme val="minor"/>
      </rPr>
      <t xml:space="preserve">ARMAYS </t>
    </r>
    <r>
      <rPr>
        <sz val="11"/>
        <color rgb="FFFF0000"/>
        <rFont val="Calibri"/>
        <scheme val="minor"/>
      </rPr>
      <t>Not in Contract</t>
    </r>
  </si>
  <si>
    <t>ESTRELLA SELF STORAGE</t>
  </si>
  <si>
    <t>602-550-7051</t>
  </si>
  <si>
    <t>RALPH LEMONS</t>
  </si>
  <si>
    <t>rlemons@armays.com</t>
  </si>
  <si>
    <t>17 NORTH PHASE II - BUILDING D</t>
  </si>
  <si>
    <t>LHM COLLISON CENTER - MESA</t>
  </si>
  <si>
    <t>E AUTO CENTER DRIVE</t>
  </si>
  <si>
    <t>602-486-1466 / 480-934-6780</t>
  </si>
  <si>
    <t>LANCE TOLES / ANNIE BURNAM / STEPHAN HANSEN</t>
  </si>
  <si>
    <t>ltoles@brinkmannconstructors.com;aburnam@brinkmannconstructors.com; shansen@brinkmannconstructors.com</t>
  </si>
  <si>
    <t>WDP KITCHELL 99TH AVE</t>
  </si>
  <si>
    <t>99TH AVE &amp; PIERCE ST</t>
  </si>
  <si>
    <t>VISTANCIA RETAIL SHOPPING CENTER PHASE I</t>
  </si>
  <si>
    <t>SC</t>
  </si>
  <si>
    <t>EL MIRAGE ROAD &amp; VISTANCIA BLVD</t>
  </si>
  <si>
    <t>danial@pridecontractingaz.com; josh@pridecontractingaz.com</t>
  </si>
  <si>
    <t>SOURCE LOGISTICS CENTER</t>
  </si>
  <si>
    <t>W WARNER ROAD</t>
  </si>
  <si>
    <t>480-604-1021 / 480-886-3667</t>
  </si>
  <si>
    <t>ROBERT SHEPARD</t>
  </si>
  <si>
    <t>rshepard@lgedesignbuild.com</t>
  </si>
  <si>
    <t>ONE SCOTTSDALE - 73RD STREET INFRASTRUCTURE</t>
  </si>
  <si>
    <t>73RD STREET &amp; lEGACY</t>
  </si>
  <si>
    <t>john.miller@ryancompanies.com</t>
  </si>
  <si>
    <t>CONSTRUCTABLE</t>
  </si>
  <si>
    <t xml:space="preserve">ACSENT AVIATION MRO HANGARS - MARANA </t>
  </si>
  <si>
    <t>E PINAL AIRPARK RD</t>
  </si>
  <si>
    <t>806-801-0355</t>
  </si>
  <si>
    <t>SHAY HELLUMS</t>
  </si>
  <si>
    <t xml:space="preserve">shellums@constructable.pro; whonnoll@constructable.pro </t>
  </si>
  <si>
    <t>SUMMERWELL LOT 4</t>
  </si>
  <si>
    <t>425-444-3334</t>
  </si>
  <si>
    <t>SHANE SOUTHERN</t>
  </si>
  <si>
    <t>shane.southern@greystar.com; tyson.smith@greystar.com; tim.cahanes@greystar.com; molly.griglak@greystar.com</t>
  </si>
  <si>
    <t>U-HAUL OF SAHUARITA</t>
  </si>
  <si>
    <t>30 DAY</t>
  </si>
  <si>
    <t>W DUVAL MINE RD</t>
  </si>
  <si>
    <t>480-694-8446</t>
  </si>
  <si>
    <t>TROY BRINKERHOFF</t>
  </si>
  <si>
    <t>troy.brinkerhoff@ganemcompanies.com</t>
  </si>
  <si>
    <t>THE ONE AT MOUNTAIN VISTA</t>
  </si>
  <si>
    <t>972-741-9013</t>
  </si>
  <si>
    <t>SCOTT PAINTER</t>
  </si>
  <si>
    <t>scott.painter@emjcorp.com</t>
  </si>
  <si>
    <t>CHARTER ONE DEVELOPMENT</t>
  </si>
  <si>
    <t>AMERICAN LEADERSHIP ACADEMY CORPORATE</t>
  </si>
  <si>
    <t>richard@schoodev.us</t>
  </si>
  <si>
    <t xml:space="preserve">MYCON GENERAL CONTRACTORS  </t>
  </si>
  <si>
    <t>TUCSON REHABILITATION HOSPITAL</t>
  </si>
  <si>
    <t>817-995-6023</t>
  </si>
  <si>
    <t>HEATH MAYNARD</t>
  </si>
  <si>
    <t>hmaynard@mycon.com; thighsmith@mycon.com</t>
  </si>
  <si>
    <t>RETAIL BLDG A1-1 AND A1-2</t>
  </si>
  <si>
    <t>BULLARD AVE &amp; W MCDOWELL RD</t>
  </si>
  <si>
    <t>623-760-3602</t>
  </si>
  <si>
    <t>CHRIS JULES</t>
  </si>
  <si>
    <t>HOME 2 SUITES BY HILTON - GOODYEAR</t>
  </si>
  <si>
    <t>Shawn.Larabee@ngcgroupinc.com; griffin.thomas@ngcgroupinc.com; yannis.lawson@ngcgroupinc.com</t>
  </si>
  <si>
    <t>GO99 OFFSITES</t>
  </si>
  <si>
    <t>623-258-5800</t>
  </si>
  <si>
    <t>mbrewer@willmeng.com</t>
  </si>
  <si>
    <t>BUSY BEES DAYCARE LAVEEN</t>
  </si>
  <si>
    <t>480-450-8839</t>
  </si>
  <si>
    <t>STEVE FLEMING</t>
  </si>
  <si>
    <t>sfleming@calienteconstruction.com</t>
  </si>
  <si>
    <t>SUNLAND ES - SUNLAND STEAM ACADEMY</t>
  </si>
  <si>
    <t>S 7TH AVE</t>
  </si>
  <si>
    <t>480-548-0171</t>
  </si>
  <si>
    <t>rsmeriglio@chasse.us; cbenes@rytanconstruction.com; hstlawrence@rytanconstruction.com</t>
  </si>
  <si>
    <t>BUNGALOWS @ LAKIN PARK</t>
  </si>
  <si>
    <t>MC-85 &amp; ATLANTA AVE</t>
  </si>
  <si>
    <t>480-994-0400</t>
  </si>
  <si>
    <t>COREY CRUTCHFIELD</t>
  </si>
  <si>
    <t>corey@doubleaabuilders.com</t>
  </si>
  <si>
    <t>ST HENRY CATHOLIC CHURCH</t>
  </si>
  <si>
    <t>480-673-2349</t>
  </si>
  <si>
    <t>RANDY BLAIR</t>
  </si>
  <si>
    <t>rblair@reddenconstruction.com</t>
  </si>
  <si>
    <t>ROBERT E. PORTER CONSTRUCTION CO</t>
  </si>
  <si>
    <t>ATOMIC VOLLEYBALL WEST</t>
  </si>
  <si>
    <t>W CAMP BELLO DR</t>
  </si>
  <si>
    <t>602-931-7590</t>
  </si>
  <si>
    <t>MICHAEL PORTER</t>
  </si>
  <si>
    <t>michael@robertporterconstruction.com</t>
  </si>
  <si>
    <t>PALM VALLEY COMMERCE- BUILDING B &amp; C</t>
  </si>
  <si>
    <t>623-698-1006</t>
  </si>
  <si>
    <t>MIKE GOODRICH</t>
  </si>
  <si>
    <t>bfregoso@willmeng.com; mgoodrich@willmeng.com</t>
  </si>
  <si>
    <t>CALDWELL WATZA CONSTRUCTION</t>
  </si>
  <si>
    <t>ENTERPRISE</t>
  </si>
  <si>
    <t>MICHAEL SWEENEY</t>
  </si>
  <si>
    <t>michael@caldwellwatza.com</t>
  </si>
  <si>
    <t>EL RIO HEALTH TUCSON HEART HOSPITAL - RILLITO CLINIC</t>
  </si>
  <si>
    <t>N STONE AVE</t>
  </si>
  <si>
    <t>602-910-7791</t>
  </si>
  <si>
    <t>SPENCER RUSSELL</t>
  </si>
  <si>
    <t>spencer.russell@venncompanies.com</t>
  </si>
  <si>
    <t>FENDER OFFICE BUILDING</t>
  </si>
  <si>
    <t xml:space="preserve">E PARADISE VILLAGE PARKWAY </t>
  </si>
  <si>
    <t>JUSTIN BEALL</t>
  </si>
  <si>
    <t>jbeall@laytonconstruction.com</t>
  </si>
  <si>
    <t>AV DIMENSIONS</t>
  </si>
  <si>
    <t xml:space="preserve">S 186TH WAY </t>
  </si>
  <si>
    <t>480-440-9713</t>
  </si>
  <si>
    <t>JEFF SEARS</t>
  </si>
  <si>
    <t>jeffsears@lgedesignbuild.com</t>
  </si>
  <si>
    <t>COPPER SUNRISE LLC C/O GLENN WALLING</t>
  </si>
  <si>
    <t>COYOTE LANDING APARTMENTS - PHASE II</t>
  </si>
  <si>
    <t>HAWES CROSSING APARTMENTS</t>
  </si>
  <si>
    <t>E QUALITY AVE</t>
  </si>
  <si>
    <t>602-418-9017 / 623-414-0163</t>
  </si>
  <si>
    <t>JASON CARUSO / AARON PRADO</t>
  </si>
  <si>
    <t>jason@treger.com;aaron@treger.com</t>
  </si>
  <si>
    <t>GATEWAY NORTE INDUSTRIAL BUILDING</t>
  </si>
  <si>
    <t xml:space="preserve">E VIA NORTHGATE </t>
  </si>
  <si>
    <t xml:space="preserve">pauls@ibcaz.com  </t>
  </si>
  <si>
    <t>ESTES TRUCKING FACILITY</t>
  </si>
  <si>
    <t>S 43RD AVE</t>
  </si>
  <si>
    <t>DUTCH BROS COFFEE - AZ 1006</t>
  </si>
  <si>
    <t>E DREXEL RD</t>
  </si>
  <si>
    <t>SOUTHEAST MESA LIBRARY</t>
  </si>
  <si>
    <t>S EASTMARK PARKWAY</t>
  </si>
  <si>
    <t>206-379-0724 / 480-372-6878/ 951-595-2234</t>
  </si>
  <si>
    <t>SCOTT MERSEREAU /DCARRIER</t>
  </si>
  <si>
    <t>smersereau@willmeng.com;dcarrier@willmeng.com</t>
  </si>
  <si>
    <t>BELVEDERE TERRACE</t>
  </si>
  <si>
    <t>520-571-0101</t>
  </si>
  <si>
    <t>JOSEPH KOMPERDA</t>
  </si>
  <si>
    <t>jkomperda@Tofeldent.com; wortiz@tofeldent.com; bjustice@Tofeldent.com</t>
  </si>
  <si>
    <r>
      <rPr>
        <sz val="11"/>
        <color rgb="FF000000"/>
        <rFont val="Calibri"/>
        <scheme val="minor"/>
      </rPr>
      <t xml:space="preserve">CALIENTE CONSTRUCTION   </t>
    </r>
    <r>
      <rPr>
        <sz val="11"/>
        <color rgb="FFFF0000"/>
        <rFont val="Calibri"/>
        <scheme val="minor"/>
      </rPr>
      <t>Not contracted</t>
    </r>
  </si>
  <si>
    <t>AVONDALE FIRE TRAINING CENTER</t>
  </si>
  <si>
    <t>MARK GILSON</t>
  </si>
  <si>
    <t>mgilson@calieneconstruction.com</t>
  </si>
  <si>
    <t>BRONCO BUTTE</t>
  </si>
  <si>
    <t>PAT NOON</t>
  </si>
  <si>
    <t>pnoon@mtbprojects.com; gmorgan@mtbprojects.com</t>
  </si>
  <si>
    <t>DREXEL COMMUNITY CENTER</t>
  </si>
  <si>
    <t>480-651-3514</t>
  </si>
  <si>
    <t>PHIL STARKEY</t>
  </si>
  <si>
    <t>pstarkey@willmeng.com; nortega@willmeng.com; akarnati@willmeng.com</t>
  </si>
  <si>
    <t>ATLAS MESA</t>
  </si>
  <si>
    <t>951-750-9030</t>
  </si>
  <si>
    <t>ERIC WATERS</t>
  </si>
  <si>
    <t>eric.waters@tdc-properties.com</t>
  </si>
  <si>
    <t>7-11 #47391 LINDSEY ROAD</t>
  </si>
  <si>
    <t>S LINDSEY</t>
  </si>
  <si>
    <t>623-512-7510</t>
  </si>
  <si>
    <t>RON SEITZ</t>
  </si>
  <si>
    <t>r.seitz@vequity.com</t>
  </si>
  <si>
    <t>MODERA RIO SALADO</t>
  </si>
  <si>
    <t>W RIO SALADO PARKWAY</t>
  </si>
  <si>
    <t>445-597-9230</t>
  </si>
  <si>
    <t>CALEN TATERSALL</t>
  </si>
  <si>
    <t>ctattersall@mcrtust.com</t>
  </si>
  <si>
    <t>CHICK FIL A 05676</t>
  </si>
  <si>
    <t>TUCSON MARKETPLACE BLVD &amp; KINO PKWY</t>
  </si>
  <si>
    <t>714-944-9385</t>
  </si>
  <si>
    <t>MATT CARPENTER</t>
  </si>
  <si>
    <t>mcarpenter@kdcconstruction.com</t>
  </si>
  <si>
    <t>STACK STORAGE - 19TH &amp; BROADWAY</t>
  </si>
  <si>
    <t> jwebster@tlwconstruction.com</t>
  </si>
  <si>
    <t>CITY NORTH PARCEL C</t>
  </si>
  <si>
    <t xml:space="preserve">CITY NORTH DR AND 55TH ST </t>
  </si>
  <si>
    <t>443-597-9230</t>
  </si>
  <si>
    <t>GREG RULEDGE</t>
  </si>
  <si>
    <t>taylor.mcdonald@greystar.com; ben.sinclair@greystar.com; gregory.rutledge@greystar.com; steven.nacsa@greystar.com</t>
  </si>
  <si>
    <t>SUN HEALTH COLONNADE</t>
  </si>
  <si>
    <t>14900</t>
  </si>
  <si>
    <t>W GOLDWATER RIDGE DR</t>
  </si>
  <si>
    <t>480-789-0488</t>
  </si>
  <si>
    <t>SEAN TIERNEY</t>
  </si>
  <si>
    <t>SRP FLIGHT SERVICES HANGER / PARCEL 14</t>
  </si>
  <si>
    <t>602-770-0938- 623-363-6000</t>
  </si>
  <si>
    <t>TONY VELASCO / PETER GAVRILIDIS</t>
  </si>
  <si>
    <t>antoniov@gconinc.com;peterg@gconic.com</t>
  </si>
  <si>
    <t>MACK INNOVATION PARK PHASE 1</t>
  </si>
  <si>
    <t>347-556-4138 / 480-309-2108</t>
  </si>
  <si>
    <t>AVI SHTAYER / STEVE SCUTCHLEY</t>
  </si>
  <si>
    <t>ashtayer@willmeng.com;scrutchley@willmeng.com</t>
  </si>
  <si>
    <t>ASU POLY CENTRAL PLANT EXPANSION</t>
  </si>
  <si>
    <t>E UNITY AVE</t>
  </si>
  <si>
    <t>480-398-0955 / 480-773-1465</t>
  </si>
  <si>
    <t>JJ BITTNER / DAN HISER</t>
  </si>
  <si>
    <t>jjbittner@chasse.us;dhiser@chasse.us ; bbrinkerhoff@chasse.us</t>
  </si>
  <si>
    <t>WEST 202 LOGISTICS</t>
  </si>
  <si>
    <t>480-486-1897</t>
  </si>
  <si>
    <t>ROB EVANS</t>
  </si>
  <si>
    <t>rob.evans@laytonconstruction.com</t>
  </si>
  <si>
    <t>SLOAN PARK WOMENS LOCKER ROOM / LAB</t>
  </si>
  <si>
    <t>602-370-3550 / 978-376-3836</t>
  </si>
  <si>
    <t>BRYCE HILT / CAMERON SHANKLAND</t>
  </si>
  <si>
    <t>bryce.hilt@mortenson.com;cameron.shankland@mortenson.com; vade.scruggs@mortenson.com</t>
  </si>
  <si>
    <t>FALCO EXTRUSIONS</t>
  </si>
  <si>
    <t>S 56TH STREET</t>
  </si>
  <si>
    <t>480-994-9455/ 623-260-4774</t>
  </si>
  <si>
    <t>DAN UPTON / BRIAN MURPHY</t>
  </si>
  <si>
    <t>dan.upton@agateconstructioninc.com; brian.murphy@primakconstruction.com</t>
  </si>
  <si>
    <t>Install Date</t>
  </si>
  <si>
    <t>Last Inspection</t>
  </si>
  <si>
    <t>Next Inspection</t>
  </si>
  <si>
    <t>Acreage</t>
  </si>
  <si>
    <t>ALVERNON WAY COMMERCE CEN</t>
  </si>
  <si>
    <t>E AJO WAY</t>
  </si>
  <si>
    <t>TUCSON AIRPORT TAC2 BLDG B</t>
  </si>
  <si>
    <t>BAKER CONSTRUCTION &amp; DEVELOPMENT INC</t>
  </si>
  <si>
    <t>ORO VALLEY ASSISTED LIVING COMMUNITY</t>
  </si>
  <si>
    <t>N VISTOSO PARK RD</t>
  </si>
  <si>
    <t>ORO VALLEY</t>
  </si>
  <si>
    <r>
      <rPr>
        <sz val="11"/>
        <color rgb="FF000000"/>
        <rFont val="Calibri"/>
        <scheme val="minor"/>
      </rPr>
      <t xml:space="preserve">RICHARD GROUP, LLC   </t>
    </r>
    <r>
      <rPr>
        <sz val="11"/>
        <color rgb="FFFF0000"/>
        <rFont val="Calibri"/>
        <scheme val="minor"/>
      </rPr>
      <t>PAUSED TILL SEPTEMBER</t>
    </r>
  </si>
  <si>
    <t>DAVIS MONTHAN BLDG ADD FOR 47TH FIGHTER</t>
  </si>
  <si>
    <t>S WILMOT ROAD</t>
  </si>
  <si>
    <t>847-840-9357</t>
  </si>
  <si>
    <t>TODD CRUZ</t>
  </si>
  <si>
    <t>todd.cruz@richardgroupllc.com;ebben.kicklighter@richardgroupllc.com</t>
  </si>
  <si>
    <t>SYCAMORE GARCIA</t>
  </si>
  <si>
    <t>LOOP 303 &amp; PEORIA AVE</t>
  </si>
  <si>
    <t>480-601-2000</t>
  </si>
  <si>
    <t>KRYSTAL</t>
  </si>
  <si>
    <t xml:space="preserve"> Krystal.Leon @idmcompanies.com</t>
  </si>
  <si>
    <t>ALIGNED DATA  CENTER  CHANDLER - TRADE  PARKING</t>
  </si>
  <si>
    <t xml:space="preserve">S LITCHFIELD ROAD </t>
  </si>
  <si>
    <t>(EXETER) 207 E MCOWELL</t>
  </si>
  <si>
    <r>
      <rPr>
        <sz val="11"/>
        <color rgb="FF000000"/>
        <rFont val="Calibri"/>
        <scheme val="minor"/>
      </rPr>
      <t xml:space="preserve">DOUBLE AA BUILDERS LTD   </t>
    </r>
    <r>
      <rPr>
        <sz val="11"/>
        <color rgb="FFFF0000"/>
        <rFont val="Calibri"/>
        <scheme val="minor"/>
      </rPr>
      <t>might not inspect</t>
    </r>
  </si>
  <si>
    <t>ST ROSE PHILIPPINE DUCHESNE CATHOLIC CHURCH</t>
  </si>
  <si>
    <t>W ROSE CANYON CIRCLE</t>
  </si>
  <si>
    <t>CHARTER ONE DEVELOPMENT LLC</t>
  </si>
  <si>
    <t>AIA CORPRATE OFFICE</t>
  </si>
  <si>
    <t>N 18TH ST</t>
  </si>
  <si>
    <t>NORIA APARTMENTS @ CHANDLER</t>
  </si>
  <si>
    <t>Put with WP-Alta Elliot</t>
  </si>
  <si>
    <t>480-309-9041</t>
  </si>
  <si>
    <t>VANCE ARNOLD</t>
  </si>
  <si>
    <t>FIRST &amp; FARMER</t>
  </si>
  <si>
    <t>Put with all ASU</t>
  </si>
  <si>
    <t>S FARMER AVE</t>
  </si>
  <si>
    <t>CITYVIEW GERMANN INDUSTRIAL</t>
  </si>
  <si>
    <t>put with RSG date</t>
  </si>
  <si>
    <t>GERMANN &amp; PECOS</t>
  </si>
  <si>
    <t>480-528-1984</t>
  </si>
  <si>
    <t>MALYN HOBBS</t>
  </si>
  <si>
    <t>mhobbs@laytonconstruction.com</t>
  </si>
  <si>
    <t>CHANDLER ROOSEVELT BUILDING</t>
  </si>
  <si>
    <t xml:space="preserve">S ROOSEVELT AVE </t>
  </si>
  <si>
    <t>MARK SCOTT CONSTRUTION INC</t>
  </si>
  <si>
    <t>USPS GILBERT - CARRIER ANNEX</t>
  </si>
  <si>
    <t>MARVIN ACEVES</t>
  </si>
  <si>
    <t>714-336-6073</t>
  </si>
  <si>
    <t>SEAN MEEDER</t>
  </si>
  <si>
    <t>N LONGMORE</t>
  </si>
  <si>
    <t>602-625-9749</t>
  </si>
  <si>
    <t>EASTON</t>
  </si>
  <si>
    <t>AGATE</t>
  </si>
  <si>
    <t>FALCO</t>
  </si>
  <si>
    <t xml:space="preserve">S 56TH STREET </t>
  </si>
  <si>
    <t>480-442-3545</t>
  </si>
  <si>
    <t>SAM SLOAN</t>
  </si>
  <si>
    <t>GILBERT PUBLIC WORKS - NASC FUEL FACILITY</t>
  </si>
  <si>
    <t>N FREESTONE PARKWAY</t>
  </si>
  <si>
    <t>602-320-7757</t>
  </si>
  <si>
    <t>JAKE O'BRIEN</t>
  </si>
  <si>
    <t>WESTATES CONSTRUCTION</t>
  </si>
  <si>
    <t>CANYON DEL-RE-BID</t>
  </si>
  <si>
    <t>E</t>
  </si>
  <si>
    <t>ON HOLD  for now 3/6</t>
  </si>
  <si>
    <t>480-708-4689</t>
  </si>
  <si>
    <t>JEFF SLADE</t>
  </si>
  <si>
    <t>jslade@!brinkmannsconstructors.com</t>
  </si>
  <si>
    <t>LDS EASTMARK</t>
  </si>
  <si>
    <t>On hold</t>
  </si>
  <si>
    <t>on hold</t>
  </si>
  <si>
    <t>E WILIAMSFIELD ROAD</t>
  </si>
  <si>
    <t>CAMERON</t>
  </si>
  <si>
    <t>H4U CONSTRUCTION</t>
  </si>
  <si>
    <t>DUNTON RESIDENCE</t>
  </si>
  <si>
    <t>N SNOWBOWL RANCH ROAD</t>
  </si>
  <si>
    <t>602-399-3291</t>
  </si>
  <si>
    <t>BJORN JOHNSON</t>
  </si>
  <si>
    <t>bjohnson@h4uconstruction.com</t>
  </si>
  <si>
    <t>EASTMARKET &amp; SPROUTS MESA</t>
  </si>
  <si>
    <t xml:space="preserve">12/16 not sure if doing </t>
  </si>
  <si>
    <t>602-541-4234</t>
  </si>
  <si>
    <t>STEVE RANKICK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</si>
</sst>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F800]dddd\,\ mmmm\ dd\,\ yyyy"/>
    <numFmt numFmtId="166" formatCode="mm/dd/yy;@"/>
  </numFmts>
  <fonts count="59">
    <font>
      <sz val="11"/>
      <color rgb="FF000000"/>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sz val="9"/>
      <color indexed="81"/>
      <name val="Tahoma"/>
      <family val="2"/>
    </font>
    <font>
      <b/>
      <sz val="9"/>
      <color indexed="81"/>
      <name val="Tahoma"/>
      <family val="2"/>
    </font>
    <font>
      <sz val="11"/>
      <name val="Calibri"/>
      <family val="2"/>
      <scheme val="minor"/>
    </font>
    <font>
      <sz val="10"/>
      <color rgb="FF000000"/>
      <name val="Times New Roman"/>
      <family val="1"/>
    </font>
    <font>
      <sz val="12"/>
      <color rgb="FF000000"/>
      <name val="Times New Roman"/>
      <family val="1"/>
    </font>
    <font>
      <sz val="8"/>
      <name val="Calibri"/>
      <family val="2"/>
      <scheme val="minor"/>
    </font>
    <font>
      <sz val="10"/>
      <color rgb="FF000000"/>
      <name val="Arial"/>
      <family val="2"/>
    </font>
    <font>
      <u/>
      <sz val="11"/>
      <color theme="10"/>
      <name val="Calibri"/>
      <family val="2"/>
      <scheme val="minor"/>
    </font>
    <font>
      <u/>
      <sz val="11"/>
      <color theme="1" tint="0.34998626667073579"/>
      <name val="Calibri"/>
      <family val="2"/>
      <scheme val="minor"/>
    </font>
    <font>
      <u/>
      <sz val="11"/>
      <color theme="1"/>
      <name val="Calibri"/>
      <family val="2"/>
      <scheme val="minor"/>
    </font>
    <font>
      <sz val="12"/>
      <color theme="1"/>
      <name val="Times New Roman"/>
      <family val="1"/>
    </font>
    <font>
      <u/>
      <sz val="11"/>
      <color theme="1" tint="0.249977111117893"/>
      <name val="Calibri"/>
      <family val="2"/>
      <scheme val="minor"/>
    </font>
    <font>
      <sz val="11"/>
      <color theme="1" tint="0.34998626667073579"/>
      <name val="Calibri"/>
      <family val="2"/>
      <scheme val="minor"/>
    </font>
    <font>
      <sz val="12"/>
      <color rgb="FF000000"/>
      <name val="Calibri"/>
      <family val="2"/>
      <scheme val="minor"/>
    </font>
    <font>
      <u/>
      <sz val="11"/>
      <color rgb="FF000000"/>
      <name val="Calibri"/>
      <family val="2"/>
      <scheme val="minor"/>
    </font>
    <font>
      <b/>
      <sz val="11"/>
      <color theme="1" tint="0.499984740745262"/>
      <name val="Calibri"/>
      <family val="2"/>
      <scheme val="minor"/>
    </font>
    <font>
      <sz val="12"/>
      <color rgb="FF0000FF"/>
      <name val="Times New Roman"/>
      <family val="1"/>
    </font>
    <font>
      <sz val="12"/>
      <color rgb="FFFF0000"/>
      <name val="Times New Roman"/>
      <family val="1"/>
    </font>
    <font>
      <b/>
      <sz val="9"/>
      <color rgb="FF485566"/>
      <name val="Lato"/>
      <family val="2"/>
    </font>
    <font>
      <sz val="10"/>
      <color rgb="FF000000"/>
      <name val="Calibri"/>
      <family val="2"/>
    </font>
    <font>
      <b/>
      <sz val="9"/>
      <color rgb="FF525252"/>
      <name val="Arial"/>
      <family val="2"/>
    </font>
    <font>
      <sz val="12"/>
      <color theme="8"/>
      <name val="Times New Roman"/>
      <family val="1"/>
    </font>
    <font>
      <sz val="11"/>
      <color rgb="FF000000"/>
      <name val="Calibri"/>
      <family val="2"/>
    </font>
    <font>
      <sz val="11"/>
      <color theme="8"/>
      <name val="Calibri"/>
      <family val="2"/>
      <scheme val="minor"/>
    </font>
    <font>
      <u/>
      <sz val="11"/>
      <color theme="8"/>
      <name val="Calibri"/>
      <family val="2"/>
      <scheme val="minor"/>
    </font>
    <font>
      <sz val="11"/>
      <color theme="4" tint="-0.249977111117893"/>
      <name val="Calibri"/>
      <family val="2"/>
      <scheme val="minor"/>
    </font>
    <font>
      <u/>
      <sz val="8"/>
      <color theme="8"/>
      <name val="Calibri"/>
      <family val="2"/>
      <scheme val="minor"/>
    </font>
    <font>
      <sz val="8"/>
      <color rgb="FF000000"/>
      <name val="Calibri"/>
      <family val="2"/>
      <scheme val="minor"/>
    </font>
    <font>
      <u/>
      <sz val="8"/>
      <color theme="10"/>
      <name val="Calibri"/>
      <family val="2"/>
      <scheme val="minor"/>
    </font>
    <font>
      <sz val="12"/>
      <color theme="4"/>
      <name val="Times New Roman"/>
      <family val="1"/>
    </font>
    <font>
      <sz val="10"/>
      <color rgb="FF000000"/>
      <name val="Verdana"/>
      <family val="2"/>
    </font>
    <font>
      <sz val="12"/>
      <color rgb="FF000000"/>
      <name val="Aptos"/>
      <family val="2"/>
    </font>
    <font>
      <u/>
      <sz val="11"/>
      <color rgb="FF0563C1"/>
      <name val="Calibri"/>
      <family val="2"/>
    </font>
    <font>
      <sz val="11"/>
      <color rgb="FF4472C4"/>
      <name val="Calibri"/>
      <family val="2"/>
    </font>
    <font>
      <sz val="11"/>
      <color rgb="FF000000"/>
      <name val="Calibri"/>
      <scheme val="minor"/>
    </font>
    <font>
      <sz val="11"/>
      <color rgb="FFFF0000"/>
      <name val="Calibri"/>
      <scheme val="minor"/>
    </font>
    <font>
      <sz val="11"/>
      <color rgb="FF000000"/>
      <name val="Calibri"/>
    </font>
    <font>
      <sz val="11"/>
      <color rgb="FFFF0000"/>
      <name val="Calibri"/>
    </font>
    <font>
      <u/>
      <sz val="10"/>
      <color rgb="FF0000EE"/>
      <name val="Calibri"/>
      <charset val="1"/>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FFCCFF"/>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bgColor indexed="64"/>
      </patternFill>
    </fill>
    <fill>
      <patternFill patternType="solid">
        <fgColor rgb="FFFFFF00"/>
        <bgColor indexed="64"/>
      </patternFill>
    </fill>
    <fill>
      <patternFill patternType="solid">
        <fgColor rgb="FFFB3F1B"/>
        <bgColor indexed="64"/>
      </patternFill>
    </fill>
    <fill>
      <patternFill patternType="solid">
        <fgColor theme="0" tint="-0.14999847407452621"/>
        <bgColor indexed="64"/>
      </patternFill>
    </fill>
    <fill>
      <patternFill patternType="solid">
        <fgColor rgb="FFFF7C80"/>
        <bgColor indexed="64"/>
      </patternFill>
    </fill>
    <fill>
      <patternFill patternType="solid">
        <fgColor rgb="FFBDD7EE"/>
        <bgColor rgb="FF000000"/>
      </patternFill>
    </fill>
    <fill>
      <patternFill patternType="solid">
        <fgColor rgb="FFFFFFFF"/>
        <bgColor rgb="FF000000"/>
      </patternFill>
    </fill>
    <fill>
      <patternFill patternType="solid">
        <fgColor rgb="FFBFBFBF"/>
        <bgColor rgb="FF000000"/>
      </patternFill>
    </fill>
    <fill>
      <patternFill patternType="solid">
        <fgColor rgb="FF70AD47"/>
        <bgColor rgb="FF000000"/>
      </patternFill>
    </fill>
    <fill>
      <patternFill patternType="solid">
        <fgColor rgb="FFFFC000"/>
        <bgColor indexed="64"/>
      </patternFill>
    </fill>
    <fill>
      <patternFill patternType="solid">
        <fgColor rgb="FFFFFFFF"/>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auto="1"/>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indexed="64"/>
      </bottom>
      <diagonal/>
    </border>
    <border>
      <left style="thin">
        <color rgb="FF000000"/>
      </left>
      <right style="thin">
        <color rgb="FF000000"/>
      </right>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rgb="FF000000"/>
      </right>
      <top/>
      <bottom style="thin">
        <color indexed="64"/>
      </bottom>
      <diagonal/>
    </border>
    <border>
      <left/>
      <right/>
      <top style="thin">
        <color auto="1"/>
      </top>
      <bottom style="thin">
        <color auto="1"/>
      </bottom>
      <diagonal/>
    </border>
    <border>
      <left style="thin">
        <color auto="1"/>
      </left>
      <right style="thin">
        <color auto="1"/>
      </right>
      <top style="thin">
        <color indexed="64"/>
      </top>
      <bottom style="medium">
        <color indexed="64"/>
      </bottom>
      <diagonal/>
    </border>
    <border>
      <left/>
      <right style="thin">
        <color indexed="64"/>
      </right>
      <top/>
      <bottom style="thin">
        <color indexed="64"/>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7" fillId="0" borderId="0" applyNumberFormat="0" applyFill="0" applyBorder="0" applyAlignment="0" applyProtection="0"/>
  </cellStyleXfs>
  <cellXfs count="435">
    <xf numFmtId="0" fontId="0" fillId="0" borderId="0" xfId="0"/>
    <xf numFmtId="0" fontId="0" fillId="0" borderId="14" xfId="0" applyBorder="1" applyAlignment="1">
      <alignment horizontal="center"/>
    </xf>
    <xf numFmtId="14" fontId="0" fillId="0" borderId="14" xfId="0" applyNumberFormat="1" applyBorder="1" applyAlignment="1">
      <alignment horizontal="center"/>
    </xf>
    <xf numFmtId="0" fontId="0" fillId="0" borderId="14" xfId="0" applyBorder="1" applyAlignment="1">
      <alignment horizontal="center" wrapText="1"/>
    </xf>
    <xf numFmtId="0" fontId="0" fillId="0" borderId="14" xfId="0" applyBorder="1"/>
    <xf numFmtId="49" fontId="0" fillId="0" borderId="14" xfId="0" applyNumberFormat="1" applyBorder="1" applyAlignment="1" applyProtection="1">
      <alignment wrapText="1"/>
      <protection locked="0"/>
    </xf>
    <xf numFmtId="0" fontId="0" fillId="0" borderId="11" xfId="0" applyBorder="1" applyAlignment="1" applyProtection="1">
      <alignment wrapText="1"/>
      <protection locked="0"/>
    </xf>
    <xf numFmtId="49" fontId="0" fillId="0" borderId="14" xfId="0" applyNumberFormat="1" applyBorder="1" applyAlignment="1" applyProtection="1">
      <alignment horizontal="left" wrapText="1"/>
      <protection locked="0"/>
    </xf>
    <xf numFmtId="164" fontId="0" fillId="0" borderId="14" xfId="0" applyNumberFormat="1" applyBorder="1" applyAlignment="1" applyProtection="1">
      <alignment wrapText="1"/>
      <protection locked="0"/>
    </xf>
    <xf numFmtId="0" fontId="0" fillId="0" borderId="14" xfId="0" applyBorder="1" applyAlignment="1" applyProtection="1">
      <alignment wrapText="1"/>
      <protection locked="0"/>
    </xf>
    <xf numFmtId="0" fontId="0" fillId="0" borderId="18" xfId="0" applyBorder="1" applyAlignment="1">
      <alignment horizontal="center"/>
    </xf>
    <xf numFmtId="0" fontId="0" fillId="0" borderId="14" xfId="0" applyBorder="1" applyAlignment="1" applyProtection="1">
      <alignment horizontal="center" wrapText="1"/>
      <protection locked="0"/>
    </xf>
    <xf numFmtId="0" fontId="0" fillId="0" borderId="21" xfId="0" applyBorder="1" applyAlignment="1">
      <alignment horizontal="center"/>
    </xf>
    <xf numFmtId="0" fontId="0" fillId="35" borderId="14" xfId="0" applyFill="1" applyBorder="1" applyAlignment="1">
      <alignment wrapText="1"/>
    </xf>
    <xf numFmtId="0" fontId="0" fillId="0" borderId="18" xfId="0" applyBorder="1" applyAlignment="1" applyProtection="1">
      <alignment wrapText="1"/>
      <protection locked="0"/>
    </xf>
    <xf numFmtId="0" fontId="0" fillId="0" borderId="14" xfId="0" applyBorder="1" applyAlignment="1">
      <alignment horizontal="left"/>
    </xf>
    <xf numFmtId="0" fontId="0" fillId="35" borderId="14" xfId="0" applyFill="1" applyBorder="1" applyAlignment="1">
      <alignment horizontal="center" wrapText="1"/>
    </xf>
    <xf numFmtId="0" fontId="0" fillId="0" borderId="21" xfId="0" applyBorder="1"/>
    <xf numFmtId="0" fontId="23" fillId="0" borderId="14" xfId="0" applyFont="1" applyBorder="1"/>
    <xf numFmtId="0" fontId="24" fillId="0" borderId="14" xfId="0" applyFont="1" applyBorder="1"/>
    <xf numFmtId="0" fontId="23" fillId="0" borderId="21" xfId="0" applyFont="1" applyBorder="1"/>
    <xf numFmtId="0" fontId="24" fillId="0" borderId="21" xfId="0" applyFont="1" applyBorder="1"/>
    <xf numFmtId="0" fontId="19" fillId="33" borderId="14" xfId="0" applyFont="1" applyFill="1" applyBorder="1" applyAlignment="1">
      <alignment horizontal="left" wrapText="1"/>
    </xf>
    <xf numFmtId="49" fontId="0" fillId="36" borderId="14" xfId="0" applyNumberFormat="1" applyFill="1" applyBorder="1" applyAlignment="1">
      <alignment wrapText="1"/>
    </xf>
    <xf numFmtId="49" fontId="0" fillId="35" borderId="14" xfId="0" applyNumberFormat="1" applyFill="1" applyBorder="1" applyAlignment="1">
      <alignment wrapText="1"/>
    </xf>
    <xf numFmtId="0" fontId="0" fillId="0" borderId="0" xfId="0" applyAlignment="1">
      <alignment horizontal="center"/>
    </xf>
    <xf numFmtId="14" fontId="0" fillId="0" borderId="14" xfId="0" applyNumberFormat="1" applyBorder="1"/>
    <xf numFmtId="0" fontId="0" fillId="0" borderId="0" xfId="0" applyAlignment="1" applyProtection="1">
      <alignment wrapText="1"/>
      <protection locked="0"/>
    </xf>
    <xf numFmtId="0" fontId="0" fillId="0" borderId="11" xfId="0" applyBorder="1"/>
    <xf numFmtId="0" fontId="0" fillId="0" borderId="14" xfId="0" applyBorder="1" applyAlignment="1">
      <alignment vertical="center"/>
    </xf>
    <xf numFmtId="0" fontId="0" fillId="0" borderId="20" xfId="0" applyBorder="1" applyAlignment="1">
      <alignment horizontal="center"/>
    </xf>
    <xf numFmtId="0" fontId="0" fillId="0" borderId="14" xfId="0" applyBorder="1" applyAlignment="1">
      <alignment horizontal="center" vertical="top"/>
    </xf>
    <xf numFmtId="0" fontId="0" fillId="0" borderId="11" xfId="0" applyBorder="1" applyAlignment="1">
      <alignment horizontal="center"/>
    </xf>
    <xf numFmtId="49" fontId="0" fillId="0" borderId="14" xfId="0" applyNumberFormat="1" applyBorder="1" applyAlignment="1" applyProtection="1">
      <alignment horizontal="center" wrapText="1"/>
      <protection locked="0"/>
    </xf>
    <xf numFmtId="49" fontId="0" fillId="0" borderId="11" xfId="0" applyNumberFormat="1" applyBorder="1" applyAlignment="1" applyProtection="1">
      <alignment horizontal="center" wrapText="1"/>
      <protection locked="0"/>
    </xf>
    <xf numFmtId="49" fontId="0" fillId="0" borderId="13" xfId="0" applyNumberFormat="1" applyBorder="1" applyAlignment="1" applyProtection="1">
      <alignment horizontal="center" wrapText="1"/>
      <protection locked="0"/>
    </xf>
    <xf numFmtId="0" fontId="0" fillId="0" borderId="11" xfId="0" applyBorder="1" applyAlignment="1" applyProtection="1">
      <alignment horizontal="center" vertical="top" wrapText="1"/>
      <protection locked="0"/>
    </xf>
    <xf numFmtId="0" fontId="0" fillId="0" borderId="14" xfId="0" applyBorder="1" applyAlignment="1" applyProtection="1">
      <alignment horizontal="center" vertical="top" wrapText="1"/>
      <protection locked="0"/>
    </xf>
    <xf numFmtId="2" fontId="0" fillId="0" borderId="14" xfId="0" applyNumberFormat="1" applyBorder="1" applyAlignment="1" applyProtection="1">
      <alignment horizontal="center" wrapText="1"/>
      <protection locked="0"/>
    </xf>
    <xf numFmtId="2" fontId="0" fillId="0" borderId="11" xfId="0" applyNumberFormat="1" applyBorder="1" applyAlignment="1" applyProtection="1">
      <alignment horizontal="center" wrapText="1"/>
      <protection locked="0"/>
    </xf>
    <xf numFmtId="0" fontId="19" fillId="33" borderId="14" xfId="0" applyFont="1" applyFill="1" applyBorder="1" applyAlignment="1">
      <alignment horizontal="center" wrapText="1"/>
    </xf>
    <xf numFmtId="0" fontId="0" fillId="0" borderId="14" xfId="0" applyBorder="1" applyAlignment="1">
      <alignment horizontal="center" vertical="center"/>
    </xf>
    <xf numFmtId="0" fontId="0" fillId="37" borderId="14" xfId="0" applyFill="1" applyBorder="1" applyAlignment="1">
      <alignment horizontal="center" vertical="center"/>
    </xf>
    <xf numFmtId="49" fontId="0" fillId="0" borderId="14" xfId="0" applyNumberFormat="1" applyBorder="1" applyAlignment="1" applyProtection="1">
      <alignment horizontal="center" vertical="center" wrapText="1"/>
      <protection locked="0"/>
    </xf>
    <xf numFmtId="0" fontId="19" fillId="34" borderId="14" xfId="0" applyFont="1" applyFill="1" applyBorder="1" applyAlignment="1">
      <alignment horizontal="center" wrapText="1"/>
    </xf>
    <xf numFmtId="49" fontId="0" fillId="37" borderId="14" xfId="0" applyNumberFormat="1" applyFill="1" applyBorder="1" applyAlignment="1" applyProtection="1">
      <alignment horizontal="center" vertical="center" wrapText="1"/>
      <protection locked="0"/>
    </xf>
    <xf numFmtId="49" fontId="0" fillId="37" borderId="14" xfId="0" applyNumberFormat="1" applyFill="1" applyBorder="1" applyAlignment="1" applyProtection="1">
      <alignment horizontal="center" wrapText="1"/>
      <protection locked="0"/>
    </xf>
    <xf numFmtId="49" fontId="0" fillId="37" borderId="14" xfId="0" applyNumberFormat="1" applyFill="1" applyBorder="1" applyAlignment="1" applyProtection="1">
      <alignment wrapText="1"/>
      <protection locked="0"/>
    </xf>
    <xf numFmtId="49" fontId="0" fillId="37" borderId="14" xfId="0" applyNumberFormat="1" applyFill="1" applyBorder="1" applyAlignment="1" applyProtection="1">
      <alignment horizontal="left" wrapText="1"/>
      <protection locked="0"/>
    </xf>
    <xf numFmtId="0" fontId="0" fillId="0" borderId="14" xfId="0" applyBorder="1" applyAlignment="1" applyProtection="1">
      <alignment horizontal="center" vertical="center" wrapText="1"/>
      <protection locked="0"/>
    </xf>
    <xf numFmtId="0" fontId="0" fillId="37" borderId="14" xfId="0" applyFill="1" applyBorder="1" applyAlignment="1" applyProtection="1">
      <alignment horizontal="center" vertical="top" wrapText="1"/>
      <protection locked="0"/>
    </xf>
    <xf numFmtId="0" fontId="0" fillId="37" borderId="14" xfId="0" applyFill="1" applyBorder="1" applyAlignment="1" applyProtection="1">
      <alignment wrapText="1"/>
      <protection locked="0"/>
    </xf>
    <xf numFmtId="164" fontId="0" fillId="0" borderId="14" xfId="0" applyNumberFormat="1" applyBorder="1" applyAlignment="1" applyProtection="1">
      <alignment horizontal="center" wrapText="1"/>
      <protection locked="0"/>
    </xf>
    <xf numFmtId="0" fontId="0" fillId="0" borderId="14" xfId="0" applyBorder="1" applyProtection="1">
      <protection locked="0"/>
    </xf>
    <xf numFmtId="49" fontId="0" fillId="0" borderId="14" xfId="0" applyNumberFormat="1" applyBorder="1" applyAlignment="1">
      <alignment horizontal="center" vertical="center" wrapText="1"/>
    </xf>
    <xf numFmtId="49" fontId="0" fillId="0" borderId="14" xfId="0" applyNumberFormat="1" applyBorder="1" applyAlignment="1">
      <alignment horizontal="center" wrapText="1"/>
    </xf>
    <xf numFmtId="49" fontId="0" fillId="0" borderId="14" xfId="0" applyNumberFormat="1" applyBorder="1" applyAlignment="1">
      <alignment wrapText="1"/>
    </xf>
    <xf numFmtId="0" fontId="0" fillId="0" borderId="14" xfId="0" applyBorder="1" applyAlignment="1">
      <alignment horizontal="center" vertical="top" wrapText="1"/>
    </xf>
    <xf numFmtId="14" fontId="0" fillId="37" borderId="14" xfId="0" applyNumberFormat="1" applyFill="1" applyBorder="1" applyAlignment="1" applyProtection="1">
      <alignment horizontal="center" wrapText="1"/>
      <protection locked="0"/>
    </xf>
    <xf numFmtId="14" fontId="0" fillId="0" borderId="14" xfId="0" applyNumberFormat="1" applyBorder="1" applyAlignment="1" applyProtection="1">
      <alignment horizontal="center" wrapText="1"/>
      <protection locked="0"/>
    </xf>
    <xf numFmtId="14" fontId="0" fillId="0" borderId="14" xfId="0" applyNumberFormat="1" applyBorder="1" applyAlignment="1">
      <alignment horizontal="center" wrapText="1"/>
    </xf>
    <xf numFmtId="0" fontId="19" fillId="38" borderId="14" xfId="0" applyFont="1" applyFill="1" applyBorder="1" applyAlignment="1">
      <alignment wrapText="1"/>
    </xf>
    <xf numFmtId="0" fontId="0" fillId="38" borderId="14" xfId="0" applyFill="1" applyBorder="1" applyAlignment="1">
      <alignment horizontal="center" wrapText="1"/>
    </xf>
    <xf numFmtId="14" fontId="0" fillId="38" borderId="14" xfId="0" applyNumberFormat="1" applyFill="1" applyBorder="1" applyAlignment="1">
      <alignment horizontal="center" wrapText="1"/>
    </xf>
    <xf numFmtId="0" fontId="19" fillId="38" borderId="14" xfId="0" applyFont="1" applyFill="1" applyBorder="1" applyAlignment="1">
      <alignment horizontal="center" wrapText="1"/>
    </xf>
    <xf numFmtId="0" fontId="0" fillId="0" borderId="14" xfId="0" applyBorder="1" applyAlignment="1">
      <alignment horizontal="left" vertical="center"/>
    </xf>
    <xf numFmtId="0" fontId="0" fillId="37" borderId="14" xfId="0" applyFill="1" applyBorder="1" applyAlignment="1" applyProtection="1">
      <alignment horizontal="center" vertical="center" wrapText="1"/>
      <protection locked="0"/>
    </xf>
    <xf numFmtId="0" fontId="0" fillId="37" borderId="14" xfId="0" applyFill="1" applyBorder="1" applyAlignment="1" applyProtection="1">
      <alignment horizontal="center" wrapText="1"/>
      <protection locked="0"/>
    </xf>
    <xf numFmtId="49" fontId="0" fillId="37" borderId="14" xfId="0" applyNumberFormat="1" applyFill="1" applyBorder="1" applyAlignment="1" applyProtection="1">
      <alignment vertical="center" wrapText="1"/>
      <protection locked="0"/>
    </xf>
    <xf numFmtId="49" fontId="0" fillId="0" borderId="14" xfId="0" applyNumberFormat="1" applyBorder="1" applyAlignment="1" applyProtection="1">
      <alignment vertical="center" wrapText="1"/>
      <protection locked="0"/>
    </xf>
    <xf numFmtId="49" fontId="0" fillId="0" borderId="14" xfId="0" applyNumberFormat="1" applyBorder="1" applyAlignment="1">
      <alignment vertical="center" wrapText="1"/>
    </xf>
    <xf numFmtId="14" fontId="0" fillId="37" borderId="14" xfId="0" applyNumberFormat="1" applyFill="1" applyBorder="1" applyAlignment="1">
      <alignment horizontal="center" wrapText="1"/>
    </xf>
    <xf numFmtId="0" fontId="26" fillId="0" borderId="14" xfId="0" applyFont="1" applyBorder="1"/>
    <xf numFmtId="0" fontId="26" fillId="0" borderId="14" xfId="0" applyFont="1" applyBorder="1" applyAlignment="1">
      <alignment horizontal="center"/>
    </xf>
    <xf numFmtId="0" fontId="0" fillId="0" borderId="14" xfId="0" applyBorder="1" applyAlignment="1" applyProtection="1">
      <alignment horizontal="center"/>
      <protection locked="0"/>
    </xf>
    <xf numFmtId="49" fontId="0" fillId="0" borderId="14" xfId="0" applyNumberFormat="1" applyBorder="1" applyAlignment="1" applyProtection="1">
      <alignment vertical="center"/>
      <protection locked="0"/>
    </xf>
    <xf numFmtId="0" fontId="0" fillId="0" borderId="14" xfId="0" applyBorder="1" applyAlignment="1">
      <alignment horizontal="center" vertical="center" wrapText="1"/>
    </xf>
    <xf numFmtId="0" fontId="0" fillId="35" borderId="14" xfId="0" applyFill="1" applyBorder="1" applyAlignment="1">
      <alignment vertical="center" wrapText="1"/>
    </xf>
    <xf numFmtId="49" fontId="0" fillId="0" borderId="14" xfId="0" applyNumberFormat="1" applyBorder="1" applyAlignment="1">
      <alignment horizontal="left" vertical="center" wrapText="1"/>
    </xf>
    <xf numFmtId="0" fontId="19" fillId="38" borderId="14" xfId="0" applyFont="1" applyFill="1" applyBorder="1" applyAlignment="1">
      <alignment horizontal="left" wrapText="1"/>
    </xf>
    <xf numFmtId="49" fontId="0" fillId="0" borderId="14" xfId="0" applyNumberFormat="1" applyBorder="1" applyAlignment="1">
      <alignment horizontal="left" wrapText="1"/>
    </xf>
    <xf numFmtId="0" fontId="29" fillId="0" borderId="14" xfId="42" applyFont="1" applyBorder="1" applyAlignment="1">
      <alignment horizontal="center" vertical="center"/>
    </xf>
    <xf numFmtId="0" fontId="30" fillId="0" borderId="14" xfId="0" applyFont="1" applyBorder="1" applyAlignment="1">
      <alignment horizontal="center" vertical="center"/>
    </xf>
    <xf numFmtId="0" fontId="29" fillId="0" borderId="14" xfId="42" applyFont="1" applyBorder="1" applyAlignment="1">
      <alignment horizontal="center"/>
    </xf>
    <xf numFmtId="49" fontId="31" fillId="0" borderId="14" xfId="42" applyNumberFormat="1" applyFont="1" applyBorder="1" applyAlignment="1" applyProtection="1">
      <alignment horizontal="center" wrapText="1"/>
      <protection locked="0"/>
    </xf>
    <xf numFmtId="49" fontId="32" fillId="0" borderId="14" xfId="0" applyNumberFormat="1" applyFont="1" applyBorder="1" applyAlignment="1">
      <alignment horizontal="center" wrapText="1"/>
    </xf>
    <xf numFmtId="49" fontId="33" fillId="0" borderId="14" xfId="0" applyNumberFormat="1" applyFont="1" applyBorder="1" applyAlignment="1">
      <alignment horizontal="center" wrapText="1"/>
    </xf>
    <xf numFmtId="0" fontId="27" fillId="0" borderId="14" xfId="42" applyBorder="1" applyAlignment="1">
      <alignment horizontal="center"/>
    </xf>
    <xf numFmtId="0" fontId="34" fillId="0" borderId="14" xfId="0" applyFont="1" applyBorder="1" applyAlignment="1">
      <alignment horizontal="center"/>
    </xf>
    <xf numFmtId="49" fontId="27" fillId="0" borderId="14" xfId="42" applyNumberFormat="1" applyBorder="1" applyAlignment="1">
      <alignment horizontal="center" wrapText="1"/>
    </xf>
    <xf numFmtId="0" fontId="0" fillId="35" borderId="14" xfId="0" applyFill="1" applyBorder="1" applyAlignment="1">
      <alignment horizontal="left" wrapText="1"/>
    </xf>
    <xf numFmtId="165" fontId="0" fillId="0" borderId="14" xfId="0" applyNumberFormat="1" applyBorder="1"/>
    <xf numFmtId="0" fontId="0" fillId="39" borderId="14" xfId="0" applyFill="1" applyBorder="1" applyAlignment="1">
      <alignment horizontal="center"/>
    </xf>
    <xf numFmtId="0" fontId="0" fillId="40" borderId="14" xfId="0" applyFill="1" applyBorder="1" applyAlignment="1">
      <alignment horizontal="center"/>
    </xf>
    <xf numFmtId="0" fontId="0" fillId="41" borderId="14" xfId="0" applyFill="1" applyBorder="1" applyAlignment="1">
      <alignment horizontal="center"/>
    </xf>
    <xf numFmtId="0" fontId="37" fillId="0" borderId="14" xfId="0" applyFont="1" applyBorder="1" applyAlignment="1">
      <alignment horizontal="center" vertical="center"/>
    </xf>
    <xf numFmtId="49" fontId="27" fillId="37" borderId="14" xfId="42" applyNumberFormat="1" applyFill="1" applyBorder="1" applyAlignment="1" applyProtection="1">
      <alignment horizontal="center" wrapText="1"/>
      <protection locked="0"/>
    </xf>
    <xf numFmtId="0" fontId="19" fillId="33" borderId="14" xfId="0" applyFont="1" applyFill="1" applyBorder="1" applyAlignment="1">
      <alignment wrapText="1"/>
    </xf>
    <xf numFmtId="0" fontId="27" fillId="0" borderId="0" xfId="42" applyBorder="1" applyAlignment="1">
      <alignment horizontal="center"/>
    </xf>
    <xf numFmtId="0" fontId="27" fillId="0" borderId="14" xfId="42" applyBorder="1" applyAlignment="1">
      <alignment horizontal="center" vertical="center"/>
    </xf>
    <xf numFmtId="0" fontId="0" fillId="0" borderId="14" xfId="0" quotePrefix="1" applyBorder="1" applyAlignment="1">
      <alignment horizontal="center" vertical="top" wrapText="1"/>
    </xf>
    <xf numFmtId="0" fontId="38" fillId="0" borderId="14" xfId="0" applyFont="1" applyBorder="1" applyAlignment="1">
      <alignment horizontal="center"/>
    </xf>
    <xf numFmtId="0" fontId="0" fillId="0" borderId="21" xfId="0" applyBorder="1" applyAlignment="1">
      <alignment vertical="center"/>
    </xf>
    <xf numFmtId="49" fontId="0" fillId="37" borderId="21" xfId="0" applyNumberFormat="1" applyFill="1" applyBorder="1" applyAlignment="1" applyProtection="1">
      <alignment vertical="center" wrapText="1"/>
      <protection locked="0"/>
    </xf>
    <xf numFmtId="49" fontId="0" fillId="0" borderId="21" xfId="0" applyNumberFormat="1" applyBorder="1" applyAlignment="1" applyProtection="1">
      <alignment vertical="center" wrapText="1"/>
      <protection locked="0"/>
    </xf>
    <xf numFmtId="14" fontId="0" fillId="0" borderId="18" xfId="0" applyNumberFormat="1" applyBorder="1" applyAlignment="1">
      <alignment horizontal="center"/>
    </xf>
    <xf numFmtId="14" fontId="0" fillId="0" borderId="15" xfId="0" applyNumberFormat="1" applyBorder="1" applyAlignment="1">
      <alignment horizontal="center"/>
    </xf>
    <xf numFmtId="0" fontId="0" fillId="0" borderId="18" xfId="0" applyBorder="1"/>
    <xf numFmtId="0" fontId="0" fillId="0" borderId="13" xfId="0" applyBorder="1" applyAlignment="1">
      <alignment horizontal="center"/>
    </xf>
    <xf numFmtId="49" fontId="0" fillId="37" borderId="11" xfId="0" applyNumberFormat="1" applyFill="1" applyBorder="1" applyAlignment="1" applyProtection="1">
      <alignment horizontal="center" wrapText="1"/>
      <protection locked="0"/>
    </xf>
    <xf numFmtId="0" fontId="0" fillId="0" borderId="10" xfId="0" applyBorder="1" applyAlignment="1">
      <alignment horizontal="center" wrapText="1"/>
    </xf>
    <xf numFmtId="0" fontId="0" fillId="0" borderId="10" xfId="0" applyBorder="1" applyAlignment="1">
      <alignment horizontal="center"/>
    </xf>
    <xf numFmtId="0" fontId="0" fillId="0" borderId="11" xfId="0" applyBorder="1" applyAlignment="1">
      <alignment horizontal="center" wrapText="1"/>
    </xf>
    <xf numFmtId="0" fontId="0" fillId="0" borderId="11" xfId="0" applyBorder="1" applyAlignment="1">
      <alignment horizontal="center" vertical="top" wrapText="1"/>
    </xf>
    <xf numFmtId="164" fontId="0" fillId="0" borderId="11" xfId="0" applyNumberFormat="1" applyBorder="1" applyAlignment="1" applyProtection="1">
      <alignment horizontal="center" wrapText="1"/>
      <protection locked="0"/>
    </xf>
    <xf numFmtId="0" fontId="0" fillId="0" borderId="11" xfId="0" applyBorder="1" applyAlignment="1">
      <alignment horizontal="center" vertical="top"/>
    </xf>
    <xf numFmtId="0" fontId="0" fillId="0" borderId="15" xfId="0" applyBorder="1"/>
    <xf numFmtId="0" fontId="0" fillId="0" borderId="21" xfId="0" applyBorder="1" applyAlignment="1">
      <alignment wrapText="1"/>
    </xf>
    <xf numFmtId="0" fontId="0" fillId="37" borderId="14" xfId="0" applyFill="1" applyBorder="1" applyAlignment="1">
      <alignment vertical="center"/>
    </xf>
    <xf numFmtId="0" fontId="0" fillId="37" borderId="14" xfId="0" applyFill="1" applyBorder="1"/>
    <xf numFmtId="0" fontId="0" fillId="41" borderId="14" xfId="0" applyFill="1" applyBorder="1"/>
    <xf numFmtId="0" fontId="0" fillId="39" borderId="14" xfId="0" applyFill="1" applyBorder="1"/>
    <xf numFmtId="0" fontId="0" fillId="40" borderId="14" xfId="0" applyFill="1" applyBorder="1"/>
    <xf numFmtId="49" fontId="0" fillId="0" borderId="10" xfId="0" applyNumberFormat="1" applyBorder="1" applyAlignment="1" applyProtection="1">
      <alignment horizontal="center" wrapText="1"/>
      <protection locked="0"/>
    </xf>
    <xf numFmtId="0" fontId="0" fillId="0" borderId="14" xfId="0" quotePrefix="1" applyBorder="1" applyAlignment="1">
      <alignment horizontal="center" vertical="top"/>
    </xf>
    <xf numFmtId="0" fontId="0" fillId="0" borderId="14" xfId="0" quotePrefix="1" applyBorder="1" applyAlignment="1">
      <alignment horizontal="center"/>
    </xf>
    <xf numFmtId="0" fontId="35" fillId="0" borderId="14" xfId="42" applyFont="1" applyBorder="1" applyAlignment="1">
      <alignment horizontal="center"/>
    </xf>
    <xf numFmtId="1" fontId="0" fillId="0" borderId="14" xfId="0" applyNumberFormat="1" applyBorder="1" applyAlignment="1" applyProtection="1">
      <alignment horizontal="center" wrapText="1"/>
      <protection locked="0"/>
    </xf>
    <xf numFmtId="0" fontId="36" fillId="0" borderId="14" xfId="0" applyFont="1" applyBorder="1" applyAlignment="1">
      <alignment horizontal="center" vertical="center"/>
    </xf>
    <xf numFmtId="0" fontId="27" fillId="0" borderId="14" xfId="42" applyFill="1" applyBorder="1" applyAlignment="1">
      <alignment horizontal="center"/>
    </xf>
    <xf numFmtId="165" fontId="0" fillId="0" borderId="14" xfId="0" applyNumberFormat="1" applyBorder="1" applyAlignment="1">
      <alignment horizontal="center"/>
    </xf>
    <xf numFmtId="0" fontId="40" fillId="0" borderId="14" xfId="0" applyFont="1" applyBorder="1" applyAlignment="1">
      <alignment horizontal="center"/>
    </xf>
    <xf numFmtId="14" fontId="0" fillId="0" borderId="14" xfId="0" applyNumberFormat="1" applyBorder="1" applyAlignment="1">
      <alignment horizontal="right"/>
    </xf>
    <xf numFmtId="14" fontId="0" fillId="0" borderId="14" xfId="0" applyNumberFormat="1" applyBorder="1" applyAlignment="1">
      <alignment horizontal="right" wrapText="1"/>
    </xf>
    <xf numFmtId="0" fontId="0" fillId="0" borderId="0" xfId="0" applyAlignment="1">
      <alignment horizontal="left"/>
    </xf>
    <xf numFmtId="14" fontId="0" fillId="0" borderId="18" xfId="0" applyNumberFormat="1" applyBorder="1"/>
    <xf numFmtId="14" fontId="0" fillId="0" borderId="15" xfId="0" applyNumberFormat="1" applyBorder="1"/>
    <xf numFmtId="14" fontId="0" fillId="0" borderId="14" xfId="0" applyNumberFormat="1" applyBorder="1" applyAlignment="1">
      <alignment wrapText="1"/>
    </xf>
    <xf numFmtId="14" fontId="0" fillId="37" borderId="14" xfId="0" applyNumberFormat="1" applyFill="1" applyBorder="1" applyAlignment="1" applyProtection="1">
      <alignment wrapText="1"/>
      <protection locked="0"/>
    </xf>
    <xf numFmtId="14" fontId="0" fillId="0" borderId="14" xfId="0" applyNumberFormat="1" applyBorder="1" applyAlignment="1" applyProtection="1">
      <alignment wrapText="1"/>
      <protection locked="0"/>
    </xf>
    <xf numFmtId="14" fontId="0" fillId="37" borderId="14" xfId="0" applyNumberFormat="1" applyFill="1" applyBorder="1"/>
    <xf numFmtId="0" fontId="0" fillId="0" borderId="21" xfId="0" applyBorder="1" applyAlignment="1">
      <alignment horizontal="left"/>
    </xf>
    <xf numFmtId="49" fontId="0" fillId="0" borderId="21" xfId="0" applyNumberFormat="1" applyBorder="1" applyAlignment="1">
      <alignment vertical="center" wrapText="1"/>
    </xf>
    <xf numFmtId="0" fontId="0" fillId="0" borderId="20" xfId="0" applyBorder="1"/>
    <xf numFmtId="0" fontId="0" fillId="0" borderId="18" xfId="0" applyBorder="1" applyAlignment="1">
      <alignment vertical="center"/>
    </xf>
    <xf numFmtId="49" fontId="0" fillId="37" borderId="18" xfId="0" applyNumberFormat="1" applyFill="1" applyBorder="1" applyAlignment="1" applyProtection="1">
      <alignment horizontal="center" wrapText="1"/>
      <protection locked="0"/>
    </xf>
    <xf numFmtId="49" fontId="0" fillId="0" borderId="18" xfId="0" applyNumberFormat="1" applyBorder="1" applyAlignment="1" applyProtection="1">
      <alignment horizontal="center" wrapText="1"/>
      <protection locked="0"/>
    </xf>
    <xf numFmtId="49" fontId="0" fillId="0" borderId="11" xfId="0" applyNumberFormat="1" applyBorder="1" applyAlignment="1">
      <alignment horizontal="center" wrapText="1"/>
    </xf>
    <xf numFmtId="0" fontId="0" fillId="0" borderId="12" xfId="0" applyBorder="1" applyAlignment="1">
      <alignment horizontal="center"/>
    </xf>
    <xf numFmtId="0" fontId="22" fillId="0" borderId="14" xfId="0" applyFont="1" applyBorder="1" applyAlignment="1">
      <alignment horizontal="center"/>
    </xf>
    <xf numFmtId="0" fontId="0" fillId="0" borderId="22" xfId="0" applyBorder="1" applyAlignment="1">
      <alignment horizontal="center"/>
    </xf>
    <xf numFmtId="0" fontId="0" fillId="0" borderId="16" xfId="0" applyBorder="1" applyAlignment="1">
      <alignment horizontal="center"/>
    </xf>
    <xf numFmtId="49" fontId="29" fillId="0" borderId="11" xfId="42" applyNumberFormat="1" applyFont="1" applyBorder="1" applyAlignment="1" applyProtection="1">
      <alignment horizontal="center" wrapText="1"/>
      <protection locked="0"/>
    </xf>
    <xf numFmtId="0" fontId="27" fillId="0" borderId="11" xfId="42" applyBorder="1" applyAlignment="1">
      <alignment horizontal="center"/>
    </xf>
    <xf numFmtId="49" fontId="27" fillId="0" borderId="11" xfId="42" applyNumberFormat="1" applyBorder="1" applyAlignment="1">
      <alignment horizontal="center" wrapText="1"/>
    </xf>
    <xf numFmtId="0" fontId="0" fillId="0" borderId="11" xfId="0" quotePrefix="1" applyBorder="1" applyAlignment="1">
      <alignment horizontal="center" vertical="top" wrapText="1"/>
    </xf>
    <xf numFmtId="0" fontId="23" fillId="0" borderId="11" xfId="0" applyFont="1" applyBorder="1"/>
    <xf numFmtId="0" fontId="0" fillId="37" borderId="21" xfId="0" applyFill="1" applyBorder="1" applyAlignment="1" applyProtection="1">
      <alignment wrapText="1"/>
      <protection locked="0"/>
    </xf>
    <xf numFmtId="0" fontId="42" fillId="0" borderId="14" xfId="0" applyFont="1" applyBorder="1"/>
    <xf numFmtId="0" fontId="41" fillId="0" borderId="14" xfId="0" applyFont="1" applyBorder="1" applyAlignment="1">
      <alignment horizontal="center" vertical="center"/>
    </xf>
    <xf numFmtId="0" fontId="43" fillId="0" borderId="14" xfId="0" applyFont="1" applyBorder="1" applyAlignment="1">
      <alignment horizontal="center"/>
    </xf>
    <xf numFmtId="49" fontId="44" fillId="0" borderId="14" xfId="42" applyNumberFormat="1" applyFont="1" applyBorder="1" applyAlignment="1">
      <alignment horizontal="center" wrapText="1"/>
    </xf>
    <xf numFmtId="0" fontId="44" fillId="0" borderId="14" xfId="42" applyFont="1" applyBorder="1" applyAlignment="1">
      <alignment horizontal="center"/>
    </xf>
    <xf numFmtId="0" fontId="0" fillId="42" borderId="14" xfId="0" applyFill="1" applyBorder="1" applyAlignment="1">
      <alignment horizontal="center"/>
    </xf>
    <xf numFmtId="0" fontId="0" fillId="43" borderId="14" xfId="0" applyFill="1" applyBorder="1" applyAlignment="1">
      <alignment horizontal="center"/>
    </xf>
    <xf numFmtId="0" fontId="0" fillId="44" borderId="14" xfId="0" applyFill="1" applyBorder="1" applyAlignment="1">
      <alignment horizontal="center"/>
    </xf>
    <xf numFmtId="0" fontId="44" fillId="0" borderId="0" xfId="42" applyFont="1" applyBorder="1" applyAlignment="1">
      <alignment horizontal="center"/>
    </xf>
    <xf numFmtId="0" fontId="43" fillId="0" borderId="14" xfId="0" applyFont="1" applyBorder="1" applyAlignment="1">
      <alignment horizontal="left"/>
    </xf>
    <xf numFmtId="0" fontId="43" fillId="0" borderId="14" xfId="0" applyFont="1" applyBorder="1"/>
    <xf numFmtId="0" fontId="44" fillId="0" borderId="14" xfId="42" applyFont="1" applyBorder="1" applyAlignment="1">
      <alignment horizontal="left"/>
    </xf>
    <xf numFmtId="0" fontId="23" fillId="0" borderId="0" xfId="0" applyFont="1"/>
    <xf numFmtId="0" fontId="24" fillId="0" borderId="0" xfId="0" applyFont="1"/>
    <xf numFmtId="0" fontId="0" fillId="0" borderId="0" xfId="0" applyProtection="1">
      <protection locked="0"/>
    </xf>
    <xf numFmtId="0" fontId="0" fillId="45" borderId="14" xfId="0" applyFill="1" applyBorder="1" applyAlignment="1">
      <alignment horizontal="center"/>
    </xf>
    <xf numFmtId="0" fontId="0" fillId="45" borderId="14" xfId="0" applyFill="1" applyBorder="1" applyAlignment="1">
      <alignment horizontal="center" vertical="top"/>
    </xf>
    <xf numFmtId="0" fontId="0" fillId="45" borderId="14" xfId="0" applyFill="1" applyBorder="1" applyAlignment="1">
      <alignment horizontal="center" vertical="top" wrapText="1"/>
    </xf>
    <xf numFmtId="0" fontId="44" fillId="0" borderId="14" xfId="42" applyFont="1" applyBorder="1" applyAlignment="1">
      <alignment horizontal="center" vertical="center"/>
    </xf>
    <xf numFmtId="49" fontId="27" fillId="0" borderId="14" xfId="42" applyNumberFormat="1" applyBorder="1" applyAlignment="1" applyProtection="1">
      <alignment horizontal="center" wrapText="1"/>
      <protection locked="0"/>
    </xf>
    <xf numFmtId="0" fontId="0" fillId="37" borderId="14" xfId="0" applyFill="1" applyBorder="1" applyAlignment="1">
      <alignment horizontal="center" vertical="top"/>
    </xf>
    <xf numFmtId="0" fontId="0" fillId="37" borderId="14" xfId="0" applyFill="1" applyBorder="1" applyAlignment="1">
      <alignment horizontal="center"/>
    </xf>
    <xf numFmtId="0" fontId="22" fillId="43" borderId="14" xfId="0" applyFont="1" applyFill="1" applyBorder="1" applyAlignment="1">
      <alignment horizontal="center"/>
    </xf>
    <xf numFmtId="14" fontId="0" fillId="0" borderId="14" xfId="0" applyNumberFormat="1" applyBorder="1" applyAlignment="1">
      <alignment horizontal="left"/>
    </xf>
    <xf numFmtId="0" fontId="45" fillId="0" borderId="14" xfId="0" applyFont="1" applyBorder="1"/>
    <xf numFmtId="0" fontId="28" fillId="0" borderId="14" xfId="42" applyFont="1" applyBorder="1" applyAlignment="1">
      <alignment horizontal="center"/>
    </xf>
    <xf numFmtId="0" fontId="27" fillId="37" borderId="14" xfId="42" applyFill="1" applyBorder="1" applyAlignment="1">
      <alignment horizontal="center"/>
    </xf>
    <xf numFmtId="166" fontId="0" fillId="0" borderId="14" xfId="0" applyNumberFormat="1" applyBorder="1" applyAlignment="1">
      <alignment horizontal="center"/>
    </xf>
    <xf numFmtId="0" fontId="41" fillId="45" borderId="14" xfId="0" applyFont="1" applyFill="1" applyBorder="1" applyAlignment="1">
      <alignment horizontal="center" vertical="center"/>
    </xf>
    <xf numFmtId="0" fontId="0" fillId="43" borderId="14" xfId="0" applyFill="1" applyBorder="1"/>
    <xf numFmtId="0" fontId="0" fillId="39" borderId="0" xfId="0" applyFill="1"/>
    <xf numFmtId="0" fontId="0" fillId="41" borderId="0" xfId="0" applyFill="1" applyAlignment="1">
      <alignment horizontal="center"/>
    </xf>
    <xf numFmtId="0" fontId="0" fillId="39" borderId="0" xfId="0" applyFill="1" applyAlignment="1">
      <alignment horizontal="center"/>
    </xf>
    <xf numFmtId="0" fontId="0" fillId="39" borderId="18" xfId="0" applyFill="1" applyBorder="1" applyAlignment="1">
      <alignment horizontal="center"/>
    </xf>
    <xf numFmtId="0" fontId="0" fillId="0" borderId="0" xfId="0" applyAlignment="1">
      <alignment vertical="center"/>
    </xf>
    <xf numFmtId="0" fontId="0" fillId="0" borderId="19" xfId="0" applyBorder="1" applyAlignment="1">
      <alignment vertical="center"/>
    </xf>
    <xf numFmtId="49" fontId="0" fillId="37" borderId="20" xfId="0" applyNumberFormat="1" applyFill="1" applyBorder="1" applyAlignment="1" applyProtection="1">
      <alignment vertical="center" wrapText="1"/>
      <protection locked="0"/>
    </xf>
    <xf numFmtId="0" fontId="0" fillId="0" borderId="17" xfId="0" applyBorder="1" applyAlignment="1">
      <alignment vertical="center"/>
    </xf>
    <xf numFmtId="49" fontId="0" fillId="37" borderId="20" xfId="0" applyNumberFormat="1" applyFill="1" applyBorder="1" applyAlignment="1" applyProtection="1">
      <alignment wrapText="1"/>
      <protection locked="0"/>
    </xf>
    <xf numFmtId="14" fontId="0" fillId="0" borderId="0" xfId="0" applyNumberFormat="1" applyAlignment="1">
      <alignment horizontal="center"/>
    </xf>
    <xf numFmtId="0" fontId="0" fillId="0" borderId="15" xfId="0" applyBorder="1" applyAlignment="1">
      <alignment horizontal="center"/>
    </xf>
    <xf numFmtId="49" fontId="0" fillId="37" borderId="0" xfId="0" applyNumberFormat="1" applyFill="1" applyAlignment="1" applyProtection="1">
      <alignment horizontal="center" wrapText="1"/>
      <protection locked="0"/>
    </xf>
    <xf numFmtId="14" fontId="0" fillId="0" borderId="0" xfId="0" applyNumberFormat="1"/>
    <xf numFmtId="14" fontId="0" fillId="37" borderId="0" xfId="0" applyNumberFormat="1" applyFill="1" applyAlignment="1" applyProtection="1">
      <alignment wrapText="1"/>
      <protection locked="0"/>
    </xf>
    <xf numFmtId="14" fontId="0" fillId="0" borderId="0" xfId="0" applyNumberFormat="1" applyAlignment="1">
      <alignment wrapText="1"/>
    </xf>
    <xf numFmtId="14" fontId="0" fillId="0" borderId="21" xfId="0" applyNumberFormat="1" applyBorder="1"/>
    <xf numFmtId="14" fontId="0" fillId="0" borderId="0" xfId="0" applyNumberFormat="1" applyAlignment="1">
      <alignment horizontal="center" wrapText="1"/>
    </xf>
    <xf numFmtId="14" fontId="0" fillId="37" borderId="20" xfId="0" applyNumberFormat="1" applyFill="1" applyBorder="1" applyAlignment="1" applyProtection="1">
      <alignment horizontal="center" wrapText="1"/>
      <protection locked="0"/>
    </xf>
    <xf numFmtId="0" fontId="0" fillId="0" borderId="0" xfId="0" applyAlignment="1">
      <alignment horizontal="center" vertical="center"/>
    </xf>
    <xf numFmtId="0" fontId="0" fillId="37" borderId="20" xfId="0" applyFill="1" applyBorder="1" applyAlignment="1" applyProtection="1">
      <alignment horizontal="center" vertical="center" wrapText="1"/>
      <protection locked="0"/>
    </xf>
    <xf numFmtId="0" fontId="0" fillId="0" borderId="18" xfId="0" applyBorder="1" applyAlignment="1">
      <alignment horizontal="center" vertical="center"/>
    </xf>
    <xf numFmtId="49" fontId="0" fillId="0" borderId="20" xfId="0" applyNumberFormat="1" applyBorder="1" applyAlignment="1" applyProtection="1">
      <alignment horizontal="center" wrapText="1"/>
      <protection locked="0"/>
    </xf>
    <xf numFmtId="49" fontId="0" fillId="37" borderId="20" xfId="0" applyNumberFormat="1" applyFill="1" applyBorder="1" applyAlignment="1" applyProtection="1">
      <alignment horizontal="center" wrapText="1"/>
      <protection locked="0"/>
    </xf>
    <xf numFmtId="0" fontId="0" fillId="0" borderId="17" xfId="0" applyBorder="1" applyAlignment="1">
      <alignment horizontal="center"/>
    </xf>
    <xf numFmtId="2" fontId="0" fillId="0" borderId="0" xfId="0" applyNumberFormat="1" applyAlignment="1" applyProtection="1">
      <alignment horizontal="center" wrapText="1"/>
      <protection locked="0"/>
    </xf>
    <xf numFmtId="164" fontId="0" fillId="0" borderId="0" xfId="0" applyNumberFormat="1" applyAlignment="1" applyProtection="1">
      <alignment horizontal="center" wrapText="1"/>
      <protection locked="0"/>
    </xf>
    <xf numFmtId="0" fontId="0" fillId="0" borderId="0" xfId="0" applyAlignment="1" applyProtection="1">
      <alignment horizontal="center" vertical="top" wrapText="1"/>
      <protection locked="0"/>
    </xf>
    <xf numFmtId="0" fontId="30" fillId="0" borderId="11" xfId="0" applyFont="1" applyBorder="1" applyAlignment="1">
      <alignment horizontal="center" vertical="center"/>
    </xf>
    <xf numFmtId="0" fontId="29" fillId="0" borderId="13" xfId="42" applyFont="1" applyBorder="1" applyAlignment="1">
      <alignment horizontal="center" vertical="center"/>
    </xf>
    <xf numFmtId="0" fontId="29" fillId="0" borderId="0" xfId="42" applyFont="1" applyBorder="1" applyAlignment="1">
      <alignment horizontal="center"/>
    </xf>
    <xf numFmtId="0" fontId="0" fillId="0" borderId="0" xfId="0" applyAlignment="1">
      <alignment horizontal="center" vertical="top" wrapText="1"/>
    </xf>
    <xf numFmtId="0" fontId="0" fillId="0" borderId="24" xfId="0" applyBorder="1" applyAlignment="1">
      <alignment horizontal="center"/>
    </xf>
    <xf numFmtId="0" fontId="0" fillId="0" borderId="0" xfId="0" applyAlignment="1" applyProtection="1">
      <alignment horizontal="center"/>
      <protection locked="0"/>
    </xf>
    <xf numFmtId="0" fontId="0" fillId="0" borderId="0" xfId="0" applyAlignment="1">
      <alignment horizontal="center" vertical="top"/>
    </xf>
    <xf numFmtId="0" fontId="0" fillId="0" borderId="21" xfId="0" applyBorder="1" applyAlignment="1" applyProtection="1">
      <alignment horizontal="center" vertical="top" wrapText="1"/>
      <protection locked="0"/>
    </xf>
    <xf numFmtId="0" fontId="0" fillId="0" borderId="13" xfId="0" applyBorder="1" applyAlignment="1">
      <alignment horizontal="center" vertical="top"/>
    </xf>
    <xf numFmtId="49" fontId="0" fillId="37" borderId="21" xfId="0" applyNumberFormat="1" applyFill="1" applyBorder="1" applyAlignment="1" applyProtection="1">
      <alignment wrapText="1"/>
      <protection locked="0"/>
    </xf>
    <xf numFmtId="164" fontId="0" fillId="0" borderId="13" xfId="0" applyNumberFormat="1" applyBorder="1" applyAlignment="1" applyProtection="1">
      <alignment wrapText="1"/>
      <protection locked="0"/>
    </xf>
    <xf numFmtId="0" fontId="43" fillId="0" borderId="0" xfId="0" applyFont="1" applyAlignment="1">
      <alignment horizontal="left"/>
    </xf>
    <xf numFmtId="0" fontId="43" fillId="0" borderId="0" xfId="0" applyFont="1"/>
    <xf numFmtId="0" fontId="27" fillId="0" borderId="14" xfId="42" applyFill="1" applyBorder="1" applyAlignment="1">
      <alignment horizontal="center" vertical="center"/>
    </xf>
    <xf numFmtId="0" fontId="47" fillId="0" borderId="14" xfId="0" applyFont="1" applyBorder="1" applyAlignment="1">
      <alignment horizontal="center"/>
    </xf>
    <xf numFmtId="14" fontId="0" fillId="46" borderId="14" xfId="0" applyNumberFormat="1" applyFill="1" applyBorder="1" applyAlignment="1">
      <alignment horizontal="center" wrapText="1"/>
    </xf>
    <xf numFmtId="165" fontId="0" fillId="37" borderId="14" xfId="0" applyNumberFormat="1" applyFill="1" applyBorder="1" applyAlignment="1">
      <alignment horizontal="center"/>
    </xf>
    <xf numFmtId="14" fontId="0" fillId="37" borderId="14" xfId="0" applyNumberFormat="1" applyFill="1" applyBorder="1" applyAlignment="1">
      <alignment horizontal="center"/>
    </xf>
    <xf numFmtId="0" fontId="0" fillId="37" borderId="14" xfId="0" applyFill="1" applyBorder="1" applyAlignment="1">
      <alignment horizontal="left"/>
    </xf>
    <xf numFmtId="0" fontId="46" fillId="0" borderId="14" xfId="42" applyFont="1" applyBorder="1" applyAlignment="1">
      <alignment horizontal="center"/>
    </xf>
    <xf numFmtId="0" fontId="27" fillId="0" borderId="14" xfId="42" applyBorder="1" applyAlignment="1">
      <alignment horizontal="left"/>
    </xf>
    <xf numFmtId="0" fontId="39" fillId="0" borderId="14" xfId="0" applyFont="1" applyBorder="1" applyAlignment="1">
      <alignment horizontal="center"/>
    </xf>
    <xf numFmtId="0" fontId="1" fillId="0" borderId="14" xfId="0" applyFont="1" applyBorder="1" applyAlignment="1">
      <alignment horizontal="center" vertical="center"/>
    </xf>
    <xf numFmtId="0" fontId="0" fillId="47" borderId="14" xfId="0" applyFill="1" applyBorder="1" applyAlignment="1">
      <alignment horizontal="center"/>
    </xf>
    <xf numFmtId="0" fontId="27" fillId="37" borderId="0" xfId="42" applyFill="1" applyBorder="1" applyAlignment="1">
      <alignment horizontal="center"/>
    </xf>
    <xf numFmtId="49" fontId="27" fillId="0" borderId="14" xfId="42" applyNumberFormat="1" applyFill="1" applyBorder="1" applyAlignment="1">
      <alignment horizontal="center" wrapText="1"/>
    </xf>
    <xf numFmtId="0" fontId="27" fillId="0" borderId="14" xfId="42" applyFill="1" applyBorder="1" applyAlignment="1">
      <alignment horizontal="left"/>
    </xf>
    <xf numFmtId="0" fontId="0" fillId="43" borderId="14" xfId="0" applyFill="1" applyBorder="1" applyAlignment="1">
      <alignment vertical="center"/>
    </xf>
    <xf numFmtId="165" fontId="0" fillId="43" borderId="14" xfId="0" applyNumberFormat="1" applyFill="1" applyBorder="1" applyAlignment="1">
      <alignment horizontal="center"/>
    </xf>
    <xf numFmtId="14" fontId="0" fillId="43" borderId="14" xfId="0" applyNumberFormat="1" applyFill="1" applyBorder="1" applyAlignment="1">
      <alignment horizontal="center"/>
    </xf>
    <xf numFmtId="14" fontId="1" fillId="43" borderId="14" xfId="0" applyNumberFormat="1" applyFont="1" applyFill="1" applyBorder="1" applyAlignment="1">
      <alignment horizontal="center"/>
    </xf>
    <xf numFmtId="14" fontId="22" fillId="43" borderId="14" xfId="0" applyNumberFormat="1" applyFont="1" applyFill="1" applyBorder="1" applyAlignment="1">
      <alignment horizontal="center"/>
    </xf>
    <xf numFmtId="49" fontId="27" fillId="0" borderId="0" xfId="42" applyNumberFormat="1" applyBorder="1" applyAlignment="1">
      <alignment horizontal="center" wrapText="1"/>
    </xf>
    <xf numFmtId="0" fontId="0" fillId="47" borderId="14" xfId="0" applyFill="1" applyBorder="1" applyAlignment="1">
      <alignment vertical="center"/>
    </xf>
    <xf numFmtId="14" fontId="0" fillId="47" borderId="14" xfId="0" applyNumberFormat="1" applyFill="1" applyBorder="1" applyAlignment="1">
      <alignment horizontal="center"/>
    </xf>
    <xf numFmtId="0" fontId="0" fillId="37" borderId="0" xfId="0" applyFill="1" applyAlignment="1">
      <alignment horizontal="center"/>
    </xf>
    <xf numFmtId="0" fontId="27" fillId="0" borderId="0" xfId="42" applyBorder="1" applyAlignment="1">
      <alignment horizontal="center" vertical="center"/>
    </xf>
    <xf numFmtId="49" fontId="48" fillId="0" borderId="14" xfId="42" applyNumberFormat="1" applyFont="1" applyBorder="1" applyAlignment="1">
      <alignment horizontal="center" wrapText="1"/>
    </xf>
    <xf numFmtId="0" fontId="26" fillId="0" borderId="14" xfId="0" applyFont="1" applyBorder="1" applyAlignment="1">
      <alignment horizontal="center" vertical="center"/>
    </xf>
    <xf numFmtId="0" fontId="27" fillId="0" borderId="14" xfId="42" applyBorder="1" applyAlignment="1">
      <alignment horizontal="center" vertical="top"/>
    </xf>
    <xf numFmtId="0" fontId="27" fillId="0" borderId="0" xfId="42" applyFill="1" applyBorder="1" applyAlignment="1">
      <alignment horizontal="center"/>
    </xf>
    <xf numFmtId="0" fontId="27" fillId="0" borderId="14" xfId="42" applyBorder="1" applyAlignment="1">
      <alignment horizontal="center" wrapText="1"/>
    </xf>
    <xf numFmtId="14" fontId="15" fillId="0" borderId="14" xfId="0" applyNumberFormat="1" applyFont="1" applyBorder="1" applyAlignment="1">
      <alignment horizontal="center"/>
    </xf>
    <xf numFmtId="0" fontId="0" fillId="33" borderId="14" xfId="0" applyFill="1" applyBorder="1" applyAlignment="1">
      <alignment horizontal="center"/>
    </xf>
    <xf numFmtId="0" fontId="0" fillId="37" borderId="14" xfId="0" applyFill="1" applyBorder="1" applyAlignment="1">
      <alignment horizontal="center" vertical="top" wrapText="1"/>
    </xf>
    <xf numFmtId="16" fontId="0" fillId="0" borderId="14" xfId="0" applyNumberFormat="1" applyBorder="1"/>
    <xf numFmtId="0" fontId="22" fillId="0" borderId="14" xfId="0" applyFont="1" applyBorder="1" applyAlignment="1">
      <alignment vertical="center"/>
    </xf>
    <xf numFmtId="0" fontId="49" fillId="0" borderId="14" xfId="0" applyFont="1" applyBorder="1" applyAlignment="1">
      <alignment horizontal="center" vertical="center"/>
    </xf>
    <xf numFmtId="0" fontId="27" fillId="45" borderId="14" xfId="42" applyFill="1" applyBorder="1" applyAlignment="1">
      <alignment horizontal="center"/>
    </xf>
    <xf numFmtId="0" fontId="0" fillId="45" borderId="14" xfId="0" applyFill="1" applyBorder="1" applyAlignment="1">
      <alignment horizontal="center" vertical="center"/>
    </xf>
    <xf numFmtId="0" fontId="27" fillId="37" borderId="14" xfId="42" applyFill="1" applyBorder="1" applyAlignment="1">
      <alignment horizontal="center" vertical="center"/>
    </xf>
    <xf numFmtId="0" fontId="0" fillId="37" borderId="14" xfId="0" quotePrefix="1" applyFill="1" applyBorder="1" applyAlignment="1">
      <alignment horizontal="center" vertical="top"/>
    </xf>
    <xf numFmtId="0" fontId="27" fillId="45" borderId="14" xfId="42" applyFill="1" applyBorder="1" applyAlignment="1">
      <alignment horizontal="center" vertical="center"/>
    </xf>
    <xf numFmtId="0" fontId="27" fillId="45" borderId="0" xfId="42" applyFill="1" applyBorder="1" applyAlignment="1">
      <alignment horizontal="center"/>
    </xf>
    <xf numFmtId="14" fontId="0" fillId="45" borderId="14" xfId="0" applyNumberFormat="1" applyFill="1" applyBorder="1" applyAlignment="1">
      <alignment horizontal="center"/>
    </xf>
    <xf numFmtId="0" fontId="0" fillId="45" borderId="14" xfId="0" applyFill="1" applyBorder="1" applyAlignment="1">
      <alignment horizontal="left"/>
    </xf>
    <xf numFmtId="0" fontId="0" fillId="45" borderId="14" xfId="0" applyFill="1" applyBorder="1"/>
    <xf numFmtId="14" fontId="0" fillId="48" borderId="14" xfId="0" applyNumberFormat="1" applyFill="1" applyBorder="1" applyAlignment="1">
      <alignment horizontal="center"/>
    </xf>
    <xf numFmtId="0" fontId="27" fillId="0" borderId="14" xfId="42" applyBorder="1"/>
    <xf numFmtId="0" fontId="51" fillId="0" borderId="14" xfId="0" applyFont="1" applyBorder="1" applyAlignment="1">
      <alignment horizontal="center"/>
    </xf>
    <xf numFmtId="0" fontId="0" fillId="45" borderId="0" xfId="0" applyFill="1" applyAlignment="1">
      <alignment horizontal="center"/>
    </xf>
    <xf numFmtId="0" fontId="42" fillId="0" borderId="21" xfId="0" applyFont="1" applyBorder="1"/>
    <xf numFmtId="0" fontId="27" fillId="0" borderId="21" xfId="42" applyFill="1" applyBorder="1" applyAlignment="1"/>
    <xf numFmtId="0" fontId="42" fillId="51" borderId="14" xfId="0" applyFont="1" applyFill="1" applyBorder="1"/>
    <xf numFmtId="0" fontId="42" fillId="51" borderId="17" xfId="0" applyFont="1" applyFill="1" applyBorder="1"/>
    <xf numFmtId="0" fontId="42" fillId="0" borderId="25" xfId="0" applyFont="1" applyBorder="1"/>
    <xf numFmtId="0" fontId="27" fillId="0" borderId="0" xfId="42" applyFill="1" applyBorder="1" applyAlignment="1"/>
    <xf numFmtId="0" fontId="42" fillId="0" borderId="17" xfId="0" applyFont="1" applyBorder="1"/>
    <xf numFmtId="0" fontId="53" fillId="0" borderId="25" xfId="0" applyFont="1" applyBorder="1"/>
    <xf numFmtId="0" fontId="42" fillId="0" borderId="0" xfId="0" applyFont="1"/>
    <xf numFmtId="0" fontId="27" fillId="0" borderId="25" xfId="42" applyFill="1" applyBorder="1" applyAlignment="1"/>
    <xf numFmtId="0" fontId="42" fillId="49" borderId="17" xfId="0" applyFont="1" applyFill="1" applyBorder="1"/>
    <xf numFmtId="0" fontId="52" fillId="0" borderId="25" xfId="0" applyFont="1" applyBorder="1"/>
    <xf numFmtId="0" fontId="42" fillId="49" borderId="14" xfId="0" applyFont="1" applyFill="1" applyBorder="1" applyAlignment="1">
      <alignment horizontal="center" vertical="center"/>
    </xf>
    <xf numFmtId="0" fontId="42" fillId="49" borderId="14" xfId="0" applyFont="1" applyFill="1" applyBorder="1" applyAlignment="1">
      <alignment horizontal="center"/>
    </xf>
    <xf numFmtId="0" fontId="42" fillId="0" borderId="21" xfId="0" applyFont="1" applyBorder="1" applyAlignment="1">
      <alignment horizontal="center"/>
    </xf>
    <xf numFmtId="14" fontId="42" fillId="0" borderId="21" xfId="0" applyNumberFormat="1" applyFont="1" applyBorder="1" applyAlignment="1">
      <alignment horizontal="center"/>
    </xf>
    <xf numFmtId="0" fontId="42" fillId="52" borderId="14" xfId="0" applyFont="1" applyFill="1" applyBorder="1" applyAlignment="1">
      <alignment horizontal="center"/>
    </xf>
    <xf numFmtId="14" fontId="42" fillId="0" borderId="25" xfId="0" applyNumberFormat="1" applyFont="1" applyBorder="1" applyAlignment="1">
      <alignment horizontal="center"/>
    </xf>
    <xf numFmtId="0" fontId="42" fillId="0" borderId="25" xfId="0" applyFont="1" applyBorder="1" applyAlignment="1">
      <alignment horizontal="center"/>
    </xf>
    <xf numFmtId="0" fontId="42" fillId="50" borderId="25" xfId="0" applyFont="1" applyFill="1" applyBorder="1" applyAlignment="1">
      <alignment horizontal="center"/>
    </xf>
    <xf numFmtId="0" fontId="42" fillId="0" borderId="17" xfId="0" applyFont="1" applyBorder="1" applyAlignment="1">
      <alignment horizontal="center"/>
    </xf>
    <xf numFmtId="0" fontId="42" fillId="0" borderId="14" xfId="0" applyFont="1" applyBorder="1" applyAlignment="1">
      <alignment horizontal="center"/>
    </xf>
    <xf numFmtId="14" fontId="0" fillId="0" borderId="21" xfId="0" applyNumberFormat="1" applyBorder="1" applyAlignment="1">
      <alignment horizontal="center"/>
    </xf>
    <xf numFmtId="0" fontId="0" fillId="0" borderId="21" xfId="0" applyBorder="1" applyAlignment="1">
      <alignment horizontal="center" vertical="center"/>
    </xf>
    <xf numFmtId="0" fontId="52" fillId="0" borderId="14" xfId="0" applyFont="1" applyBorder="1"/>
    <xf numFmtId="0" fontId="27" fillId="0" borderId="21" xfId="42" applyBorder="1" applyAlignment="1">
      <alignment horizontal="center"/>
    </xf>
    <xf numFmtId="0" fontId="27" fillId="0" borderId="21" xfId="42" applyBorder="1" applyAlignment="1">
      <alignment horizontal="left"/>
    </xf>
    <xf numFmtId="0" fontId="43" fillId="0" borderId="21" xfId="0" applyFont="1" applyBorder="1" applyAlignment="1">
      <alignment horizontal="left"/>
    </xf>
    <xf numFmtId="0" fontId="27" fillId="0" borderId="14" xfId="42" applyFill="1" applyBorder="1" applyAlignment="1"/>
    <xf numFmtId="0" fontId="42" fillId="51" borderId="14" xfId="0" applyFont="1" applyFill="1" applyBorder="1" applyAlignment="1">
      <alignment horizontal="center"/>
    </xf>
    <xf numFmtId="0" fontId="0" fillId="37" borderId="21" xfId="0" applyFill="1" applyBorder="1" applyAlignment="1">
      <alignment horizontal="center"/>
    </xf>
    <xf numFmtId="0" fontId="53" fillId="0" borderId="14" xfId="0" applyFont="1" applyBorder="1"/>
    <xf numFmtId="0" fontId="27" fillId="0" borderId="21" xfId="42" applyFill="1" applyBorder="1" applyAlignment="1">
      <alignment horizontal="left"/>
    </xf>
    <xf numFmtId="0" fontId="42" fillId="0" borderId="14" xfId="0" applyFont="1" applyBorder="1" applyAlignment="1">
      <alignment wrapText="1"/>
    </xf>
    <xf numFmtId="0" fontId="54" fillId="0" borderId="14" xfId="0" applyFont="1" applyBorder="1" applyAlignment="1">
      <alignment horizontal="left"/>
    </xf>
    <xf numFmtId="0" fontId="54" fillId="0" borderId="14" xfId="0" applyFont="1" applyBorder="1" applyAlignment="1">
      <alignment vertical="center"/>
    </xf>
    <xf numFmtId="165" fontId="0" fillId="0" borderId="21" xfId="0" applyNumberFormat="1" applyBorder="1" applyAlignment="1">
      <alignment horizontal="center"/>
    </xf>
    <xf numFmtId="0" fontId="42" fillId="0" borderId="14" xfId="0" applyFont="1" applyBorder="1" applyAlignment="1">
      <alignment horizontal="center" vertical="center"/>
    </xf>
    <xf numFmtId="0" fontId="27" fillId="0" borderId="21" xfId="42" applyFill="1" applyBorder="1" applyAlignment="1">
      <alignment horizontal="center" vertical="center"/>
    </xf>
    <xf numFmtId="0" fontId="0" fillId="0" borderId="21" xfId="0" applyBorder="1" applyAlignment="1">
      <alignment horizontal="center" vertical="top"/>
    </xf>
    <xf numFmtId="0" fontId="27" fillId="37" borderId="0" xfId="42" applyFill="1" applyBorder="1" applyAlignment="1">
      <alignment horizontal="center" vertical="center"/>
    </xf>
    <xf numFmtId="0" fontId="27" fillId="37" borderId="21" xfId="42" applyFill="1" applyBorder="1" applyAlignment="1">
      <alignment horizontal="center"/>
    </xf>
    <xf numFmtId="0" fontId="27" fillId="0" borderId="0" xfId="42" applyAlignment="1">
      <alignment horizontal="center"/>
    </xf>
    <xf numFmtId="0" fontId="0" fillId="37" borderId="21" xfId="0" applyFill="1" applyBorder="1" applyAlignment="1">
      <alignment horizontal="center" vertical="top"/>
    </xf>
    <xf numFmtId="0" fontId="26" fillId="37" borderId="21" xfId="0" applyFont="1" applyFill="1" applyBorder="1" applyAlignment="1">
      <alignment horizontal="center" vertical="center"/>
    </xf>
    <xf numFmtId="49" fontId="48" fillId="0" borderId="14" xfId="42" applyNumberFormat="1" applyFont="1" applyFill="1" applyBorder="1" applyAlignment="1" applyProtection="1">
      <alignment horizontal="center" wrapText="1"/>
      <protection locked="0"/>
    </xf>
    <xf numFmtId="0" fontId="42" fillId="45" borderId="14" xfId="0" applyFont="1" applyFill="1" applyBorder="1"/>
    <xf numFmtId="0" fontId="56" fillId="0" borderId="14" xfId="0" applyFont="1" applyBorder="1"/>
    <xf numFmtId="14" fontId="0" fillId="46" borderId="14" xfId="0" applyNumberFormat="1" applyFill="1" applyBorder="1" applyAlignment="1">
      <alignment horizontal="center"/>
    </xf>
    <xf numFmtId="0" fontId="27" fillId="0" borderId="0" xfId="42" applyFill="1" applyBorder="1" applyAlignment="1">
      <alignment horizontal="center" vertical="center"/>
    </xf>
    <xf numFmtId="0" fontId="42" fillId="0" borderId="14" xfId="0" applyFont="1" applyBorder="1" applyAlignment="1">
      <alignment horizontal="left"/>
    </xf>
    <xf numFmtId="0" fontId="56" fillId="51" borderId="14" xfId="0" applyFont="1" applyFill="1" applyBorder="1" applyAlignment="1">
      <alignment horizontal="center"/>
    </xf>
    <xf numFmtId="14" fontId="0" fillId="37" borderId="21" xfId="0" applyNumberFormat="1" applyFill="1" applyBorder="1" applyAlignment="1">
      <alignment horizontal="center"/>
    </xf>
    <xf numFmtId="0" fontId="42" fillId="37" borderId="14" xfId="0" applyFont="1" applyFill="1" applyBorder="1" applyAlignment="1">
      <alignment horizontal="center" vertical="center"/>
    </xf>
    <xf numFmtId="0" fontId="27" fillId="0" borderId="0" xfId="42" applyBorder="1"/>
    <xf numFmtId="14" fontId="0" fillId="0" borderId="14" xfId="0" applyNumberFormat="1" applyBorder="1" applyAlignment="1">
      <alignment horizontal="center" vertical="center"/>
    </xf>
    <xf numFmtId="14" fontId="0" fillId="37" borderId="14" xfId="0" applyNumberFormat="1" applyFill="1" applyBorder="1" applyAlignment="1">
      <alignment horizontal="center" vertical="center"/>
    </xf>
    <xf numFmtId="14" fontId="0" fillId="37" borderId="14" xfId="0" applyNumberFormat="1" applyFill="1" applyBorder="1" applyAlignment="1">
      <alignment horizontal="center" vertical="center" wrapText="1"/>
    </xf>
    <xf numFmtId="14" fontId="0" fillId="0" borderId="21" xfId="0" applyNumberFormat="1" applyBorder="1" applyAlignment="1">
      <alignment horizontal="center" vertical="center"/>
    </xf>
    <xf numFmtId="14" fontId="0" fillId="0" borderId="14" xfId="0" applyNumberFormat="1" applyBorder="1" applyAlignment="1">
      <alignment horizontal="center" vertical="center" wrapText="1"/>
    </xf>
    <xf numFmtId="0" fontId="42" fillId="0" borderId="14" xfId="0" applyFont="1" applyBorder="1" applyAlignment="1">
      <alignment horizontal="center" wrapText="1"/>
    </xf>
    <xf numFmtId="0" fontId="42" fillId="37" borderId="14" xfId="0" applyFont="1" applyFill="1" applyBorder="1" applyAlignment="1">
      <alignment horizontal="center" wrapText="1"/>
    </xf>
    <xf numFmtId="0" fontId="42" fillId="50" borderId="14" xfId="0" applyFont="1" applyFill="1" applyBorder="1" applyAlignment="1">
      <alignment horizontal="center" wrapText="1"/>
    </xf>
    <xf numFmtId="0" fontId="42" fillId="37" borderId="14" xfId="0" applyFont="1" applyFill="1" applyBorder="1" applyAlignment="1">
      <alignment horizontal="center" vertical="center" wrapText="1"/>
    </xf>
    <xf numFmtId="0" fontId="42" fillId="0" borderId="0" xfId="0" applyFont="1" applyAlignment="1">
      <alignment wrapText="1"/>
    </xf>
    <xf numFmtId="14" fontId="22" fillId="37" borderId="14" xfId="0" applyNumberFormat="1" applyFont="1" applyFill="1" applyBorder="1" applyAlignment="1">
      <alignment horizontal="center"/>
    </xf>
    <xf numFmtId="0" fontId="0" fillId="53" borderId="14" xfId="0" applyFill="1" applyBorder="1"/>
    <xf numFmtId="14" fontId="22" fillId="37" borderId="14" xfId="0" applyNumberFormat="1" applyFont="1" applyFill="1" applyBorder="1" applyAlignment="1">
      <alignment horizontal="center" vertical="center"/>
    </xf>
    <xf numFmtId="0" fontId="27" fillId="0" borderId="21" xfId="42" applyBorder="1" applyAlignment="1">
      <alignment horizontal="center" vertical="center"/>
    </xf>
    <xf numFmtId="0" fontId="52" fillId="0" borderId="14" xfId="0" applyFont="1" applyBorder="1" applyAlignment="1">
      <alignment horizontal="center"/>
    </xf>
    <xf numFmtId="0" fontId="33" fillId="0" borderId="0" xfId="0" applyFont="1"/>
    <xf numFmtId="14" fontId="0" fillId="37" borderId="21" xfId="0" applyNumberFormat="1" applyFill="1" applyBorder="1" applyAlignment="1">
      <alignment horizontal="center" vertical="center"/>
    </xf>
    <xf numFmtId="0" fontId="0" fillId="0" borderId="27" xfId="0" applyBorder="1"/>
    <xf numFmtId="0" fontId="0" fillId="0" borderId="15" xfId="0" applyBorder="1" applyAlignment="1">
      <alignment vertical="center"/>
    </xf>
    <xf numFmtId="0" fontId="0" fillId="0" borderId="17" xfId="0" applyBorder="1"/>
    <xf numFmtId="0" fontId="56" fillId="37" borderId="14" xfId="0" applyFont="1" applyFill="1" applyBorder="1" applyAlignment="1">
      <alignment horizontal="center" wrapText="1"/>
    </xf>
    <xf numFmtId="0" fontId="50" fillId="0" borderId="14" xfId="0" applyFont="1" applyBorder="1" applyAlignment="1">
      <alignment horizontal="center" vertical="center"/>
    </xf>
    <xf numFmtId="49" fontId="0" fillId="0" borderId="15" xfId="0" applyNumberFormat="1" applyBorder="1" applyAlignment="1">
      <alignment vertical="center" wrapText="1"/>
    </xf>
    <xf numFmtId="49" fontId="0" fillId="0" borderId="27" xfId="0" applyNumberFormat="1" applyBorder="1" applyAlignment="1">
      <alignment wrapText="1"/>
    </xf>
    <xf numFmtId="0" fontId="0" fillId="38" borderId="14" xfId="0" applyFill="1" applyBorder="1"/>
    <xf numFmtId="14" fontId="0" fillId="45" borderId="14" xfId="0" applyNumberFormat="1" applyFill="1" applyBorder="1" applyAlignment="1">
      <alignment horizontal="center" vertical="center"/>
    </xf>
    <xf numFmtId="14" fontId="0" fillId="37" borderId="17" xfId="0" applyNumberFormat="1" applyFill="1" applyBorder="1" applyAlignment="1">
      <alignment horizontal="center" vertical="center"/>
    </xf>
    <xf numFmtId="0" fontId="0" fillId="34" borderId="14" xfId="0" applyFill="1" applyBorder="1" applyAlignment="1">
      <alignment horizontal="center"/>
    </xf>
    <xf numFmtId="0" fontId="52" fillId="37" borderId="14" xfId="0" applyFont="1" applyFill="1" applyBorder="1" applyAlignment="1">
      <alignment horizontal="center"/>
    </xf>
    <xf numFmtId="0" fontId="27" fillId="54" borderId="14" xfId="42" applyFill="1" applyBorder="1" applyAlignment="1">
      <alignment horizontal="center"/>
    </xf>
    <xf numFmtId="0" fontId="0" fillId="53" borderId="14" xfId="0" applyFill="1" applyBorder="1" applyAlignment="1">
      <alignment horizontal="center"/>
    </xf>
    <xf numFmtId="0" fontId="0" fillId="45" borderId="21" xfId="0" applyFill="1" applyBorder="1" applyAlignment="1">
      <alignment horizontal="center"/>
    </xf>
    <xf numFmtId="165" fontId="0" fillId="45" borderId="21" xfId="0" applyNumberFormat="1" applyFill="1" applyBorder="1" applyAlignment="1">
      <alignment horizontal="center"/>
    </xf>
    <xf numFmtId="14" fontId="0" fillId="45" borderId="21" xfId="0" applyNumberFormat="1" applyFill="1" applyBorder="1" applyAlignment="1">
      <alignment horizontal="center"/>
    </xf>
    <xf numFmtId="0" fontId="0" fillId="45" borderId="21" xfId="0" applyFill="1" applyBorder="1" applyAlignment="1">
      <alignment horizontal="center" vertical="top"/>
    </xf>
    <xf numFmtId="0" fontId="0" fillId="54" borderId="14" xfId="0" applyFill="1" applyBorder="1" applyAlignment="1">
      <alignment horizontal="center"/>
    </xf>
    <xf numFmtId="14" fontId="0" fillId="54" borderId="14" xfId="0" applyNumberFormat="1" applyFill="1" applyBorder="1" applyAlignment="1">
      <alignment horizontal="center"/>
    </xf>
    <xf numFmtId="0" fontId="0" fillId="54" borderId="14" xfId="0" applyFill="1" applyBorder="1" applyAlignment="1">
      <alignment horizontal="center" vertical="center"/>
    </xf>
    <xf numFmtId="0" fontId="0" fillId="54" borderId="14" xfId="0" applyFill="1" applyBorder="1"/>
    <xf numFmtId="0" fontId="0" fillId="54" borderId="14" xfId="0" applyFill="1" applyBorder="1" applyAlignment="1">
      <alignment horizontal="center" vertical="top"/>
    </xf>
    <xf numFmtId="0" fontId="43" fillId="54" borderId="14" xfId="0" applyFont="1" applyFill="1" applyBorder="1" applyAlignment="1">
      <alignment horizontal="left"/>
    </xf>
    <xf numFmtId="0" fontId="0" fillId="37" borderId="0" xfId="0" applyFill="1"/>
    <xf numFmtId="49" fontId="0" fillId="0" borderId="0" xfId="0" applyNumberFormat="1" applyAlignment="1">
      <alignment wrapText="1"/>
    </xf>
    <xf numFmtId="0" fontId="0" fillId="0" borderId="14" xfId="0" applyBorder="1" applyAlignment="1">
      <alignment horizontal="center" vertical="center" indent="1"/>
    </xf>
    <xf numFmtId="0" fontId="0" fillId="0" borderId="14" xfId="0" applyBorder="1" applyAlignment="1">
      <alignment horizontal="right"/>
    </xf>
    <xf numFmtId="0" fontId="0" fillId="0" borderId="15" xfId="0" applyBorder="1" applyAlignment="1">
      <alignment horizontal="left"/>
    </xf>
    <xf numFmtId="49" fontId="27" fillId="37" borderId="14" xfId="42" applyNumberFormat="1" applyFill="1" applyBorder="1" applyAlignment="1">
      <alignment horizontal="center" wrapText="1"/>
    </xf>
    <xf numFmtId="0" fontId="0" fillId="0" borderId="27" xfId="0" applyBorder="1" applyAlignment="1">
      <alignment vertical="center"/>
    </xf>
    <xf numFmtId="0" fontId="0" fillId="33" borderId="14" xfId="0" applyFill="1" applyBorder="1" applyAlignment="1">
      <alignment horizontal="center" vertical="top"/>
    </xf>
    <xf numFmtId="14" fontId="0" fillId="0" borderId="0" xfId="0" applyNumberFormat="1" applyAlignment="1">
      <alignment horizontal="center" vertical="center"/>
    </xf>
    <xf numFmtId="14" fontId="0" fillId="37" borderId="0" xfId="0" applyNumberFormat="1" applyFill="1" applyAlignment="1">
      <alignment horizontal="center"/>
    </xf>
    <xf numFmtId="0" fontId="0" fillId="37" borderId="0" xfId="0" applyFill="1" applyAlignment="1">
      <alignment horizontal="center" vertical="center"/>
    </xf>
    <xf numFmtId="14" fontId="0" fillId="37" borderId="0" xfId="0" applyNumberFormat="1" applyFill="1" applyAlignment="1">
      <alignment horizontal="center" vertical="center"/>
    </xf>
    <xf numFmtId="14" fontId="0" fillId="0" borderId="0" xfId="0" applyNumberFormat="1" applyAlignment="1">
      <alignment horizontal="center" vertical="center" wrapText="1"/>
    </xf>
    <xf numFmtId="14" fontId="0" fillId="37" borderId="26" xfId="0" applyNumberFormat="1" applyFill="1" applyBorder="1" applyAlignment="1">
      <alignment horizontal="center" vertical="center"/>
    </xf>
    <xf numFmtId="49" fontId="0" fillId="37" borderId="14" xfId="0" applyNumberFormat="1" applyFill="1" applyBorder="1" applyAlignment="1">
      <alignment horizontal="center" wrapText="1"/>
    </xf>
    <xf numFmtId="165" fontId="0" fillId="45" borderId="14" xfId="0" applyNumberFormat="1" applyFill="1" applyBorder="1" applyAlignment="1">
      <alignment horizontal="center"/>
    </xf>
    <xf numFmtId="0" fontId="42" fillId="33" borderId="14" xfId="0" applyFont="1" applyFill="1" applyBorder="1" applyAlignment="1">
      <alignment horizontal="center" vertical="center"/>
    </xf>
    <xf numFmtId="0" fontId="0" fillId="33" borderId="14" xfId="0" applyFill="1" applyBorder="1" applyAlignment="1">
      <alignment horizontal="center" vertical="top" wrapText="1"/>
    </xf>
    <xf numFmtId="0" fontId="0" fillId="37" borderId="15" xfId="0" applyFill="1" applyBorder="1" applyAlignment="1">
      <alignment vertical="center"/>
    </xf>
    <xf numFmtId="0" fontId="56" fillId="0" borderId="14" xfId="0" applyFont="1" applyBorder="1" applyAlignment="1">
      <alignment wrapText="1"/>
    </xf>
    <xf numFmtId="0" fontId="0" fillId="54" borderId="14" xfId="0" applyFill="1" applyBorder="1" applyAlignment="1">
      <alignment vertical="center"/>
    </xf>
    <xf numFmtId="0" fontId="0" fillId="53" borderId="0" xfId="0" applyFill="1"/>
    <xf numFmtId="0" fontId="0" fillId="37" borderId="21" xfId="0" applyFill="1" applyBorder="1"/>
    <xf numFmtId="0" fontId="0" fillId="37" borderId="14" xfId="0" applyFill="1" applyBorder="1" applyAlignment="1">
      <alignment horizontal="center" wrapText="1"/>
    </xf>
    <xf numFmtId="0" fontId="27" fillId="0" borderId="21" xfId="42" applyFill="1" applyBorder="1" applyAlignment="1">
      <alignment horizontal="center"/>
    </xf>
    <xf numFmtId="0" fontId="0" fillId="33" borderId="21" xfId="0" applyFill="1" applyBorder="1" applyAlignment="1">
      <alignment horizontal="center"/>
    </xf>
    <xf numFmtId="0" fontId="54" fillId="54" borderId="14" xfId="0" applyFont="1" applyFill="1" applyBorder="1" applyAlignment="1">
      <alignment vertical="center"/>
    </xf>
    <xf numFmtId="0" fontId="54" fillId="0" borderId="14" xfId="0" applyFont="1" applyBorder="1"/>
    <xf numFmtId="14" fontId="1" fillId="37" borderId="14" xfId="0" applyNumberFormat="1" applyFont="1" applyFill="1" applyBorder="1" applyAlignment="1">
      <alignment horizontal="center"/>
    </xf>
    <xf numFmtId="0" fontId="58" fillId="0" borderId="14" xfId="0" applyFont="1" applyBorder="1" applyAlignment="1">
      <alignment horizontal="center" vertical="center"/>
    </xf>
    <xf numFmtId="0" fontId="0" fillId="45" borderId="14" xfId="0" quotePrefix="1" applyFill="1" applyBorder="1" applyAlignment="1">
      <alignment horizontal="center" vertical="top"/>
    </xf>
    <xf numFmtId="0" fontId="42" fillId="33" borderId="14" xfId="0" applyFont="1" applyFill="1" applyBorder="1"/>
    <xf numFmtId="14" fontId="54" fillId="37" borderId="14" xfId="0" applyNumberFormat="1" applyFont="1" applyFill="1" applyBorder="1" applyAlignment="1">
      <alignment horizontal="center"/>
    </xf>
    <xf numFmtId="0" fontId="54" fillId="37" borderId="14" xfId="0" applyFont="1" applyFill="1" applyBorder="1"/>
    <xf numFmtId="0" fontId="26" fillId="54" borderId="14" xfId="0" applyFont="1" applyFill="1" applyBorder="1" applyAlignment="1">
      <alignment horizontal="center" vertical="center"/>
    </xf>
    <xf numFmtId="0" fontId="27" fillId="54" borderId="0" xfId="42" applyFill="1" applyBorder="1" applyAlignment="1">
      <alignment horizontal="center"/>
    </xf>
    <xf numFmtId="0" fontId="27" fillId="54" borderId="14" xfId="42" applyFill="1" applyBorder="1" applyAlignment="1">
      <alignment horizontal="left"/>
    </xf>
    <xf numFmtId="0" fontId="54" fillId="0" borderId="15" xfId="0" applyFont="1" applyBorder="1" applyAlignment="1">
      <alignment vertical="center"/>
    </xf>
    <xf numFmtId="0" fontId="0" fillId="43" borderId="21" xfId="0" applyFill="1" applyBorder="1"/>
    <xf numFmtId="0" fontId="27" fillId="0" borderId="17" xfId="42" applyFill="1" applyBorder="1" applyAlignment="1">
      <alignment horizontal="center"/>
    </xf>
    <xf numFmtId="0" fontId="0" fillId="33" borderId="14" xfId="0" quotePrefix="1" applyFill="1" applyBorder="1" applyAlignment="1">
      <alignment horizontal="center" vertical="top"/>
    </xf>
    <xf numFmtId="0" fontId="43" fillId="0" borderId="21" xfId="0" applyFont="1" applyBorder="1"/>
    <xf numFmtId="49" fontId="0" fillId="0" borderId="0" xfId="0" applyNumberFormat="1" applyAlignment="1">
      <alignment horizontal="center" wrapText="1"/>
    </xf>
    <xf numFmtId="0" fontId="0" fillId="0" borderId="0" xfId="0" applyAlignment="1">
      <alignment horizontal="center" vertical="center" indent="1"/>
    </xf>
    <xf numFmtId="0" fontId="0" fillId="45" borderId="0" xfId="0" applyFill="1"/>
    <xf numFmtId="0" fontId="0" fillId="45" borderId="14" xfId="0" applyFill="1" applyBorder="1" applyAlignment="1">
      <alignment vertical="center"/>
    </xf>
    <xf numFmtId="0" fontId="0" fillId="37" borderId="27" xfId="0" applyFill="1" applyBorder="1"/>
    <xf numFmtId="0" fontId="0" fillId="53" borderId="21" xfId="0" applyFill="1" applyBorder="1"/>
    <xf numFmtId="14" fontId="54" fillId="37" borderId="0" xfId="0" applyNumberFormat="1" applyFont="1" applyFill="1" applyAlignment="1">
      <alignment horizontal="center"/>
    </xf>
    <xf numFmtId="14" fontId="0" fillId="37" borderId="0" xfId="0" applyNumberFormat="1" applyFill="1" applyAlignment="1">
      <alignment horizontal="center" vertical="center" wrapText="1"/>
    </xf>
    <xf numFmtId="0" fontId="0" fillId="0" borderId="27" xfId="0" applyBorder="1" applyAlignment="1">
      <alignment horizontal="left"/>
    </xf>
    <xf numFmtId="0" fontId="0" fillId="37" borderId="27" xfId="0" applyFill="1" applyBorder="1" applyAlignment="1">
      <alignment vertical="center"/>
    </xf>
    <xf numFmtId="49" fontId="0" fillId="0" borderId="27" xfId="0" applyNumberFormat="1" applyBorder="1" applyAlignment="1">
      <alignment vertical="center" wrapText="1"/>
    </xf>
    <xf numFmtId="0" fontId="42" fillId="0" borderId="27" xfId="0" applyFont="1" applyBorder="1"/>
    <xf numFmtId="0" fontId="0" fillId="45" borderId="27" xfId="0" applyFill="1" applyBorder="1" applyAlignment="1">
      <alignment horizontal="left"/>
    </xf>
    <xf numFmtId="49" fontId="0" fillId="0" borderId="21" xfId="0" applyNumberFormat="1" applyBorder="1" applyAlignment="1">
      <alignment wrapText="1"/>
    </xf>
    <xf numFmtId="0" fontId="0" fillId="45" borderId="21" xfId="0" applyFill="1" applyBorder="1" applyAlignment="1">
      <alignment vertical="center"/>
    </xf>
    <xf numFmtId="0" fontId="54" fillId="37" borderId="21" xfId="0" applyFont="1" applyFill="1" applyBorder="1"/>
    <xf numFmtId="0" fontId="54" fillId="0" borderId="18" xfId="0" applyFont="1" applyBorder="1"/>
    <xf numFmtId="0" fontId="33" fillId="0" borderId="27" xfId="0" applyFont="1" applyBorder="1"/>
    <xf numFmtId="165" fontId="0" fillId="0" borderId="15" xfId="0" applyNumberFormat="1" applyBorder="1" applyAlignment="1">
      <alignment horizontal="center"/>
    </xf>
    <xf numFmtId="165" fontId="0" fillId="0" borderId="23" xfId="0" applyNumberFormat="1" applyBorder="1" applyAlignment="1">
      <alignment horizontal="center"/>
    </xf>
    <xf numFmtId="165" fontId="0" fillId="0" borderId="21" xfId="0" applyNumberForma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FF"/>
      <color rgb="FFFFCCFF"/>
      <color rgb="FFFB3F1B"/>
      <color rgb="FFFF7C80"/>
      <color rgb="FFFCB40E"/>
      <color rgb="FFE91E63"/>
      <color rgb="FFFF99FF"/>
      <color rgb="FF191919"/>
      <color rgb="FF4E6A79"/>
      <color rgb="FF8C8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azsuper@summitconstructionlv.com" TargetMode="External"/><Relationship Id="rId21" Type="http://schemas.openxmlformats.org/officeDocument/2006/relationships/hyperlink" Target="mailto:lsanchez@holder.com" TargetMode="External"/><Relationship Id="rId63" Type="http://schemas.openxmlformats.org/officeDocument/2006/relationships/hyperlink" Target="mailto:chad.mullenax@weitz.com" TargetMode="External"/><Relationship Id="rId159" Type="http://schemas.openxmlformats.org/officeDocument/2006/relationships/hyperlink" Target="mailto:Logan@desertservices.net" TargetMode="External"/><Relationship Id="rId170" Type="http://schemas.openxmlformats.org/officeDocument/2006/relationships/hyperlink" Target="mailto:mike@prosteelstr.com;enrique@prosteelstr.com" TargetMode="External"/><Relationship Id="rId226" Type="http://schemas.openxmlformats.org/officeDocument/2006/relationships/hyperlink" Target="mailto:dspangle@lgedesignbuild.com;%20aluu@lgedesignbuild.com;%20rshepard@lgedesignbuild.com" TargetMode="External"/><Relationship Id="rId268" Type="http://schemas.openxmlformats.org/officeDocument/2006/relationships/hyperlink" Target="mailto:Herve@desertservices.net" TargetMode="External"/><Relationship Id="rId32" Type="http://schemas.openxmlformats.org/officeDocument/2006/relationships/hyperlink" Target="mailto:Herve@desertservices.net" TargetMode="External"/><Relationship Id="rId74" Type="http://schemas.openxmlformats.org/officeDocument/2006/relationships/hyperlink" Target="mailto:Herve@desertservices.net" TargetMode="External"/><Relationship Id="rId128" Type="http://schemas.openxmlformats.org/officeDocument/2006/relationships/hyperlink" Target="mailto:teds@wespacaz.com;%20wpace@wespacaz.com" TargetMode="External"/><Relationship Id="rId5" Type="http://schemas.openxmlformats.org/officeDocument/2006/relationships/hyperlink" Target="mailto:rickl@overlandcorp.com;%20patrickw@overlandcorp.com;%20georgec@overlandcorp.com" TargetMode="External"/><Relationship Id="rId181" Type="http://schemas.openxmlformats.org/officeDocument/2006/relationships/hyperlink" Target="mailto:JIM.JOHNSTON@TDC-PROPERTIES.COM;robert.gonzalez@tdc-properties.com" TargetMode="External"/><Relationship Id="rId237" Type="http://schemas.openxmlformats.org/officeDocument/2006/relationships/hyperlink" Target="mailto:dvigil@tofeldent.com;%20rrichards@tofeldent.com;%20nwalker@tofeldent.com;%20ccobos@tofeldent.com" TargetMode="External"/><Relationship Id="rId258" Type="http://schemas.openxmlformats.org/officeDocument/2006/relationships/hyperlink" Target="mailto:amiceli@fclbuilders.com;%20rguerrero@fclbuilders.com" TargetMode="External"/><Relationship Id="rId22" Type="http://schemas.openxmlformats.org/officeDocument/2006/relationships/hyperlink" Target="mailto:Logan@desertservices.net" TargetMode="External"/><Relationship Id="rId43" Type="http://schemas.openxmlformats.org/officeDocument/2006/relationships/hyperlink" Target="mailto:Herve@desertservices.net" TargetMode="External"/><Relationship Id="rId64" Type="http://schemas.openxmlformats.org/officeDocument/2006/relationships/hyperlink" Target="mailto:mruthrauff@willmeng.com;%20kvekaria@willmeng.com;%20ddesai@willmeng.com" TargetMode="External"/><Relationship Id="rId118" Type="http://schemas.openxmlformats.org/officeDocument/2006/relationships/hyperlink" Target="mailto:mgarnica@csigc.com;lduran@csigc.com" TargetMode="External"/><Relationship Id="rId139" Type="http://schemas.openxmlformats.org/officeDocument/2006/relationships/hyperlink" Target="mailto:Herve@desertservices.net" TargetMode="External"/><Relationship Id="rId85" Type="http://schemas.openxmlformats.org/officeDocument/2006/relationships/hyperlink" Target="mailto:sprice@gjdev.com" TargetMode="External"/><Relationship Id="rId150" Type="http://schemas.openxmlformats.org/officeDocument/2006/relationships/hyperlink" Target="mailto:Logan@desertservices.net" TargetMode="External"/><Relationship Id="rId171" Type="http://schemas.openxmlformats.org/officeDocument/2006/relationships/hyperlink" Target="mailto:ryan.mcpherson@acgarizona.com" TargetMode="External"/><Relationship Id="rId192" Type="http://schemas.openxmlformats.org/officeDocument/2006/relationships/hyperlink" Target="mailto:kodyk@lgedesignbuild.com;%20dspangle@lgedesignbuild.com;%20hglascock@lgedesignbuild.com;%20aluu@lgedesignbuild.com" TargetMode="External"/><Relationship Id="rId206" Type="http://schemas.openxmlformats.org/officeDocument/2006/relationships/hyperlink" Target="mailto:mkuhl@sdcranebuilders.com;%20cgardner@cap-az.com" TargetMode="External"/><Relationship Id="rId227" Type="http://schemas.openxmlformats.org/officeDocument/2006/relationships/hyperlink" Target="mailto:awest@laytonconstruction.com;%20jack.johnston@laytonconstruction.com" TargetMode="External"/><Relationship Id="rId248" Type="http://schemas.openxmlformats.org/officeDocument/2006/relationships/hyperlink" Target="mailto:redwards@findorff.com" TargetMode="External"/><Relationship Id="rId269" Type="http://schemas.openxmlformats.org/officeDocument/2006/relationships/hyperlink" Target="mailto:bchristiansen@lgedesignbuild.com" TargetMode="External"/><Relationship Id="rId12" Type="http://schemas.openxmlformats.org/officeDocument/2006/relationships/hyperlink" Target="mailto:cmoenning@carusoconstruction.com;jrike@carusoconstruction.com" TargetMode="External"/><Relationship Id="rId33" Type="http://schemas.openxmlformats.org/officeDocument/2006/relationships/hyperlink" Target="mailto:kyle.messner@tdc-properties.com" TargetMode="External"/><Relationship Id="rId108" Type="http://schemas.openxmlformats.org/officeDocument/2006/relationships/hyperlink" Target="mailto:jwaters@csigc.com;%20ngarrett@csigc.com" TargetMode="External"/><Relationship Id="rId129" Type="http://schemas.openxmlformats.org/officeDocument/2006/relationships/hyperlink" Target="mailto:ted@realtyassetadvisors.com" TargetMode="External"/><Relationship Id="rId54" Type="http://schemas.openxmlformats.org/officeDocument/2006/relationships/hyperlink" Target="mailto:Logan@desertservices.net" TargetMode="External"/><Relationship Id="rId75" Type="http://schemas.openxmlformats.org/officeDocument/2006/relationships/hyperlink" Target="mailto:ssmith@greenburg-construction.com" TargetMode="External"/><Relationship Id="rId96" Type="http://schemas.openxmlformats.org/officeDocument/2006/relationships/hyperlink" Target="mailto:dangarripoli@coreconstruction.com;%20franciscogarduno@coreconstruction.com;%20rossvalenzuela@coreconstruction.com" TargetMode="External"/><Relationship Id="rId140" Type="http://schemas.openxmlformats.org/officeDocument/2006/relationships/hyperlink" Target="mailto:JIM.JOHNSTON@TDC-PROPERTIES.COM;robert.gonzalez@tdc-properties.com" TargetMode="External"/><Relationship Id="rId161" Type="http://schemas.openxmlformats.org/officeDocument/2006/relationships/hyperlink" Target="mailto:rob.banning@woodpartners.com;%20jason.williamsen@woodpartners.com" TargetMode="External"/><Relationship Id="rId182" Type="http://schemas.openxmlformats.org/officeDocument/2006/relationships/hyperlink" Target="mailto:geoffcallarman@ckzholdings.com" TargetMode="External"/><Relationship Id="rId217" Type="http://schemas.openxmlformats.org/officeDocument/2006/relationships/hyperlink" Target="mailto:Herve@desertservices.net" TargetMode="External"/><Relationship Id="rId6" Type="http://schemas.openxmlformats.org/officeDocument/2006/relationships/hyperlink" Target="mailto:ryan.williams@emjcorp.com;%20stuart.bussert@emjcorp.com;%20todd.strawdinger@emjcorp.com" TargetMode="External"/><Relationship Id="rId238" Type="http://schemas.openxmlformats.org/officeDocument/2006/relationships/hyperlink" Target="mailto:abrahamm@claycorp.com;%20mccuec@claycorp.com;%20beaumonta@claycorp.com" TargetMode="External"/><Relationship Id="rId259" Type="http://schemas.openxmlformats.org/officeDocument/2006/relationships/hyperlink" Target="mailto:Herve@desertservices.net" TargetMode="External"/><Relationship Id="rId23" Type="http://schemas.openxmlformats.org/officeDocument/2006/relationships/hyperlink" Target="mailto:tmunig@armays.com" TargetMode="External"/><Relationship Id="rId119" Type="http://schemas.openxmlformats.org/officeDocument/2006/relationships/hyperlink" Target="mailto:Herve@desertservices.net" TargetMode="External"/><Relationship Id="rId270" Type="http://schemas.openxmlformats.org/officeDocument/2006/relationships/hyperlink" Target="mailto:zacha@jacksondean.com" TargetMode="External"/><Relationship Id="rId44" Type="http://schemas.openxmlformats.org/officeDocument/2006/relationships/hyperlink" Target="mailto:Herve@desertservices.net" TargetMode="External"/><Relationship Id="rId65" Type="http://schemas.openxmlformats.org/officeDocument/2006/relationships/hyperlink" Target="mailto:Herve@desertservices.net" TargetMode="External"/><Relationship Id="rId86" Type="http://schemas.openxmlformats.org/officeDocument/2006/relationships/hyperlink" Target="mailto:nick.cervantes@roerscompanies.com;chris.wooters@roerscompanies.com" TargetMode="External"/><Relationship Id="rId130" Type="http://schemas.openxmlformats.org/officeDocument/2006/relationships/hyperlink" Target="mailto:daniel.galdean@krausanderson.com" TargetMode="External"/><Relationship Id="rId151" Type="http://schemas.openxmlformats.org/officeDocument/2006/relationships/hyperlink" Target="mailto:rodrigo@sandstormconstructionaz.com;%20aaron@sandstormconstructionaz.com" TargetMode="External"/><Relationship Id="rId172" Type="http://schemas.openxmlformats.org/officeDocument/2006/relationships/hyperlink" Target="mailto:jgray@willmeng.com" TargetMode="External"/><Relationship Id="rId193" Type="http://schemas.openxmlformats.org/officeDocument/2006/relationships/hyperlink" Target="mailto:phoward@lgedesignbuild.com" TargetMode="External"/><Relationship Id="rId207" Type="http://schemas.openxmlformats.org/officeDocument/2006/relationships/hyperlink" Target="mailto:ryan@robertporterconstruction.com" TargetMode="External"/><Relationship Id="rId228" Type="http://schemas.openxmlformats.org/officeDocument/2006/relationships/hyperlink" Target="mailto:wglass@brinkmannconstructors.com" TargetMode="External"/><Relationship Id="rId249" Type="http://schemas.openxmlformats.org/officeDocument/2006/relationships/hyperlink" Target="mailto:will.gullett@catamountinc.com;%20jennifer.seibert@catamountinc.com" TargetMode="External"/><Relationship Id="rId13" Type="http://schemas.openxmlformats.org/officeDocument/2006/relationships/hyperlink" Target="mailto:jeffreyr@gardencommunitiesca.com;%20jakep@gardencommunitiesca.com;%20jillb@gardencommunitiesca.com" TargetMode="External"/><Relationship Id="rId109" Type="http://schemas.openxmlformats.org/officeDocument/2006/relationships/hyperlink" Target="mailto:jesse.nekula@redpointcontracting.com;%20RFinnegan@henselphelps.com;%20jlarson@henselphelps.com;%20bbeauton@henselphelps.com;%20nschnabel@henselphelps.com;%20Lislas@henselphelps.com;%20twilcox@henselphelps.com" TargetMode="External"/><Relationship Id="rId260" Type="http://schemas.openxmlformats.org/officeDocument/2006/relationships/hyperlink" Target="mailto:Logan@desertservices.net" TargetMode="External"/><Relationship Id="rId34" Type="http://schemas.openxmlformats.org/officeDocument/2006/relationships/hyperlink" Target="mailto:hsalgadomaldonado@mcrtrust.com;fdamirchilo@mcrtrust.com" TargetMode="External"/><Relationship Id="rId55" Type="http://schemas.openxmlformats.org/officeDocument/2006/relationships/hyperlink" Target="mailto:Herve@desertservices.net" TargetMode="External"/><Relationship Id="rId76" Type="http://schemas.openxmlformats.org/officeDocument/2006/relationships/hyperlink" Target="mailto:derek@porterbrothers.com;codyd@porterbrothers.com" TargetMode="External"/><Relationship Id="rId97" Type="http://schemas.openxmlformats.org/officeDocument/2006/relationships/hyperlink" Target="mailto:Logan@desertservices.net" TargetMode="External"/><Relationship Id="rId120" Type="http://schemas.openxmlformats.org/officeDocument/2006/relationships/hyperlink" Target="mailto:ray@azpci.com" TargetMode="External"/><Relationship Id="rId141" Type="http://schemas.openxmlformats.org/officeDocument/2006/relationships/hyperlink" Target="mailto:jj@bleuwave.com" TargetMode="External"/><Relationship Id="rId7" Type="http://schemas.openxmlformats.org/officeDocument/2006/relationships/hyperlink" Target="mailto:STU@RCCDESIGNGROUP.COM;%20bill@radiuscontractors.com" TargetMode="External"/><Relationship Id="rId162" Type="http://schemas.openxmlformats.org/officeDocument/2006/relationships/hyperlink" Target="mailto:shannon.santiago@laytonconstruction.com;%20nicholas.severa@layton.com" TargetMode="External"/><Relationship Id="rId183" Type="http://schemas.openxmlformats.org/officeDocument/2006/relationships/hyperlink" Target="mailto:will.semerad@ngcgroupinc.com" TargetMode="External"/><Relationship Id="rId218" Type="http://schemas.openxmlformats.org/officeDocument/2006/relationships/hyperlink" Target="mailto:jimp@lgedesignbuild.com;%20jesslin@lgedesignbuild.com" TargetMode="External"/><Relationship Id="rId239" Type="http://schemas.openxmlformats.org/officeDocument/2006/relationships/hyperlink" Target="mailto:Logan@desertservices.net" TargetMode="External"/><Relationship Id="rId250" Type="http://schemas.openxmlformats.org/officeDocument/2006/relationships/hyperlink" Target="mailto:tburda@mtbprojects.com" TargetMode="External"/><Relationship Id="rId271" Type="http://schemas.openxmlformats.org/officeDocument/2006/relationships/hyperlink" Target="mailto:tmentzer@stevensleinweber.com" TargetMode="External"/><Relationship Id="rId24" Type="http://schemas.openxmlformats.org/officeDocument/2006/relationships/hyperlink" Target="mailto:mike@swellsteel.com" TargetMode="External"/><Relationship Id="rId45" Type="http://schemas.openxmlformats.org/officeDocument/2006/relationships/hyperlink" Target="mailto:kurt@usdevcon.com;barryp@usdevcon.com" TargetMode="External"/><Relationship Id="rId66" Type="http://schemas.openxmlformats.org/officeDocument/2006/relationships/hyperlink" Target="mailto:Herve@desertservices.net" TargetMode="External"/><Relationship Id="rId87" Type="http://schemas.openxmlformats.org/officeDocument/2006/relationships/hyperlink" Target="mailto:Logan@desertservices.net" TargetMode="External"/><Relationship Id="rId110" Type="http://schemas.openxmlformats.org/officeDocument/2006/relationships/hyperlink" Target="mailto:sbowlds@markhamcontracting.com" TargetMode="External"/><Relationship Id="rId131" Type="http://schemas.openxmlformats.org/officeDocument/2006/relationships/hyperlink" Target="mailto:scot@straightarrow.biz" TargetMode="External"/><Relationship Id="rId152" Type="http://schemas.openxmlformats.org/officeDocument/2006/relationships/hyperlink" Target="mailto:mstephan@porterkyle.com;%20dbaerwald@porterkyle.com;%20rhubbard@porterkyle.com;%20mlong@porterkyle.com" TargetMode="External"/><Relationship Id="rId173" Type="http://schemas.openxmlformats.org/officeDocument/2006/relationships/hyperlink" Target="mailto:robbiec@bprcompanies.com" TargetMode="External"/><Relationship Id="rId194" Type="http://schemas.openxmlformats.org/officeDocument/2006/relationships/hyperlink" Target="mailto:Logan@desertservices.net" TargetMode="External"/><Relationship Id="rId208" Type="http://schemas.openxmlformats.org/officeDocument/2006/relationships/hyperlink" Target="mailto:j.garrett@bflconstruction.com;%20r.dunlop@bflconstruction.com" TargetMode="External"/><Relationship Id="rId229" Type="http://schemas.openxmlformats.org/officeDocument/2006/relationships/hyperlink" Target="mailto:mhenige@armays.com" TargetMode="External"/><Relationship Id="rId240" Type="http://schemas.openxmlformats.org/officeDocument/2006/relationships/hyperlink" Target="mailto:darrin.grove@laytonconstruction.com" TargetMode="External"/><Relationship Id="rId261" Type="http://schemas.openxmlformats.org/officeDocument/2006/relationships/hyperlink" Target="mailto:Logan@desertservices.net" TargetMode="External"/><Relationship Id="rId14" Type="http://schemas.openxmlformats.org/officeDocument/2006/relationships/hyperlink" Target="mailto:esteban.romero@greystar.com;%20luis.guzman@greystar.com;%20acahuiche@greystar.com;%20karina.nelson@greystar.com;%20fernando.rodriguez@greystar.com" TargetMode="External"/><Relationship Id="rId35" Type="http://schemas.openxmlformats.org/officeDocument/2006/relationships/hyperlink" Target="mailto:Herve@desertservices.net" TargetMode="External"/><Relationship Id="rId56" Type="http://schemas.openxmlformats.org/officeDocument/2006/relationships/hyperlink" Target="mailto:Logan@desertservices.net" TargetMode="External"/><Relationship Id="rId77" Type="http://schemas.openxmlformats.org/officeDocument/2006/relationships/hyperlink" Target="mailto:c.buchler@apglobalgc.com" TargetMode="External"/><Relationship Id="rId100" Type="http://schemas.openxmlformats.org/officeDocument/2006/relationships/hyperlink" Target="mailto:dstreckenbach@TheGarrettCo.com;%20bsmith@TheGarrettCo.com;%20hdingess@TheGarrettCo.com" TargetMode="External"/><Relationship Id="rId8" Type="http://schemas.openxmlformats.org/officeDocument/2006/relationships/hyperlink" Target="mailto:Logan@desertservices.net" TargetMode="External"/><Relationship Id="rId98" Type="http://schemas.openxmlformats.org/officeDocument/2006/relationships/hyperlink" Target="mailto:mmassaro@willmeng.com" TargetMode="External"/><Relationship Id="rId121" Type="http://schemas.openxmlformats.org/officeDocument/2006/relationships/hyperlink" Target="mailto:tgeary@chasse.us;%20jvanderhoff@chasse.us" TargetMode="External"/><Relationship Id="rId142" Type="http://schemas.openxmlformats.org/officeDocument/2006/relationships/hyperlink" Target="mailto:Logan@desertservices.net" TargetMode="External"/><Relationship Id="rId163" Type="http://schemas.openxmlformats.org/officeDocument/2006/relationships/hyperlink" Target="mailto:hunter.till@catamountinc.com;eric.waters@catamountinc.com" TargetMode="External"/><Relationship Id="rId184" Type="http://schemas.openxmlformats.org/officeDocument/2006/relationships/hyperlink" Target="mailto:acasteldeoro@chasse.us;%20dkelley@chasse.us;%20jgolden@chasse.us;%20mfinch@chasse.us;%20mhoward@chasse.us" TargetMode="External"/><Relationship Id="rId219" Type="http://schemas.openxmlformats.org/officeDocument/2006/relationships/hyperlink" Target="mailto:dane@rcc-az.com" TargetMode="External"/><Relationship Id="rId230" Type="http://schemas.openxmlformats.org/officeDocument/2006/relationships/hyperlink" Target="mailto:Logan@desertservices.net" TargetMode="External"/><Relationship Id="rId251" Type="http://schemas.openxmlformats.org/officeDocument/2006/relationships/hyperlink" Target="mailto:Logan@desertservices.net" TargetMode="External"/><Relationship Id="rId25" Type="http://schemas.openxmlformats.org/officeDocument/2006/relationships/hyperlink" Target="mailto:jeremy@abisaz.com" TargetMode="External"/><Relationship Id="rId46" Type="http://schemas.openxmlformats.org/officeDocument/2006/relationships/hyperlink" Target="mailto:creynolds@Tofeldent.com;%20cnavarro@tofeldent.com;%20jnoller@tofeldent.com;%20dturner@tofeldent.com;%20tcahanes@Tofeldent.com" TargetMode="External"/><Relationship Id="rId67" Type="http://schemas.openxmlformats.org/officeDocument/2006/relationships/hyperlink" Target="mailto:jlinder@wespacaz.com" TargetMode="External"/><Relationship Id="rId272" Type="http://schemas.openxmlformats.org/officeDocument/2006/relationships/hyperlink" Target="mailto:daren@doubleaabuilders.com" TargetMode="External"/><Relationship Id="rId88" Type="http://schemas.openxmlformats.org/officeDocument/2006/relationships/hyperlink" Target="mailto:asmith@willmeng.com;dlutgen@willmeng.com" TargetMode="External"/><Relationship Id="rId111" Type="http://schemas.openxmlformats.org/officeDocument/2006/relationships/hyperlink" Target="mailto:Logan@desertservices.net" TargetMode="External"/><Relationship Id="rId132" Type="http://schemas.openxmlformats.org/officeDocument/2006/relationships/hyperlink" Target="mailto:Logan@desertservices.net" TargetMode="External"/><Relationship Id="rId153" Type="http://schemas.openxmlformats.org/officeDocument/2006/relationships/hyperlink" Target="mailto:dsullivan@weoneil.com" TargetMode="External"/><Relationship Id="rId174" Type="http://schemas.openxmlformats.org/officeDocument/2006/relationships/hyperlink" Target="mailto:jdoonan@csigc.com;%20nblanchard@csigc.com" TargetMode="External"/><Relationship Id="rId195" Type="http://schemas.openxmlformats.org/officeDocument/2006/relationships/hyperlink" Target="mailto:sricks@brinkmannconstructors.com;%20alowry@brinkmannconstructors.com;%20neddleman@brinkmannconstructors.com;%20rcollier@brinkmannconstructors.com" TargetMode="External"/><Relationship Id="rId209" Type="http://schemas.openxmlformats.org/officeDocument/2006/relationships/hyperlink" Target="mailto:mgravert@chasse.us" TargetMode="External"/><Relationship Id="rId220" Type="http://schemas.openxmlformats.org/officeDocument/2006/relationships/hyperlink" Target="mailto:jjbittner@chasse.us" TargetMode="External"/><Relationship Id="rId241" Type="http://schemas.openxmlformats.org/officeDocument/2006/relationships/hyperlink" Target="mailto:daniel.jimison@big-d.com;%20bill.vance@big-d.com" TargetMode="External"/><Relationship Id="rId15" Type="http://schemas.openxmlformats.org/officeDocument/2006/relationships/hyperlink" Target="mailto:ron.newman@thedwellingcompanies.com" TargetMode="External"/><Relationship Id="rId36" Type="http://schemas.openxmlformats.org/officeDocument/2006/relationships/hyperlink" Target="mailto:Logan@desertservices.net" TargetMode="External"/><Relationship Id="rId57" Type="http://schemas.openxmlformats.org/officeDocument/2006/relationships/hyperlink" Target="mailto:wclark@camdenliving.com;%20zfairbairn@camdenliving.com;%20drietfors@camdenliving.com" TargetMode="External"/><Relationship Id="rId262" Type="http://schemas.openxmlformats.org/officeDocument/2006/relationships/hyperlink" Target="mailto:sjohnson@stevensleinweber.com" TargetMode="External"/><Relationship Id="rId78" Type="http://schemas.openxmlformats.org/officeDocument/2006/relationships/hyperlink" Target="mailto:Herve@desertservices.net" TargetMode="External"/><Relationship Id="rId99" Type="http://schemas.openxmlformats.org/officeDocument/2006/relationships/hyperlink" Target="mailto:josh.fretwell@ryancompanies.com;tomas.almanza@ryancompanies.com;ryan.svetichan@ryancompanies.com" TargetMode="External"/><Relationship Id="rId101" Type="http://schemas.openxmlformats.org/officeDocument/2006/relationships/hyperlink" Target="mailto:tim.sergent@laytonconstruction.com;%20bgreen@laytonconstruction.com;%20abodine@laytonconstruction.com" TargetMode="External"/><Relationship Id="rId122" Type="http://schemas.openxmlformats.org/officeDocument/2006/relationships/hyperlink" Target="mailto:dbenjamin@thegarrettco.com;%20wblasdell@thegarrettco.com;%20mheist@thegarrettco.com;%20jgarcia@thegarrettco.com;%20karl@thegarrettco.com" TargetMode="External"/><Relationship Id="rId143" Type="http://schemas.openxmlformats.org/officeDocument/2006/relationships/hyperlink" Target="mailto:Logan@desertservices.net" TargetMode="External"/><Relationship Id="rId164" Type="http://schemas.openxmlformats.org/officeDocument/2006/relationships/hyperlink" Target="mailto:jstewart@mtbprojects.com" TargetMode="External"/><Relationship Id="rId185" Type="http://schemas.openxmlformats.org/officeDocument/2006/relationships/hyperlink" Target="mailto:Logan@desertservices.net" TargetMode="External"/><Relationship Id="rId9" Type="http://schemas.openxmlformats.org/officeDocument/2006/relationships/hyperlink" Target="mailto:Logan@desertservices.net" TargetMode="External"/><Relationship Id="rId210" Type="http://schemas.openxmlformats.org/officeDocument/2006/relationships/hyperlink" Target="mailto:Logan@desertservices.net" TargetMode="External"/><Relationship Id="rId26" Type="http://schemas.openxmlformats.org/officeDocument/2006/relationships/hyperlink" Target="mailto:Logan@desertservices.net" TargetMode="External"/><Relationship Id="rId231" Type="http://schemas.openxmlformats.org/officeDocument/2006/relationships/hyperlink" Target="mailto:Logan@desertservices.net" TargetMode="External"/><Relationship Id="rId252" Type="http://schemas.openxmlformats.org/officeDocument/2006/relationships/hyperlink" Target="mailto:Logan@desertservices.net" TargetMode="External"/><Relationship Id="rId273" Type="http://schemas.openxmlformats.org/officeDocument/2006/relationships/hyperlink" Target="mailto:Georgec@overlandcorp.com" TargetMode="External"/><Relationship Id="rId47" Type="http://schemas.openxmlformats.org/officeDocument/2006/relationships/hyperlink" Target="mailto:Herve@desertservices.net" TargetMode="External"/><Relationship Id="rId68" Type="http://schemas.openxmlformats.org/officeDocument/2006/relationships/hyperlink" Target="mailto:jlinder@wespacaz.com;bbrosa@wespacaz.com" TargetMode="External"/><Relationship Id="rId89" Type="http://schemas.openxmlformats.org/officeDocument/2006/relationships/hyperlink" Target="mailto:Logan@desertservices.net" TargetMode="External"/><Relationship Id="rId112" Type="http://schemas.openxmlformats.org/officeDocument/2006/relationships/hyperlink" Target="mailto:Wade@mcmanusconstruction.net" TargetMode="External"/><Relationship Id="rId133" Type="http://schemas.openxmlformats.org/officeDocument/2006/relationships/hyperlink" Target="mailto:kyle@mystoragegroup.com" TargetMode="External"/><Relationship Id="rId154" Type="http://schemas.openxmlformats.org/officeDocument/2006/relationships/hyperlink" Target="mailto:Logan@desertservices.net" TargetMode="External"/><Relationship Id="rId175" Type="http://schemas.openxmlformats.org/officeDocument/2006/relationships/hyperlink" Target="mailto:rob@lgedesignbuild.com" TargetMode="External"/><Relationship Id="rId196" Type="http://schemas.openxmlformats.org/officeDocument/2006/relationships/hyperlink" Target="mailto:jmatthews@pathcc.com" TargetMode="External"/><Relationship Id="rId200" Type="http://schemas.openxmlformats.org/officeDocument/2006/relationships/hyperlink" Target="mailto:joshm@bprcompanies.com" TargetMode="External"/><Relationship Id="rId16" Type="http://schemas.openxmlformats.org/officeDocument/2006/relationships/hyperlink" Target="mailto:ccolon@holder.com;%20dvallee@holder.com;%20rwood@holder.com;%20kfernandez@holder.com;%20ahydle@holder.com" TargetMode="External"/><Relationship Id="rId221" Type="http://schemas.openxmlformats.org/officeDocument/2006/relationships/hyperlink" Target="mailto:Herve@desertservices.net" TargetMode="External"/><Relationship Id="rId242" Type="http://schemas.openxmlformats.org/officeDocument/2006/relationships/hyperlink" Target="mailto:Logan@desertservices.net" TargetMode="External"/><Relationship Id="rId263" Type="http://schemas.openxmlformats.org/officeDocument/2006/relationships/hyperlink" Target="mailto:jbrown@pathcc.com" TargetMode="External"/><Relationship Id="rId37" Type="http://schemas.openxmlformats.org/officeDocument/2006/relationships/hyperlink" Target="mailto:mark.o@sub4dev.com;%20scott.w@sub4dev.com;%20chris.sanger@sub4dev.com;%20charles.v@sub4dev.com" TargetMode="External"/><Relationship Id="rId58" Type="http://schemas.openxmlformats.org/officeDocument/2006/relationships/hyperlink" Target="mailto:jnava@haydonbc.com" TargetMode="External"/><Relationship Id="rId79" Type="http://schemas.openxmlformats.org/officeDocument/2006/relationships/hyperlink" Target="mailto:tim.benett@ryancompanies.com;hannahpier@ryancompanies.com" TargetMode="External"/><Relationship Id="rId102" Type="http://schemas.openxmlformats.org/officeDocument/2006/relationships/hyperlink" Target="mailto:lsanchezburciaga@holder.com" TargetMode="External"/><Relationship Id="rId123" Type="http://schemas.openxmlformats.org/officeDocument/2006/relationships/hyperlink" Target="mailto:Logan@desertservices.net" TargetMode="External"/><Relationship Id="rId144" Type="http://schemas.openxmlformats.org/officeDocument/2006/relationships/hyperlink" Target="mailto:albert.santacruz@devcous.com" TargetMode="External"/><Relationship Id="rId90" Type="http://schemas.openxmlformats.org/officeDocument/2006/relationships/hyperlink" Target="mailto:markpermenter@weisbuilders.com;%20mariolopez@weisbuilders.com;%20parkerandrist@weisbuilders.com;%20jaredclawiter@weisbuilders.com;%20petecamis@weisbuilders.com;%20raullopez@weisbuilders.com" TargetMode="External"/><Relationship Id="rId165" Type="http://schemas.openxmlformats.org/officeDocument/2006/relationships/hyperlink" Target="mailto:bruce@truenorth.builders" TargetMode="External"/><Relationship Id="rId186" Type="http://schemas.openxmlformats.org/officeDocument/2006/relationships/hyperlink" Target="mailto:Herve@desertservices.net" TargetMode="External"/><Relationship Id="rId211" Type="http://schemas.openxmlformats.org/officeDocument/2006/relationships/hyperlink" Target="mailto:karim@pgcbuilders.com" TargetMode="External"/><Relationship Id="rId232" Type="http://schemas.openxmlformats.org/officeDocument/2006/relationships/hyperlink" Target="mailto:eric.wester@ganemcompanies.com;%20miguel.flores@ganemcompanies.com" TargetMode="External"/><Relationship Id="rId253" Type="http://schemas.openxmlformats.org/officeDocument/2006/relationships/hyperlink" Target="mailto:bscott@armays.com" TargetMode="External"/><Relationship Id="rId274" Type="http://schemas.openxmlformats.org/officeDocument/2006/relationships/hyperlink" Target="mailto:bbrackenbury@canyonbd.com" TargetMode="External"/><Relationship Id="rId27" Type="http://schemas.openxmlformats.org/officeDocument/2006/relationships/hyperlink" Target="mailto:jasonj@lgedesignbuild.com;%20mattd@lgedesignbuild.com;%20joshuaw@lgedesignbuild.com;%20jesslin@lgedesignbuild.com" TargetMode="External"/><Relationship Id="rId48" Type="http://schemas.openxmlformats.org/officeDocument/2006/relationships/hyperlink" Target="mailto:djeff@primusbuilders.com;%20gjacobs@primusbuilders.com" TargetMode="External"/><Relationship Id="rId69" Type="http://schemas.openxmlformats.org/officeDocument/2006/relationships/hyperlink" Target="mailto:Herve@desertservices.net" TargetMode="External"/><Relationship Id="rId113" Type="http://schemas.openxmlformats.org/officeDocument/2006/relationships/hyperlink" Target="mailto:Logan@desertservices.net" TargetMode="External"/><Relationship Id="rId134" Type="http://schemas.openxmlformats.org/officeDocument/2006/relationships/hyperlink" Target="mailto:tae@alisano.com" TargetMode="External"/><Relationship Id="rId80" Type="http://schemas.openxmlformats.org/officeDocument/2006/relationships/hyperlink" Target="mailto:jason.bedel.roerscompanies.com;michael.lyons@roerscompanies.com" TargetMode="External"/><Relationship Id="rId155" Type="http://schemas.openxmlformats.org/officeDocument/2006/relationships/hyperlink" Target="mailto:Logan@desertservices.net" TargetMode="External"/><Relationship Id="rId176" Type="http://schemas.openxmlformats.org/officeDocument/2006/relationships/hyperlink" Target="mailto:darmstrong@csigc.com;zhyde@csigc.com;dtang@csigc.com" TargetMode="External"/><Relationship Id="rId197" Type="http://schemas.openxmlformats.org/officeDocument/2006/relationships/hyperlink" Target="mailto:otto.p@gysgeneralcontracting.com;%20weston.b@gysgeneralcontracting.com;%20mike.m@gysgeneralcontracting.com;%20dennis.r@gysgeneralcontracting.com" TargetMode="External"/><Relationship Id="rId201" Type="http://schemas.openxmlformats.org/officeDocument/2006/relationships/hyperlink" Target="mailto:Herve@desertservices.net" TargetMode="External"/><Relationship Id="rId222" Type="http://schemas.openxmlformats.org/officeDocument/2006/relationships/hyperlink" Target="mailto:joe.neu@laytonconstruction.com" TargetMode="External"/><Relationship Id="rId243" Type="http://schemas.openxmlformats.org/officeDocument/2006/relationships/hyperlink" Target="mailto:jasonj@lgedesignbuild.com" TargetMode="External"/><Relationship Id="rId264" Type="http://schemas.openxmlformats.org/officeDocument/2006/relationships/hyperlink" Target="mailto:deatinger@calienteconstruction.com" TargetMode="External"/><Relationship Id="rId17" Type="http://schemas.openxmlformats.org/officeDocument/2006/relationships/hyperlink" Target="mailto:mwalters@rrconstruction.com" TargetMode="External"/><Relationship Id="rId38" Type="http://schemas.openxmlformats.org/officeDocument/2006/relationships/hyperlink" Target="mailto:floresm@claycorp.com;%20judgesm@claycorp.com;%20barnsb@claycorp.com;%20carinoz@claycorp.com;%20ventural@claycorp.com" TargetMode="External"/><Relationship Id="rId59" Type="http://schemas.openxmlformats.org/officeDocument/2006/relationships/hyperlink" Target="mailto:Logan@desertservices.net" TargetMode="External"/><Relationship Id="rId103" Type="http://schemas.openxmlformats.org/officeDocument/2006/relationships/hyperlink" Target="mailto:rkrah@holder.com;" TargetMode="External"/><Relationship Id="rId124" Type="http://schemas.openxmlformats.org/officeDocument/2006/relationships/hyperlink" Target="mailto:Logan@desertservices.net" TargetMode="External"/><Relationship Id="rId70" Type="http://schemas.openxmlformats.org/officeDocument/2006/relationships/hyperlink" Target="mailto:landon.longfield@laytonconstruction.com;%20vanessa.sanchez@laytonconstruction.com;%20bhoffman@laytonconstruction.com" TargetMode="External"/><Relationship Id="rId91" Type="http://schemas.openxmlformats.org/officeDocument/2006/relationships/hyperlink" Target="mailto:brennanparker@chasse.us" TargetMode="External"/><Relationship Id="rId145" Type="http://schemas.openxmlformats.org/officeDocument/2006/relationships/hyperlink" Target="mailto:rtodaro@gconinc.com;justinw@gconinc.com" TargetMode="External"/><Relationship Id="rId166" Type="http://schemas.openxmlformats.org/officeDocument/2006/relationships/hyperlink" Target="mailto:marka@doubleaabuilders.com" TargetMode="External"/><Relationship Id="rId187" Type="http://schemas.openxmlformats.org/officeDocument/2006/relationships/hyperlink" Target="mailto:Logan@desertservices.net" TargetMode="External"/><Relationship Id="rId1" Type="http://schemas.openxmlformats.org/officeDocument/2006/relationships/hyperlink" Target="mailto:rkrah@holder.com;jlsmith@holder.com;bhufnagel@holder.com" TargetMode="External"/><Relationship Id="rId212" Type="http://schemas.openxmlformats.org/officeDocument/2006/relationships/hyperlink" Target="mailto:Herve@desertservices.net" TargetMode="External"/><Relationship Id="rId233" Type="http://schemas.openxmlformats.org/officeDocument/2006/relationships/hyperlink" Target="mailto:greened@claycorp.com" TargetMode="External"/><Relationship Id="rId254" Type="http://schemas.openxmlformats.org/officeDocument/2006/relationships/hyperlink" Target="mailto:brianh@westates.us" TargetMode="External"/><Relationship Id="rId28" Type="http://schemas.openxmlformats.org/officeDocument/2006/relationships/hyperlink" Target="mailto:tselman@brycon.com" TargetMode="External"/><Relationship Id="rId49" Type="http://schemas.openxmlformats.org/officeDocument/2006/relationships/hyperlink" Target="mailto:mlegge@mtbprojects.com" TargetMode="External"/><Relationship Id="rId114" Type="http://schemas.openxmlformats.org/officeDocument/2006/relationships/hyperlink" Target="mailto:lewis.knutson@big-d.com" TargetMode="External"/><Relationship Id="rId275" Type="http://schemas.openxmlformats.org/officeDocument/2006/relationships/printerSettings" Target="../printerSettings/printerSettings1.bin"/><Relationship Id="rId60" Type="http://schemas.openxmlformats.org/officeDocument/2006/relationships/hyperlink" Target="mailto:Logan@desertservices.net" TargetMode="External"/><Relationship Id="rId81" Type="http://schemas.openxmlformats.org/officeDocument/2006/relationships/hyperlink" Target="mailto:jason.bedel.roerscompanies.com;michael.lyons@roerscompanies.com" TargetMode="External"/><Relationship Id="rId135" Type="http://schemas.openxmlformats.org/officeDocument/2006/relationships/hyperlink" Target="mailto:austin.allen@whiting-turner.com;trenton.beachy@whiting-turner.com" TargetMode="External"/><Relationship Id="rId156" Type="http://schemas.openxmlformats.org/officeDocument/2006/relationships/hyperlink" Target="mailto:Logan@desertservices.net" TargetMode="External"/><Relationship Id="rId177" Type="http://schemas.openxmlformats.org/officeDocument/2006/relationships/hyperlink" Target="mailto:Herve@desertservices.net" TargetMode="External"/><Relationship Id="rId198" Type="http://schemas.openxmlformats.org/officeDocument/2006/relationships/hyperlink" Target="mailto:eestrada@mtbprojects.com" TargetMode="External"/><Relationship Id="rId202" Type="http://schemas.openxmlformats.org/officeDocument/2006/relationships/hyperlink" Target="mailto:Herve@desertservices.net" TargetMode="External"/><Relationship Id="rId223" Type="http://schemas.openxmlformats.org/officeDocument/2006/relationships/hyperlink" Target="mailto:chadandrist@weisbuilders.com;%20chadboehme@weisbuilders.com" TargetMode="External"/><Relationship Id="rId244" Type="http://schemas.openxmlformats.org/officeDocument/2006/relationships/hyperlink" Target="mailto:ray.gomez@ryancompanies.com" TargetMode="External"/><Relationship Id="rId18" Type="http://schemas.openxmlformats.org/officeDocument/2006/relationships/hyperlink" Target="mailto:Logan@desertservices.net" TargetMode="External"/><Relationship Id="rId39" Type="http://schemas.openxmlformats.org/officeDocument/2006/relationships/hyperlink" Target="mailto:eroy@frampton.construction;%20zhollifield@frampton.construction" TargetMode="External"/><Relationship Id="rId265" Type="http://schemas.openxmlformats.org/officeDocument/2006/relationships/hyperlink" Target="mailto:jairosaragoza@coreconstruction.com;%20Bengeraty@coreconstruction.com;%20Mattmetivier@coreconstruction.com;%20kennygill@coreconstruction.com" TargetMode="External"/><Relationship Id="rId50" Type="http://schemas.openxmlformats.org/officeDocument/2006/relationships/hyperlink" Target="mailto:kmccord@mtbprojects.com;dvanpatten@mtprojects.com" TargetMode="External"/><Relationship Id="rId104" Type="http://schemas.openxmlformats.org/officeDocument/2006/relationships/hyperlink" Target="mailto:Logan@desertservices.net" TargetMode="External"/><Relationship Id="rId125" Type="http://schemas.openxmlformats.org/officeDocument/2006/relationships/hyperlink" Target="mailto:Logan@desertservices.net" TargetMode="External"/><Relationship Id="rId146" Type="http://schemas.openxmlformats.org/officeDocument/2006/relationships/hyperlink" Target="mailto:Logan@desertservices.net" TargetMode="External"/><Relationship Id="rId167" Type="http://schemas.openxmlformats.org/officeDocument/2006/relationships/hyperlink" Target="mailto:landerson@willmeng.com" TargetMode="External"/><Relationship Id="rId188" Type="http://schemas.openxmlformats.org/officeDocument/2006/relationships/hyperlink" Target="mailto:ronb@benson-inc.com" TargetMode="External"/><Relationship Id="rId71" Type="http://schemas.openxmlformats.org/officeDocument/2006/relationships/hyperlink" Target="mailto:dennis@doubleaabuilders.com;%20daren@doubleaabuilders.com" TargetMode="External"/><Relationship Id="rId92" Type="http://schemas.openxmlformats.org/officeDocument/2006/relationships/hyperlink" Target="mailto:Herve@desertservices.net" TargetMode="External"/><Relationship Id="rId213" Type="http://schemas.openxmlformats.org/officeDocument/2006/relationships/hyperlink" Target="mailto:darin.krier@ryancompanies.com;%20don.engquist@ryancompanies.com" TargetMode="External"/><Relationship Id="rId234" Type="http://schemas.openxmlformats.org/officeDocument/2006/relationships/hyperlink" Target="mailto:harold@truenorth.builders" TargetMode="External"/><Relationship Id="rId2" Type="http://schemas.openxmlformats.org/officeDocument/2006/relationships/hyperlink" Target="mailto:sawyer@verdebuild.com;%20projectassist@verdebuild.com" TargetMode="External"/><Relationship Id="rId29" Type="http://schemas.openxmlformats.org/officeDocument/2006/relationships/hyperlink" Target="mailto:MANDERSON@JLBPARTNERS.COM;%20tanderson@jlbpartners.com" TargetMode="External"/><Relationship Id="rId255" Type="http://schemas.openxmlformats.org/officeDocument/2006/relationships/hyperlink" Target="mailto:chrisj@bprcompanies.com" TargetMode="External"/><Relationship Id="rId276" Type="http://schemas.openxmlformats.org/officeDocument/2006/relationships/vmlDrawing" Target="../drawings/vmlDrawing1.vml"/><Relationship Id="rId40" Type="http://schemas.openxmlformats.org/officeDocument/2006/relationships/hyperlink" Target="mailto:josephriesgo@coreconstruction.com" TargetMode="External"/><Relationship Id="rId115" Type="http://schemas.openxmlformats.org/officeDocument/2006/relationships/hyperlink" Target="mailto:mshawcroft@renconco.com;%20zdewitt@renconco.com" TargetMode="External"/><Relationship Id="rId136" Type="http://schemas.openxmlformats.org/officeDocument/2006/relationships/hyperlink" Target="mailto:andy.dowd@whiting-turner.com;bret.sczruba@whiting-turner.com;%20trenton.beachy@whiting-turner.com" TargetMode="External"/><Relationship Id="rId157" Type="http://schemas.openxmlformats.org/officeDocument/2006/relationships/hyperlink" Target="mailto:Logan@desertservices.net" TargetMode="External"/><Relationship Id="rId178" Type="http://schemas.openxmlformats.org/officeDocument/2006/relationships/hyperlink" Target="mailto:mike@slconst.com;%20brandon@slconst.com" TargetMode="External"/><Relationship Id="rId61" Type="http://schemas.openxmlformats.org/officeDocument/2006/relationships/hyperlink" Target="mailto:monicag@tbpenick.com;%20keenem@tbpenick.com;%20johnpa@tbpenick.com;%20armandoc@tbpenick.com" TargetMode="External"/><Relationship Id="rId82" Type="http://schemas.openxmlformats.org/officeDocument/2006/relationships/hyperlink" Target="mailto:kfeldman@atlasbuilds.com" TargetMode="External"/><Relationship Id="rId199" Type="http://schemas.openxmlformats.org/officeDocument/2006/relationships/hyperlink" Target="mailto:Logan@desertservices.net" TargetMode="External"/><Relationship Id="rId203" Type="http://schemas.openxmlformats.org/officeDocument/2006/relationships/hyperlink" Target="mailto:Logan@desertservices.net" TargetMode="External"/><Relationship Id="rId19" Type="http://schemas.openxmlformats.org/officeDocument/2006/relationships/hyperlink" Target="mailto:caseywilliams@weisbuilders.com;%20raullopez@weisbuilders.com" TargetMode="External"/><Relationship Id="rId224" Type="http://schemas.openxmlformats.org/officeDocument/2006/relationships/hyperlink" Target="mailto:jim@deserttruss.com" TargetMode="External"/><Relationship Id="rId245" Type="http://schemas.openxmlformats.org/officeDocument/2006/relationships/hyperlink" Target="mailto:dgrumich@arco1.com;%20jvanderbeck@arco1.com" TargetMode="External"/><Relationship Id="rId266" Type="http://schemas.openxmlformats.org/officeDocument/2006/relationships/hyperlink" Target="mailto:l.piatz@vequity.com" TargetMode="External"/><Relationship Id="rId30" Type="http://schemas.openxmlformats.org/officeDocument/2006/relationships/hyperlink" Target="mailto:Logan@desertservices.net" TargetMode="External"/><Relationship Id="rId105" Type="http://schemas.openxmlformats.org/officeDocument/2006/relationships/hyperlink" Target="mailto:Herve@desertservices.net" TargetMode="External"/><Relationship Id="rId126" Type="http://schemas.openxmlformats.org/officeDocument/2006/relationships/hyperlink" Target="mailto:Logan@desertservices.net" TargetMode="External"/><Relationship Id="rId147" Type="http://schemas.openxmlformats.org/officeDocument/2006/relationships/hyperlink" Target="mailto:Logan@desertservices.net" TargetMode="External"/><Relationship Id="rId168" Type="http://schemas.openxmlformats.org/officeDocument/2006/relationships/hyperlink" Target="mailto:justino@hawkbuilders.net" TargetMode="External"/><Relationship Id="rId51" Type="http://schemas.openxmlformats.org/officeDocument/2006/relationships/hyperlink" Target="mailto:tom.malafa@greystar.com" TargetMode="External"/><Relationship Id="rId72" Type="http://schemas.openxmlformats.org/officeDocument/2006/relationships/hyperlink" Target="mailto:justin@hbiconstruction.com" TargetMode="External"/><Relationship Id="rId93" Type="http://schemas.openxmlformats.org/officeDocument/2006/relationships/hyperlink" Target="mailto:Logan@desertservices.net" TargetMode="External"/><Relationship Id="rId189" Type="http://schemas.openxmlformats.org/officeDocument/2006/relationships/hyperlink" Target="mailto:matt.zanotto@catamountinc.com" TargetMode="External"/><Relationship Id="rId3" Type="http://schemas.openxmlformats.org/officeDocument/2006/relationships/hyperlink" Target="mailto:raymond@fdgroup.us;robert@fdgroup.us;dan@fdgroup.us" TargetMode="External"/><Relationship Id="rId214" Type="http://schemas.openxmlformats.org/officeDocument/2006/relationships/hyperlink" Target="mailto:Logan@desertservices.net" TargetMode="External"/><Relationship Id="rId235" Type="http://schemas.openxmlformats.org/officeDocument/2006/relationships/hyperlink" Target="mailto:bhanna@concordinc.com" TargetMode="External"/><Relationship Id="rId256" Type="http://schemas.openxmlformats.org/officeDocument/2006/relationships/hyperlink" Target="mailto:jslocum@armays.com" TargetMode="External"/><Relationship Id="rId277" Type="http://schemas.openxmlformats.org/officeDocument/2006/relationships/comments" Target="../comments1.xml"/><Relationship Id="rId116" Type="http://schemas.openxmlformats.org/officeDocument/2006/relationships/hyperlink" Target="mailto:chandler.martoncik-axtell@whiting-turner.com%20;%20steven.kenzevich@whiting-turner.com" TargetMode="External"/><Relationship Id="rId137" Type="http://schemas.openxmlformats.org/officeDocument/2006/relationships/hyperlink" Target="mailto:bdallmann@chasse.us" TargetMode="External"/><Relationship Id="rId158" Type="http://schemas.openxmlformats.org/officeDocument/2006/relationships/hyperlink" Target="mailto:Logan@desertservices.net" TargetMode="External"/><Relationship Id="rId20" Type="http://schemas.openxmlformats.org/officeDocument/2006/relationships/hyperlink" Target="mailto:Logan@desertservices.net" TargetMode="External"/><Relationship Id="rId41" Type="http://schemas.openxmlformats.org/officeDocument/2006/relationships/hyperlink" Target="mailto:nixon.rodriguez@weitz.com;%20john.lapp@weitz.com;%20ethan.schneider@weitz.com;%20brian.lawrensin@weitz.com;%20chris.morrow@weitz.com" TargetMode="External"/><Relationship Id="rId62" Type="http://schemas.openxmlformats.org/officeDocument/2006/relationships/hyperlink" Target="mailto:dan.brown@roerscompanies.com;%20danial.peddy@roerscompanies.com" TargetMode="External"/><Relationship Id="rId83" Type="http://schemas.openxmlformats.org/officeDocument/2006/relationships/hyperlink" Target="mailto:ccoppola@lgedesignbuild.com" TargetMode="External"/><Relationship Id="rId179" Type="http://schemas.openxmlformats.org/officeDocument/2006/relationships/hyperlink" Target="mailto:bryce@tlwconstruction.com" TargetMode="External"/><Relationship Id="rId190" Type="http://schemas.openxmlformats.org/officeDocument/2006/relationships/hyperlink" Target="mailto:vanessa.sanchez@laytonconstruction.com;%20hunter.honebein@laytonconstruction.com;%20travis.becker@laytonconstruction.com" TargetMode="External"/><Relationship Id="rId204" Type="http://schemas.openxmlformats.org/officeDocument/2006/relationships/hyperlink" Target="mailto:Herve@desertservices.net" TargetMode="External"/><Relationship Id="rId225" Type="http://schemas.openxmlformats.org/officeDocument/2006/relationships/hyperlink" Target="mailto:chris.mott@laytonconstruction.com;%20jake.perry@laytonconstruction.com;%20michael.cheung@laytonconstruction.com" TargetMode="External"/><Relationship Id="rId246" Type="http://schemas.openxmlformats.org/officeDocument/2006/relationships/hyperlink" Target="mailto:Logan@desertservices.net" TargetMode="External"/><Relationship Id="rId267" Type="http://schemas.openxmlformats.org/officeDocument/2006/relationships/hyperlink" Target="mailto:Logan@desertservices.net" TargetMode="External"/><Relationship Id="rId106" Type="http://schemas.openxmlformats.org/officeDocument/2006/relationships/hyperlink" Target="mailto:Logan@desertservices.net" TargetMode="External"/><Relationship Id="rId127" Type="http://schemas.openxmlformats.org/officeDocument/2006/relationships/hyperlink" Target="mailto:estruss@renconco.com;%20sbahena@renconco.com" TargetMode="External"/><Relationship Id="rId10" Type="http://schemas.openxmlformats.org/officeDocument/2006/relationships/hyperlink" Target="mailto:bryan.brown@brookfieldrp.com;%20cliff.campbell@brookfieldrp.com;%20kevin.halliburton@brookfieldrp.com;%20john.odowd@brookfieldrp.com;%20connie.albano@brookfieldrp.com" TargetMode="External"/><Relationship Id="rId31" Type="http://schemas.openxmlformats.org/officeDocument/2006/relationships/hyperlink" Target="mailto:seanc@bprcompanies.com" TargetMode="External"/><Relationship Id="rId52" Type="http://schemas.openxmlformats.org/officeDocument/2006/relationships/hyperlink" Target="mailto:Logan@desertservices.net" TargetMode="External"/><Relationship Id="rId73" Type="http://schemas.openxmlformats.org/officeDocument/2006/relationships/hyperlink" Target="mailto:Herve@desertservices.net" TargetMode="External"/><Relationship Id="rId94" Type="http://schemas.openxmlformats.org/officeDocument/2006/relationships/hyperlink" Target="mailto:Logan@desertservices.net" TargetMode="External"/><Relationship Id="rId148" Type="http://schemas.openxmlformats.org/officeDocument/2006/relationships/hyperlink" Target="mailto:dtarwater@calienteconstruction.com" TargetMode="External"/><Relationship Id="rId169" Type="http://schemas.openxmlformats.org/officeDocument/2006/relationships/hyperlink" Target="mailto:wfarris@holder.com;%20rsnyder@holder.com;%20sarahbarr@holder.com;%20gsaacks@holder.com" TargetMode="External"/><Relationship Id="rId4" Type="http://schemas.openxmlformats.org/officeDocument/2006/relationships/hyperlink" Target="mailto:jleonard@guefen.com" TargetMode="External"/><Relationship Id="rId180" Type="http://schemas.openxmlformats.org/officeDocument/2006/relationships/hyperlink" Target="mailto:jzozaya@armays.com" TargetMode="External"/><Relationship Id="rId215" Type="http://schemas.openxmlformats.org/officeDocument/2006/relationships/hyperlink" Target="mailto:barry@sigmasouthwest.com" TargetMode="External"/><Relationship Id="rId236" Type="http://schemas.openxmlformats.org/officeDocument/2006/relationships/hyperlink" Target="mailto:rsmith@nittibldrs.com;lbrown@nittibldrs.com;%20mroyder@nittibldrs.com" TargetMode="External"/><Relationship Id="rId257" Type="http://schemas.openxmlformats.org/officeDocument/2006/relationships/hyperlink" Target="mailto:artmaese@weisbuilders.com" TargetMode="External"/><Relationship Id="rId42" Type="http://schemas.openxmlformats.org/officeDocument/2006/relationships/hyperlink" Target="mailto:Herve@desertservices.net" TargetMode="External"/><Relationship Id="rId84" Type="http://schemas.openxmlformats.org/officeDocument/2006/relationships/hyperlink" Target="mailto:john.doyle@emjcorp.com;%20alex.robles@emjcorp.com" TargetMode="External"/><Relationship Id="rId138" Type="http://schemas.openxmlformats.org/officeDocument/2006/relationships/hyperlink" Target="mailto:Logan@desertservices.net" TargetMode="External"/><Relationship Id="rId191" Type="http://schemas.openxmlformats.org/officeDocument/2006/relationships/hyperlink" Target="mailto:frey@claycorp.com;%20khandelwals@claycorp.com;%20maioranat@claycorp.com;%20waghmarep@claycorp.com;%20hilliardt@claycorp.com" TargetMode="External"/><Relationship Id="rId205" Type="http://schemas.openxmlformats.org/officeDocument/2006/relationships/hyperlink" Target="mailto:Logan@desertservices.net" TargetMode="External"/><Relationship Id="rId247" Type="http://schemas.openxmlformats.org/officeDocument/2006/relationships/hyperlink" Target="mailto:Herve@desertservices.net" TargetMode="External"/><Relationship Id="rId107" Type="http://schemas.openxmlformats.org/officeDocument/2006/relationships/hyperlink" Target="mailto:Logan@desertservices.net" TargetMode="External"/><Relationship Id="rId11" Type="http://schemas.openxmlformats.org/officeDocument/2006/relationships/hyperlink" Target="mailto:Logan@desertservices.net" TargetMode="External"/><Relationship Id="rId53" Type="http://schemas.openxmlformats.org/officeDocument/2006/relationships/hyperlink" Target="mailto:mfatino@fclbuilders.com" TargetMode="External"/><Relationship Id="rId149" Type="http://schemas.openxmlformats.org/officeDocument/2006/relationships/hyperlink" Target="mailto:smcleod@fclbuilders.com" TargetMode="External"/><Relationship Id="rId95" Type="http://schemas.openxmlformats.org/officeDocument/2006/relationships/hyperlink" Target="mailto:Herve@desertservices.net" TargetMode="External"/><Relationship Id="rId160" Type="http://schemas.openxmlformats.org/officeDocument/2006/relationships/hyperlink" Target="mailto:steve@sonorawestdev.com" TargetMode="External"/><Relationship Id="rId216" Type="http://schemas.openxmlformats.org/officeDocument/2006/relationships/hyperlink" Target="mailto:shane.weller@lewisbuilds.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lsimco@pkwycon.com" TargetMode="External"/><Relationship Id="rId671" Type="http://schemas.openxmlformats.org/officeDocument/2006/relationships/hyperlink" Target="mailto:Herve@desertservices.net" TargetMode="External"/><Relationship Id="rId769" Type="http://schemas.openxmlformats.org/officeDocument/2006/relationships/hyperlink" Target="mailto:amiceli@fclbuilders.com" TargetMode="External"/><Relationship Id="rId21" Type="http://schemas.openxmlformats.org/officeDocument/2006/relationships/hyperlink" Target="mailto:jim@jamessquaredev.com" TargetMode="External"/><Relationship Id="rId324" Type="http://schemas.openxmlformats.org/officeDocument/2006/relationships/hyperlink" Target="mailto:Logan@desertservices.net" TargetMode="External"/><Relationship Id="rId531" Type="http://schemas.openxmlformats.org/officeDocument/2006/relationships/hyperlink" Target="mailto:don.engquist@ryancompanies.com" TargetMode="External"/><Relationship Id="rId629" Type="http://schemas.openxmlformats.org/officeDocument/2006/relationships/hyperlink" Target="mailto:tshrivastava@willmeng.com;%20landerson@willmeng.com;%20rstuker@willmeng.com" TargetMode="External"/><Relationship Id="rId170" Type="http://schemas.openxmlformats.org/officeDocument/2006/relationships/hyperlink" Target="mailto:TJones@DerekBuilders.com" TargetMode="External"/><Relationship Id="rId836" Type="http://schemas.openxmlformats.org/officeDocument/2006/relationships/hyperlink" Target="mailto:bruce@truenorth.builders" TargetMode="External"/><Relationship Id="rId268" Type="http://schemas.openxmlformats.org/officeDocument/2006/relationships/hyperlink" Target="mailto:Logan@desertservices.net" TargetMode="External"/><Relationship Id="rId475" Type="http://schemas.openxmlformats.org/officeDocument/2006/relationships/hyperlink" Target="mailto:Logan@desertservices.net" TargetMode="External"/><Relationship Id="rId682" Type="http://schemas.openxmlformats.org/officeDocument/2006/relationships/hyperlink" Target="mailto:bdorge@fclbuilders.com;%20acecchin@fclbuilders.com;%20jbach@fclbuilders.com" TargetMode="External"/><Relationship Id="rId903" Type="http://schemas.openxmlformats.org/officeDocument/2006/relationships/hyperlink" Target="mailto:slaborin@sunlandasphalt.com" TargetMode="External"/><Relationship Id="rId32" Type="http://schemas.openxmlformats.org/officeDocument/2006/relationships/hyperlink" Target="mailto:jakeb@gconinc.com" TargetMode="External"/><Relationship Id="rId128" Type="http://schemas.openxmlformats.org/officeDocument/2006/relationships/hyperlink" Target="mailto:CSTRANGE@CHASSE.US" TargetMode="External"/><Relationship Id="rId335" Type="http://schemas.openxmlformats.org/officeDocument/2006/relationships/hyperlink" Target="mailto:BRIANOLTHOFF@CORECONSTRUCTION.COM" TargetMode="External"/><Relationship Id="rId542" Type="http://schemas.openxmlformats.org/officeDocument/2006/relationships/hyperlink" Target="mailto:Logan@desertservices.net" TargetMode="External"/><Relationship Id="rId181" Type="http://schemas.openxmlformats.org/officeDocument/2006/relationships/hyperlink" Target="mailto:SCOCHRAN@CHASSE.US;opeterson@chasse.us" TargetMode="External"/><Relationship Id="rId402" Type="http://schemas.openxmlformats.org/officeDocument/2006/relationships/hyperlink" Target="mailto:adam_shelnick@graycor.com" TargetMode="External"/><Relationship Id="rId847" Type="http://schemas.openxmlformats.org/officeDocument/2006/relationships/hyperlink" Target="mailto:caleb_johnson@graycor.com;%20jeremy_%20harris@graycor.com" TargetMode="External"/><Relationship Id="rId279" Type="http://schemas.openxmlformats.org/officeDocument/2006/relationships/hyperlink" Target="mailto:Logan@desertservices.net" TargetMode="External"/><Relationship Id="rId486" Type="http://schemas.openxmlformats.org/officeDocument/2006/relationships/hyperlink" Target="mailto:Logan@desertservices.net" TargetMode="External"/><Relationship Id="rId693" Type="http://schemas.openxmlformats.org/officeDocument/2006/relationships/hyperlink" Target="mailto:atorres@chasse.us;dkelley@chasse.us" TargetMode="External"/><Relationship Id="rId707" Type="http://schemas.openxmlformats.org/officeDocument/2006/relationships/hyperlink" Target="mailto:hlin@180degreesinc.com" TargetMode="External"/><Relationship Id="rId914" Type="http://schemas.openxmlformats.org/officeDocument/2006/relationships/hyperlink" Target="mailto:r.seitz@vequity.com" TargetMode="External"/><Relationship Id="rId43" Type="http://schemas.openxmlformats.org/officeDocument/2006/relationships/hyperlink" Target="mailto:sroberts@alstonco.com" TargetMode="External"/><Relationship Id="rId139" Type="http://schemas.openxmlformats.org/officeDocument/2006/relationships/hyperlink" Target="mailto:Logan@desertservices.net" TargetMode="External"/><Relationship Id="rId346" Type="http://schemas.openxmlformats.org/officeDocument/2006/relationships/hyperlink" Target="mailto:ADambrosio@sigmacontracting.com" TargetMode="External"/><Relationship Id="rId553" Type="http://schemas.openxmlformats.org/officeDocument/2006/relationships/hyperlink" Target="mailto:daryll@bjerkbuilders.com" TargetMode="External"/><Relationship Id="rId760" Type="http://schemas.openxmlformats.org/officeDocument/2006/relationships/hyperlink" Target="mailto:karl.carroll@ryancompanies.com" TargetMode="External"/><Relationship Id="rId192" Type="http://schemas.openxmlformats.org/officeDocument/2006/relationships/hyperlink" Target="mailto:Logan@desertservices.net" TargetMode="External"/><Relationship Id="rId206" Type="http://schemas.openxmlformats.org/officeDocument/2006/relationships/hyperlink" Target="mailto:NIKI@COPPER-NAIL.COM" TargetMode="External"/><Relationship Id="rId413" Type="http://schemas.openxmlformats.org/officeDocument/2006/relationships/hyperlink" Target="mailto:Logan@desertservices.net" TargetMode="External"/><Relationship Id="rId858" Type="http://schemas.openxmlformats.org/officeDocument/2006/relationships/hyperlink" Target="mailto:bjablonsky@Mtbprojects.com" TargetMode="External"/><Relationship Id="rId497" Type="http://schemas.openxmlformats.org/officeDocument/2006/relationships/hyperlink" Target="mailto:mschwarzbach@ridgehouseco.com;jmurphy@ridgehouseco.com" TargetMode="External"/><Relationship Id="rId620" Type="http://schemas.openxmlformats.org/officeDocument/2006/relationships/hyperlink" Target="mailto:Logan@desertservices.net" TargetMode="External"/><Relationship Id="rId718" Type="http://schemas.openxmlformats.org/officeDocument/2006/relationships/hyperlink" Target="mailto:Logan@desertservices.net" TargetMode="External"/><Relationship Id="rId925" Type="http://schemas.openxmlformats.org/officeDocument/2006/relationships/hyperlink" Target="mailto:Logan@desertservices.net" TargetMode="External"/><Relationship Id="rId357" Type="http://schemas.openxmlformats.org/officeDocument/2006/relationships/hyperlink" Target="mailto:Logan@desertservices.net" TargetMode="External"/><Relationship Id="rId54" Type="http://schemas.openxmlformats.org/officeDocument/2006/relationships/hyperlink" Target="mailto:HSTLAWRENCE@RYTANCONSTRUCTION.COM" TargetMode="External"/><Relationship Id="rId217" Type="http://schemas.openxmlformats.org/officeDocument/2006/relationships/hyperlink" Target="mailto:marcus.morales@sodella.com" TargetMode="External"/><Relationship Id="rId564" Type="http://schemas.openxmlformats.org/officeDocument/2006/relationships/hyperlink" Target="mailto:byron@aceconstructionlv.com;bethk@overlandcorp.com;tonyd@overlandcorp.com" TargetMode="External"/><Relationship Id="rId771" Type="http://schemas.openxmlformats.org/officeDocument/2006/relationships/hyperlink" Target="mailto:nricke@mcrtrust.com;mdugas@mcrtrust.com;cmannino@mctrust.com" TargetMode="External"/><Relationship Id="rId869" Type="http://schemas.openxmlformats.org/officeDocument/2006/relationships/hyperlink" Target="mailto:john.miller@ryancompanies.com" TargetMode="External"/><Relationship Id="rId424" Type="http://schemas.openxmlformats.org/officeDocument/2006/relationships/hyperlink" Target="mailto:Logan@desertservices.net" TargetMode="External"/><Relationship Id="rId631" Type="http://schemas.openxmlformats.org/officeDocument/2006/relationships/hyperlink" Target="mailto:cturchany@armays.com;%20jzozaya@armays.com" TargetMode="External"/><Relationship Id="rId729" Type="http://schemas.openxmlformats.org/officeDocument/2006/relationships/hyperlink" Target="mailto:zane.serrano@agateconstructioninc.com;%20steve.johnson@agateconstructioninc.com" TargetMode="External"/><Relationship Id="rId270" Type="http://schemas.openxmlformats.org/officeDocument/2006/relationships/hyperlink" Target="mailto:shawn.w@collabconst.com" TargetMode="External"/><Relationship Id="rId65" Type="http://schemas.openxmlformats.org/officeDocument/2006/relationships/hyperlink" Target="mailto:dave.geroux@woodpartners.com" TargetMode="External"/><Relationship Id="rId130" Type="http://schemas.openxmlformats.org/officeDocument/2006/relationships/hyperlink" Target="mailto:Logan@desertservices.net" TargetMode="External"/><Relationship Id="rId368" Type="http://schemas.openxmlformats.org/officeDocument/2006/relationships/hyperlink" Target="mailto:PCONDO@FDGROUP.US;LLUGO@FDGROUP.US" TargetMode="External"/><Relationship Id="rId575" Type="http://schemas.openxmlformats.org/officeDocument/2006/relationships/hyperlink" Target="mailto:Logan@desertservices.net" TargetMode="External"/><Relationship Id="rId782" Type="http://schemas.openxmlformats.org/officeDocument/2006/relationships/hyperlink" Target="mailto:jeccles@willmeng.com;%20eenniss@willmeng.com" TargetMode="External"/><Relationship Id="rId228" Type="http://schemas.openxmlformats.org/officeDocument/2006/relationships/hyperlink" Target="mailto:Logan@desertservices.net" TargetMode="External"/><Relationship Id="rId435" Type="http://schemas.openxmlformats.org/officeDocument/2006/relationships/hyperlink" Target="mailto:adam_shelnick@graycor.com" TargetMode="External"/><Relationship Id="rId642" Type="http://schemas.openxmlformats.org/officeDocument/2006/relationships/hyperlink" Target="mailto:d.vandriel@bflconstruction.com" TargetMode="External"/><Relationship Id="rId281" Type="http://schemas.openxmlformats.org/officeDocument/2006/relationships/hyperlink" Target="mailto:pinkertonk@claycorp.com" TargetMode="External"/><Relationship Id="rId502" Type="http://schemas.openxmlformats.org/officeDocument/2006/relationships/hyperlink" Target="mailto:Robert.Hogg@agateconstructioninc.com;zane.serrano@agateconstructioninc.com" TargetMode="External"/><Relationship Id="rId76" Type="http://schemas.openxmlformats.org/officeDocument/2006/relationships/hyperlink" Target="mailto:BRUCE@AZPCI.COM" TargetMode="External"/><Relationship Id="rId141" Type="http://schemas.openxmlformats.org/officeDocument/2006/relationships/hyperlink" Target="mailto:jwallace@chasse.us" TargetMode="External"/><Relationship Id="rId379" Type="http://schemas.openxmlformats.org/officeDocument/2006/relationships/hyperlink" Target="mailto:RSIEMSEN@MCCARTHY.COM;RHANSON@MCCARTHY.COM" TargetMode="External"/><Relationship Id="rId586" Type="http://schemas.openxmlformats.org/officeDocument/2006/relationships/hyperlink" Target="mailto:jwilhelm@willmeng.com" TargetMode="External"/><Relationship Id="rId793" Type="http://schemas.openxmlformats.org/officeDocument/2006/relationships/hyperlink" Target="mailto:b.thompson@markhamcontracting.com" TargetMode="External"/><Relationship Id="rId807" Type="http://schemas.openxmlformats.org/officeDocument/2006/relationships/hyperlink" Target="mailto:lucash@gconinc.com" TargetMode="External"/><Relationship Id="rId7" Type="http://schemas.openxmlformats.org/officeDocument/2006/relationships/hyperlink" Target="mailto:avalonsitejob@gmail.com" TargetMode="External"/><Relationship Id="rId239" Type="http://schemas.openxmlformats.org/officeDocument/2006/relationships/hyperlink" Target="mailto:bfyffe@willmeng.cm" TargetMode="External"/><Relationship Id="rId446" Type="http://schemas.openxmlformats.org/officeDocument/2006/relationships/hyperlink" Target="mailto:SSANDMANN@greenberg-construction.com;dmiller@greenberg-construction.com" TargetMode="External"/><Relationship Id="rId653" Type="http://schemas.openxmlformats.org/officeDocument/2006/relationships/hyperlink" Target="mailto:moniuszkom@claycorp.com" TargetMode="External"/><Relationship Id="rId292" Type="http://schemas.openxmlformats.org/officeDocument/2006/relationships/hyperlink" Target="mailto:jpmclaughlin@chasse.us;igarcia@chasse.us" TargetMode="External"/><Relationship Id="rId306" Type="http://schemas.openxmlformats.org/officeDocument/2006/relationships/hyperlink" Target="mailto:gravest@claycorp.com" TargetMode="External"/><Relationship Id="rId860" Type="http://schemas.openxmlformats.org/officeDocument/2006/relationships/hyperlink" Target="mailto:rlemons@armays.com" TargetMode="External"/><Relationship Id="rId87" Type="http://schemas.openxmlformats.org/officeDocument/2006/relationships/hyperlink" Target="mailto:chad.gloetzner@venncompanies.com" TargetMode="External"/><Relationship Id="rId513" Type="http://schemas.openxmlformats.org/officeDocument/2006/relationships/hyperlink" Target="mailto:dave@pridecontractingllc.com" TargetMode="External"/><Relationship Id="rId597" Type="http://schemas.openxmlformats.org/officeDocument/2006/relationships/hyperlink" Target="mailto:Logan@desertservices.net" TargetMode="External"/><Relationship Id="rId720" Type="http://schemas.openxmlformats.org/officeDocument/2006/relationships/hyperlink" Target="mailto:Logan@desertservices.net" TargetMode="External"/><Relationship Id="rId818" Type="http://schemas.openxmlformats.org/officeDocument/2006/relationships/hyperlink" Target="mailto:aleichtman@fclbuilders.com;bbarbee@fclbuilders.com" TargetMode="External"/><Relationship Id="rId152" Type="http://schemas.openxmlformats.org/officeDocument/2006/relationships/hyperlink" Target="mailto:AKUHLMANN@PKWYCON.COM" TargetMode="External"/><Relationship Id="rId457" Type="http://schemas.openxmlformats.org/officeDocument/2006/relationships/hyperlink" Target="mailto:AlecN@lottbrothers.com" TargetMode="External"/><Relationship Id="rId664" Type="http://schemas.openxmlformats.org/officeDocument/2006/relationships/hyperlink" Target="mailto:tom.maurer@spurrconstruction.com" TargetMode="External"/><Relationship Id="rId871" Type="http://schemas.openxmlformats.org/officeDocument/2006/relationships/hyperlink" Target="mailto:shane.southern@greystar.com;%20tyson.smith@greystar.com;%20tim.cahanes@greystar.com;%20molly.griglak@greystar.com" TargetMode="External"/><Relationship Id="rId14" Type="http://schemas.openxmlformats.org/officeDocument/2006/relationships/hyperlink" Target="mailto:mlegge@mtprojects.com" TargetMode="External"/><Relationship Id="rId317" Type="http://schemas.openxmlformats.org/officeDocument/2006/relationships/hyperlink" Target="mailto:brennanparker@chasse.us;tgeary@chasse.us" TargetMode="External"/><Relationship Id="rId524" Type="http://schemas.openxmlformats.org/officeDocument/2006/relationships/hyperlink" Target="mailto:timothy.hutter@laytonconstruction.com" TargetMode="External"/><Relationship Id="rId731" Type="http://schemas.openxmlformats.org/officeDocument/2006/relationships/hyperlink" Target="mailto:danny.murrietta@41northcontractors.com" TargetMode="External"/><Relationship Id="rId98" Type="http://schemas.openxmlformats.org/officeDocument/2006/relationships/hyperlink" Target="mailto:mikeb@gconinc.com" TargetMode="External"/><Relationship Id="rId163" Type="http://schemas.openxmlformats.org/officeDocument/2006/relationships/hyperlink" Target="mailto:JIMP@LGEDESIGNBUILD.COM" TargetMode="External"/><Relationship Id="rId370" Type="http://schemas.openxmlformats.org/officeDocument/2006/relationships/hyperlink" Target="mailto:shawnchapman@chasse.us;jjordan@chasse.us" TargetMode="External"/><Relationship Id="rId829" Type="http://schemas.openxmlformats.org/officeDocument/2006/relationships/hyperlink" Target="mailto:ffazzino@haydonbc.com" TargetMode="External"/><Relationship Id="rId230" Type="http://schemas.openxmlformats.org/officeDocument/2006/relationships/hyperlink" Target="mailto:ryanhigens@vccusa.com" TargetMode="External"/><Relationship Id="rId468" Type="http://schemas.openxmlformats.org/officeDocument/2006/relationships/hyperlink" Target="mailto:zack.few@coreconstruction.com;ericdecker@corconstruction.com" TargetMode="External"/><Relationship Id="rId675" Type="http://schemas.openxmlformats.org/officeDocument/2006/relationships/hyperlink" Target="mailto:mtraughber@haydonbc.com" TargetMode="External"/><Relationship Id="rId882" Type="http://schemas.openxmlformats.org/officeDocument/2006/relationships/hyperlink" Target="mailto:sfleming@calienteconstruction.com" TargetMode="External"/><Relationship Id="rId25" Type="http://schemas.openxmlformats.org/officeDocument/2006/relationships/hyperlink" Target="mailto:ryancooper@coreconstruction.com" TargetMode="External"/><Relationship Id="rId328" Type="http://schemas.openxmlformats.org/officeDocument/2006/relationships/hyperlink" Target="mailto:donovanjames@coreconstruction.com" TargetMode="External"/><Relationship Id="rId535" Type="http://schemas.openxmlformats.org/officeDocument/2006/relationships/hyperlink" Target="mailto:KENNETH.FOSMOEN@LAYTONCONSTRUCTION.COM" TargetMode="External"/><Relationship Id="rId742" Type="http://schemas.openxmlformats.org/officeDocument/2006/relationships/hyperlink" Target="mailto:wwhite@chasse.us;%20kmatsuda@chasse.us" TargetMode="External"/><Relationship Id="rId174" Type="http://schemas.openxmlformats.org/officeDocument/2006/relationships/hyperlink" Target="mailto:Logan@desertservices.net" TargetMode="External"/><Relationship Id="rId381" Type="http://schemas.openxmlformats.org/officeDocument/2006/relationships/hyperlink" Target="mailto:tylerbivins@coreconstruction.com" TargetMode="External"/><Relationship Id="rId602" Type="http://schemas.openxmlformats.org/officeDocument/2006/relationships/hyperlink" Target="mailto:Herve@desertservices.net" TargetMode="External"/><Relationship Id="rId241" Type="http://schemas.openxmlformats.org/officeDocument/2006/relationships/hyperlink" Target="mailto:ryan.svetichan@ryancompies.com" TargetMode="External"/><Relationship Id="rId479" Type="http://schemas.openxmlformats.org/officeDocument/2006/relationships/hyperlink" Target="mailto:Logan@desertservices.net" TargetMode="External"/><Relationship Id="rId686" Type="http://schemas.openxmlformats.org/officeDocument/2006/relationships/hyperlink" Target="mailto:cstewart@lowmountain.com;jturley@lowmountain.com;charriet@cei-az.com;pmahoney@cei-az.com;dblount@cei-az.com;JKirchhardt@lowmountain.com;AKamis@lowmountain.com" TargetMode="External"/><Relationship Id="rId893" Type="http://schemas.openxmlformats.org/officeDocument/2006/relationships/hyperlink" Target="mailto:Logan@desertservices.net" TargetMode="External"/><Relationship Id="rId907" Type="http://schemas.openxmlformats.org/officeDocument/2006/relationships/hyperlink" Target="mailto:jkomperda@Tofeldent.com;%20wortiz@tofeldent.com;%20bjustice@Tofeldent.com" TargetMode="External"/><Relationship Id="rId36" Type="http://schemas.openxmlformats.org/officeDocument/2006/relationships/hyperlink" Target="mailto:kevin.bunn@idmbuilds.com" TargetMode="External"/><Relationship Id="rId339" Type="http://schemas.openxmlformats.org/officeDocument/2006/relationships/hyperlink" Target="mailto:Logan@desertservices.net" TargetMode="External"/><Relationship Id="rId546" Type="http://schemas.openxmlformats.org/officeDocument/2006/relationships/hyperlink" Target="mailto:stomlinson@ewbinc.com;dkherrick@ewbinc.com;dhendrickson@ewbinc.com" TargetMode="External"/><Relationship Id="rId753" Type="http://schemas.openxmlformats.org/officeDocument/2006/relationships/hyperlink" Target="mailto:Herve@desertservices.net" TargetMode="External"/><Relationship Id="rId101" Type="http://schemas.openxmlformats.org/officeDocument/2006/relationships/hyperlink" Target="mailto:NATHANCHAMBERLIN@CORECONSTRUCTION.COM" TargetMode="External"/><Relationship Id="rId185" Type="http://schemas.openxmlformats.org/officeDocument/2006/relationships/hyperlink" Target="mailto:Logan@desertservices.net" TargetMode="External"/><Relationship Id="rId406" Type="http://schemas.openxmlformats.org/officeDocument/2006/relationships/hyperlink" Target="mailto:ronm@harrislv.com" TargetMode="External"/><Relationship Id="rId392" Type="http://schemas.openxmlformats.org/officeDocument/2006/relationships/hyperlink" Target="mailto:Dominic_Youkhana@Graycor.com;james_williams@graycor.com" TargetMode="External"/><Relationship Id="rId613" Type="http://schemas.openxmlformats.org/officeDocument/2006/relationships/hyperlink" Target="mailto:gfreeman@guthriegeneral.com" TargetMode="External"/><Relationship Id="rId697" Type="http://schemas.openxmlformats.org/officeDocument/2006/relationships/hyperlink" Target="mailto:Logan@desertservices.net" TargetMode="External"/><Relationship Id="rId820" Type="http://schemas.openxmlformats.org/officeDocument/2006/relationships/hyperlink" Target="mailto:JBACH@FCLBUILDERS.COM;dschroat@fclbuilders.com;asollinger@fclbuilders.com" TargetMode="External"/><Relationship Id="rId918" Type="http://schemas.openxmlformats.org/officeDocument/2006/relationships/hyperlink" Target="mailto:taylor.mcdonald@greystar.com;%20ben.sinclair@greystar.com;%20gregory.rutledge@greystar.com;%20steven.nacsa@greystar.com" TargetMode="External"/><Relationship Id="rId252" Type="http://schemas.openxmlformats.org/officeDocument/2006/relationships/hyperlink" Target="mailto:Logan@desertservices.net" TargetMode="External"/><Relationship Id="rId47" Type="http://schemas.openxmlformats.org/officeDocument/2006/relationships/hyperlink" Target="mailto:ALCASTILLO@PRIMUSBUILDERS.COM" TargetMode="External"/><Relationship Id="rId112" Type="http://schemas.openxmlformats.org/officeDocument/2006/relationships/hyperlink" Target="mailto:jmoffitt@camdenliving.com" TargetMode="External"/><Relationship Id="rId557" Type="http://schemas.openxmlformats.org/officeDocument/2006/relationships/hyperlink" Target="mailto:Herve@desertservices.net" TargetMode="External"/><Relationship Id="rId764" Type="http://schemas.openxmlformats.org/officeDocument/2006/relationships/hyperlink" Target="mailto:Logan@desertservices.net" TargetMode="External"/><Relationship Id="rId196" Type="http://schemas.openxmlformats.org/officeDocument/2006/relationships/hyperlink" Target="mailto:kwelborn@CAMBRIDGECOINC.COM" TargetMode="External"/><Relationship Id="rId417" Type="http://schemas.openxmlformats.org/officeDocument/2006/relationships/hyperlink" Target="mailto:mmartinson@mccarthy.com" TargetMode="External"/><Relationship Id="rId624" Type="http://schemas.openxmlformats.org/officeDocument/2006/relationships/hyperlink" Target="mailto:ascott@willmeng.com" TargetMode="External"/><Relationship Id="rId831" Type="http://schemas.openxmlformats.org/officeDocument/2006/relationships/hyperlink" Target="mailto:Logan@desertservices.net" TargetMode="External"/><Relationship Id="rId263" Type="http://schemas.openxmlformats.org/officeDocument/2006/relationships/hyperlink" Target="mailto:matthew@santorinihomes.com" TargetMode="External"/><Relationship Id="rId470" Type="http://schemas.openxmlformats.org/officeDocument/2006/relationships/hyperlink" Target="mailto:Logan@desertservices.net" TargetMode="External"/><Relationship Id="rId929" Type="http://schemas.openxmlformats.org/officeDocument/2006/relationships/hyperlink" Target="mailto:bryce.hilt@mortenson.com;cameron.shankland@mortenson.com;%20vade.scruggs@mortenson.com" TargetMode="External"/><Relationship Id="rId58" Type="http://schemas.openxmlformats.org/officeDocument/2006/relationships/hyperlink" Target="mailto:rob.moulton@haskell.com" TargetMode="External"/><Relationship Id="rId123" Type="http://schemas.openxmlformats.org/officeDocument/2006/relationships/hyperlink" Target="mailto:rshahan@pkwaycon.com" TargetMode="External"/><Relationship Id="rId330" Type="http://schemas.openxmlformats.org/officeDocument/2006/relationships/hyperlink" Target="mailto:dknipp.arc@gmail.com" TargetMode="External"/><Relationship Id="rId568" Type="http://schemas.openxmlformats.org/officeDocument/2006/relationships/hyperlink" Target="mailto:n.papanikolas@mcmanusconstruction.net" TargetMode="External"/><Relationship Id="rId775" Type="http://schemas.openxmlformats.org/officeDocument/2006/relationships/hyperlink" Target="mailto:sframjee@alcornci.com" TargetMode="External"/><Relationship Id="rId428" Type="http://schemas.openxmlformats.org/officeDocument/2006/relationships/hyperlink" Target="mailto:brad@tlwconstruction.com" TargetMode="External"/><Relationship Id="rId635" Type="http://schemas.openxmlformats.org/officeDocument/2006/relationships/hyperlink" Target="mailto:kbrooks@parkwayconstruction.com" TargetMode="External"/><Relationship Id="rId842" Type="http://schemas.openxmlformats.org/officeDocument/2006/relationships/hyperlink" Target="mailto:Herve@desertservices.net" TargetMode="External"/><Relationship Id="rId274" Type="http://schemas.openxmlformats.org/officeDocument/2006/relationships/hyperlink" Target="mailto:mbrady@cambridgecoinc.com;tim@cambridgecoinc.com" TargetMode="External"/><Relationship Id="rId481" Type="http://schemas.openxmlformats.org/officeDocument/2006/relationships/hyperlink" Target="mailto:kguadiana@chasse.us;sstrage@chasse.us" TargetMode="External"/><Relationship Id="rId702" Type="http://schemas.openxmlformats.org/officeDocument/2006/relationships/hyperlink" Target="mailto:ckeim@fclbuilders.com" TargetMode="External"/><Relationship Id="rId69" Type="http://schemas.openxmlformats.org/officeDocument/2006/relationships/hyperlink" Target="mailto:rhardy@laytonconstruction.com" TargetMode="External"/><Relationship Id="rId134" Type="http://schemas.openxmlformats.org/officeDocument/2006/relationships/hyperlink" Target="mailto:JIMW@JACKSONDEAN.COM" TargetMode="External"/><Relationship Id="rId579" Type="http://schemas.openxmlformats.org/officeDocument/2006/relationships/hyperlink" Target="mailto:BTREANOR@ALSTONCO.COM;jelliott@alstonco.com" TargetMode="External"/><Relationship Id="rId786" Type="http://schemas.openxmlformats.org/officeDocument/2006/relationships/hyperlink" Target="mailto:daren@doubleaabuilders.com" TargetMode="External"/><Relationship Id="rId341" Type="http://schemas.openxmlformats.org/officeDocument/2006/relationships/hyperlink" Target="mailto:Logan@desertservices.net" TargetMode="External"/><Relationship Id="rId439" Type="http://schemas.openxmlformats.org/officeDocument/2006/relationships/hyperlink" Target="mailto:dcrow@ccw-llc.com;randyc@ccw-llc.com" TargetMode="External"/><Relationship Id="rId646" Type="http://schemas.openxmlformats.org/officeDocument/2006/relationships/hyperlink" Target="mailto:bhaynes@shradermartinez.com" TargetMode="External"/><Relationship Id="rId201" Type="http://schemas.openxmlformats.org/officeDocument/2006/relationships/hyperlink" Target="mailto:kbrown@mccarthy.com;cwagner@mccarthy.com" TargetMode="External"/><Relationship Id="rId285" Type="http://schemas.openxmlformats.org/officeDocument/2006/relationships/hyperlink" Target="mailto:tgrimaldi@chasse.us" TargetMode="External"/><Relationship Id="rId506" Type="http://schemas.openxmlformats.org/officeDocument/2006/relationships/hyperlink" Target="mailto:bingram@robcon.com;crandall@robcon.com;icolton@robcon.com;rporter@robcon.com" TargetMode="External"/><Relationship Id="rId853" Type="http://schemas.openxmlformats.org/officeDocument/2006/relationships/hyperlink" Target="mailto:rtorres@willmeng.com" TargetMode="External"/><Relationship Id="rId492" Type="http://schemas.openxmlformats.org/officeDocument/2006/relationships/hyperlink" Target="mailto:fcwick@beztak.com" TargetMode="External"/><Relationship Id="rId713" Type="http://schemas.openxmlformats.org/officeDocument/2006/relationships/hyperlink" Target="mailto:rstover@laytonconstruction.com;%20matt.slater@laytonconstruction.com;%20JMillett@laytonconstruction.com" TargetMode="External"/><Relationship Id="rId797" Type="http://schemas.openxmlformats.org/officeDocument/2006/relationships/hyperlink" Target="mailto:jbrown@pathcc.com" TargetMode="External"/><Relationship Id="rId920" Type="http://schemas.openxmlformats.org/officeDocument/2006/relationships/hyperlink" Target="mailto:mikeb@gconinc.com" TargetMode="External"/><Relationship Id="rId145" Type="http://schemas.openxmlformats.org/officeDocument/2006/relationships/hyperlink" Target="mailto:rob.banning@woodpartners.com" TargetMode="External"/><Relationship Id="rId352" Type="http://schemas.openxmlformats.org/officeDocument/2006/relationships/hyperlink" Target="mailto:Logan@desertservices.net" TargetMode="External"/><Relationship Id="rId212" Type="http://schemas.openxmlformats.org/officeDocument/2006/relationships/hyperlink" Target="mailto:Logan@desertservices.net" TargetMode="External"/><Relationship Id="rId657" Type="http://schemas.openxmlformats.org/officeDocument/2006/relationships/hyperlink" Target="mailto:Logan@desertservices.net" TargetMode="External"/><Relationship Id="rId864" Type="http://schemas.openxmlformats.org/officeDocument/2006/relationships/hyperlink" Target="mailto:ltoles@brinkmannconstructors.com;aburnam@brinkmannconstructors.com;%20shansen@brinkmannconstructors.com" TargetMode="External"/><Relationship Id="rId296" Type="http://schemas.openxmlformats.org/officeDocument/2006/relationships/hyperlink" Target="mailto:tbreuer@suntecconcrete.com" TargetMode="External"/><Relationship Id="rId517" Type="http://schemas.openxmlformats.org/officeDocument/2006/relationships/hyperlink" Target="mailto:Logan@desertservices.net" TargetMode="External"/><Relationship Id="rId724" Type="http://schemas.openxmlformats.org/officeDocument/2006/relationships/hyperlink" Target="mailto:mike@3-gconstruction.com" TargetMode="External"/><Relationship Id="rId931" Type="http://schemas.openxmlformats.org/officeDocument/2006/relationships/hyperlink" Target="mailto:dan.upton@agateconstructioninc.com;%20brian.murphy@primakconstruction.com" TargetMode="External"/><Relationship Id="rId60" Type="http://schemas.openxmlformats.org/officeDocument/2006/relationships/hyperlink" Target="mailto:jared.pittman@huntercontracting.com" TargetMode="External"/><Relationship Id="rId156" Type="http://schemas.openxmlformats.org/officeDocument/2006/relationships/hyperlink" Target="mailto:KBENDURE@FCLBUILDERS.COM" TargetMode="External"/><Relationship Id="rId363" Type="http://schemas.openxmlformats.org/officeDocument/2006/relationships/hyperlink" Target="mailto:Logan@desertservices.net" TargetMode="External"/><Relationship Id="rId570" Type="http://schemas.openxmlformats.org/officeDocument/2006/relationships/hyperlink" Target="mailto:TPETTY@HMCOMPANY.COM" TargetMode="External"/><Relationship Id="rId223" Type="http://schemas.openxmlformats.org/officeDocument/2006/relationships/hyperlink" Target="mailto:Logan@desertservices.net" TargetMode="External"/><Relationship Id="rId430" Type="http://schemas.openxmlformats.org/officeDocument/2006/relationships/hyperlink" Target="mailto:Logan@desertservices.net" TargetMode="External"/><Relationship Id="rId668" Type="http://schemas.openxmlformats.org/officeDocument/2006/relationships/hyperlink" Target="mailto:runderwood@streetlightsres.com" TargetMode="External"/><Relationship Id="rId875" Type="http://schemas.openxmlformats.org/officeDocument/2006/relationships/hyperlink" Target="mailto:Logan@desertservices.net" TargetMode="External"/><Relationship Id="rId18" Type="http://schemas.openxmlformats.org/officeDocument/2006/relationships/hyperlink" Target="mailto:joe@tlwconstruction.com" TargetMode="External"/><Relationship Id="rId528" Type="http://schemas.openxmlformats.org/officeDocument/2006/relationships/hyperlink" Target="mailto:eochoa@chasse.us" TargetMode="External"/><Relationship Id="rId735" Type="http://schemas.openxmlformats.org/officeDocument/2006/relationships/hyperlink" Target="mailto:Herve@desertservices.net" TargetMode="External"/><Relationship Id="rId167" Type="http://schemas.openxmlformats.org/officeDocument/2006/relationships/hyperlink" Target="mailto:mruthrauff@willmeng.com" TargetMode="External"/><Relationship Id="rId374" Type="http://schemas.openxmlformats.org/officeDocument/2006/relationships/hyperlink" Target="mailto:jnoller@tofeldent.com;efurbacher@Tofeldent.com;spalazzo@Tofeldent.com" TargetMode="External"/><Relationship Id="rId581" Type="http://schemas.openxmlformats.org/officeDocument/2006/relationships/hyperlink" Target="mailto:Logan@desertservices.net" TargetMode="External"/><Relationship Id="rId71" Type="http://schemas.openxmlformats.org/officeDocument/2006/relationships/hyperlink" Target="mailto:STEVE.COLE@TDC-PROPERTIES.COM" TargetMode="External"/><Relationship Id="rId234" Type="http://schemas.openxmlformats.org/officeDocument/2006/relationships/hyperlink" Target="mailto:Logan@desertservices.net" TargetMode="External"/><Relationship Id="rId679" Type="http://schemas.openxmlformats.org/officeDocument/2006/relationships/hyperlink" Target="mailto:Logan@desertservices.net" TargetMode="External"/><Relationship Id="rId802" Type="http://schemas.openxmlformats.org/officeDocument/2006/relationships/hyperlink" Target="mailto:dbrady@arco1.com" TargetMode="External"/><Relationship Id="rId886" Type="http://schemas.openxmlformats.org/officeDocument/2006/relationships/hyperlink" Target="mailto:rblair@reddenconstruction.com" TargetMode="External"/><Relationship Id="rId2" Type="http://schemas.openxmlformats.org/officeDocument/2006/relationships/hyperlink" Target="mailto:eddie.weigl@sodella.com" TargetMode="External"/><Relationship Id="rId29" Type="http://schemas.openxmlformats.org/officeDocument/2006/relationships/hyperlink" Target="mailto:othog@dpr.com" TargetMode="External"/><Relationship Id="rId441" Type="http://schemas.openxmlformats.org/officeDocument/2006/relationships/hyperlink" Target="mailto:Logan@desertservices.net" TargetMode="External"/><Relationship Id="rId539" Type="http://schemas.openxmlformats.org/officeDocument/2006/relationships/hyperlink" Target="mailto:Logan@desertservices.net" TargetMode="External"/><Relationship Id="rId746" Type="http://schemas.openxmlformats.org/officeDocument/2006/relationships/hyperlink" Target="mailto:duane@fronterabuildingco.com" TargetMode="External"/><Relationship Id="rId178" Type="http://schemas.openxmlformats.org/officeDocument/2006/relationships/hyperlink" Target="mailto:dhugeback@ashtoncoinc.com" TargetMode="External"/><Relationship Id="rId301" Type="http://schemas.openxmlformats.org/officeDocument/2006/relationships/hyperlink" Target="mailto:MARC@PCDM.US" TargetMode="External"/><Relationship Id="rId82" Type="http://schemas.openxmlformats.org/officeDocument/2006/relationships/hyperlink" Target="mailto:jfacer@mtbuilders.com" TargetMode="External"/><Relationship Id="rId385" Type="http://schemas.openxmlformats.org/officeDocument/2006/relationships/hyperlink" Target="mailto:danny.armstrong@woodpartners.com;tim.cahanes@woodpartners.com" TargetMode="External"/><Relationship Id="rId592" Type="http://schemas.openxmlformats.org/officeDocument/2006/relationships/hyperlink" Target="mailto:cspecht@nittidac.com;sgoetzenberger@nittibldrs.com" TargetMode="External"/><Relationship Id="rId606" Type="http://schemas.openxmlformats.org/officeDocument/2006/relationships/hyperlink" Target="mailto:joe.garcia@woodpartners.com" TargetMode="External"/><Relationship Id="rId813" Type="http://schemas.openxmlformats.org/officeDocument/2006/relationships/hyperlink" Target="mailto:Logan@desertservices.net" TargetMode="External"/><Relationship Id="rId245" Type="http://schemas.openxmlformats.org/officeDocument/2006/relationships/hyperlink" Target="mailto:jporter@renconco.com%20;MSHAWCROFT@RENCONCO.COM" TargetMode="External"/><Relationship Id="rId452" Type="http://schemas.openxmlformats.org/officeDocument/2006/relationships/hyperlink" Target="mailto:brooksdunn@coreconstruction.com;;zack.few@coreconstruction.com" TargetMode="External"/><Relationship Id="rId897" Type="http://schemas.openxmlformats.org/officeDocument/2006/relationships/hyperlink" Target="mailto:Herve@desertservices.net" TargetMode="External"/><Relationship Id="rId105" Type="http://schemas.openxmlformats.org/officeDocument/2006/relationships/hyperlink" Target="mailto:dave.geroux@woodpartners.com" TargetMode="External"/><Relationship Id="rId312" Type="http://schemas.openxmlformats.org/officeDocument/2006/relationships/hyperlink" Target="mailto:rcameron@vpconstruct.com" TargetMode="External"/><Relationship Id="rId757" Type="http://schemas.openxmlformats.org/officeDocument/2006/relationships/hyperlink" Target="mailto:dave.thompson@sdb.com" TargetMode="External"/><Relationship Id="rId93" Type="http://schemas.openxmlformats.org/officeDocument/2006/relationships/hyperlink" Target="mailto:B.VANKAMMEN@TSGCONSTRUCTORS.CM" TargetMode="External"/><Relationship Id="rId189" Type="http://schemas.openxmlformats.org/officeDocument/2006/relationships/hyperlink" Target="mailto:Logan@desertservices.net" TargetMode="External"/><Relationship Id="rId396" Type="http://schemas.openxmlformats.org/officeDocument/2006/relationships/hyperlink" Target="mailto:Logan@desertservices.net" TargetMode="External"/><Relationship Id="rId617" Type="http://schemas.openxmlformats.org/officeDocument/2006/relationships/hyperlink" Target="mailto:rshepard@arco1.com" TargetMode="External"/><Relationship Id="rId824" Type="http://schemas.openxmlformats.org/officeDocument/2006/relationships/hyperlink" Target="mailto:ericdecker@coreconstruction.com" TargetMode="External"/><Relationship Id="rId256" Type="http://schemas.openxmlformats.org/officeDocument/2006/relationships/hyperlink" Target="mailto:BschorM@claycorp.com;BatiliE@claycorp.com" TargetMode="External"/><Relationship Id="rId463" Type="http://schemas.openxmlformats.org/officeDocument/2006/relationships/hyperlink" Target="mailto:bbrinkerhoff@chasse.us" TargetMode="External"/><Relationship Id="rId670" Type="http://schemas.openxmlformats.org/officeDocument/2006/relationships/hyperlink" Target="mailto:rob.banning@woodpartners.com" TargetMode="External"/><Relationship Id="rId116" Type="http://schemas.openxmlformats.org/officeDocument/2006/relationships/hyperlink" Target="mailto:travis.kahanek@weitz.com" TargetMode="External"/><Relationship Id="rId323" Type="http://schemas.openxmlformats.org/officeDocument/2006/relationships/hyperlink" Target="mailto:sburroughs@pacificap.com;vbhandari@pacificap.com" TargetMode="External"/><Relationship Id="rId530" Type="http://schemas.openxmlformats.org/officeDocument/2006/relationships/hyperlink" Target="mailto:Herve@desertservices.net" TargetMode="External"/><Relationship Id="rId768" Type="http://schemas.openxmlformats.org/officeDocument/2006/relationships/hyperlink" Target="mailto:aday@chasse.us;%20mgravert@chasse.us;%20dhoman@chasse.us" TargetMode="External"/><Relationship Id="rId20" Type="http://schemas.openxmlformats.org/officeDocument/2006/relationships/hyperlink" Target="mailto:eestrada@mtbprojects.com" TargetMode="External"/><Relationship Id="rId628" Type="http://schemas.openxmlformats.org/officeDocument/2006/relationships/hyperlink" Target="mailto:smartin@chasse.us;jfoote@chasse.us" TargetMode="External"/><Relationship Id="rId835" Type="http://schemas.openxmlformats.org/officeDocument/2006/relationships/hyperlink" Target="mailto:stephen@bleuwave.com" TargetMode="External"/><Relationship Id="rId267" Type="http://schemas.openxmlformats.org/officeDocument/2006/relationships/hyperlink" Target="mailto:gisaman@pleniumbuilders.com;rpetters@pleniumbuilders.com" TargetMode="External"/><Relationship Id="rId474" Type="http://schemas.openxmlformats.org/officeDocument/2006/relationships/hyperlink" Target="mailto:Herve@desertservices.net" TargetMode="External"/><Relationship Id="rId127" Type="http://schemas.openxmlformats.org/officeDocument/2006/relationships/hyperlink" Target="mailto:fserranoreyes@holder.com" TargetMode="External"/><Relationship Id="rId681" Type="http://schemas.openxmlformats.org/officeDocument/2006/relationships/hyperlink" Target="mailto:jrosales@concordinc.com;abojan@concordinc.com" TargetMode="External"/><Relationship Id="rId779" Type="http://schemas.openxmlformats.org/officeDocument/2006/relationships/hyperlink" Target="mailto:Logan@desertservices.net" TargetMode="External"/><Relationship Id="rId902" Type="http://schemas.openxmlformats.org/officeDocument/2006/relationships/hyperlink" Target="mailto:Logan@desertservices.net" TargetMode="External"/><Relationship Id="rId31" Type="http://schemas.openxmlformats.org/officeDocument/2006/relationships/hyperlink" Target="mailto:jhesser@brasfieldgorrie.com" TargetMode="External"/><Relationship Id="rId334" Type="http://schemas.openxmlformats.org/officeDocument/2006/relationships/hyperlink" Target="mailto:dallred@willmeng.com;DTooley@willmeng.com" TargetMode="External"/><Relationship Id="rId541" Type="http://schemas.openxmlformats.org/officeDocument/2006/relationships/hyperlink" Target="mailto:ddawson@pwiresidential.com" TargetMode="External"/><Relationship Id="rId639" Type="http://schemas.openxmlformats.org/officeDocument/2006/relationships/hyperlink" Target="mailto:pwojcik@calienteconstruction.com" TargetMode="External"/><Relationship Id="rId180" Type="http://schemas.openxmlformats.org/officeDocument/2006/relationships/hyperlink" Target="mailto:MTCOZZENS@SUNDT.COM" TargetMode="External"/><Relationship Id="rId278" Type="http://schemas.openxmlformats.org/officeDocument/2006/relationships/hyperlink" Target="mailto:michael.dahdal@ryancompanies.com;shanon.johnson@ryancompanies.com" TargetMode="External"/><Relationship Id="rId401" Type="http://schemas.openxmlformats.org/officeDocument/2006/relationships/hyperlink" Target="mailto:Logan@desertservices.net" TargetMode="External"/><Relationship Id="rId846" Type="http://schemas.openxmlformats.org/officeDocument/2006/relationships/hyperlink" Target="mailto:rswanson@eci.build.com" TargetMode="External"/><Relationship Id="rId485" Type="http://schemas.openxmlformats.org/officeDocument/2006/relationships/hyperlink" Target="mailto:Marcus@fronterabuildingco.com%20;kevin.griffith@fronterabuildingco.com" TargetMode="External"/><Relationship Id="rId692" Type="http://schemas.openxmlformats.org/officeDocument/2006/relationships/hyperlink" Target="mailto:Herve@desertservices.net" TargetMode="External"/><Relationship Id="rId706" Type="http://schemas.openxmlformats.org/officeDocument/2006/relationships/hyperlink" Target="mailto:sturner@calienteconstruction.com;bmccain@calienteconstruction.com" TargetMode="External"/><Relationship Id="rId913" Type="http://schemas.openxmlformats.org/officeDocument/2006/relationships/hyperlink" Target="mailto:Herve@desertservices.net" TargetMode="External"/><Relationship Id="rId42" Type="http://schemas.openxmlformats.org/officeDocument/2006/relationships/hyperlink" Target="mailto:adellorto@haydonbc.com" TargetMode="External"/><Relationship Id="rId138" Type="http://schemas.openxmlformats.org/officeDocument/2006/relationships/hyperlink" Target="mailto:PRESTONC@CURVEDDEVELOPMENT.COM" TargetMode="External"/><Relationship Id="rId345" Type="http://schemas.openxmlformats.org/officeDocument/2006/relationships/hyperlink" Target="mailto:ayates@hannadesigngroup.com" TargetMode="External"/><Relationship Id="rId552" Type="http://schemas.openxmlformats.org/officeDocument/2006/relationships/hyperlink" Target="mailto:Logan@desertservices.net" TargetMode="External"/><Relationship Id="rId191" Type="http://schemas.openxmlformats.org/officeDocument/2006/relationships/hyperlink" Target="mailto:aaltman@greenlightgc.com" TargetMode="External"/><Relationship Id="rId205" Type="http://schemas.openxmlformats.org/officeDocument/2006/relationships/hyperlink" Target="mailto:RIKKI.MINETTI@GRAYSTAR.COM" TargetMode="External"/><Relationship Id="rId412" Type="http://schemas.openxmlformats.org/officeDocument/2006/relationships/hyperlink" Target="mailto:BRYAN.STALKER@SODELLA.COM" TargetMode="External"/><Relationship Id="rId857" Type="http://schemas.openxmlformats.org/officeDocument/2006/relationships/hyperlink" Target="mailto:Logan@desertservices.net" TargetMode="External"/><Relationship Id="rId289" Type="http://schemas.openxmlformats.org/officeDocument/2006/relationships/hyperlink" Target="mailto:djameson@willmeng.com;jcrichton@willmeng.com" TargetMode="External"/><Relationship Id="rId496" Type="http://schemas.openxmlformats.org/officeDocument/2006/relationships/hyperlink" Target="mailto:Logan@desertservices.net" TargetMode="External"/><Relationship Id="rId717" Type="http://schemas.openxmlformats.org/officeDocument/2006/relationships/hyperlink" Target="mailto:Elliot.Austin@whiting-turner.com;Paul.perry@whiting-turner.com;JJ.sellner@whiting-turner.com" TargetMode="External"/><Relationship Id="rId924" Type="http://schemas.openxmlformats.org/officeDocument/2006/relationships/hyperlink" Target="mailto:Logan@desertservices.net" TargetMode="External"/><Relationship Id="rId53" Type="http://schemas.openxmlformats.org/officeDocument/2006/relationships/hyperlink" Target="mailto:richarddavison@coreconstruction.com" TargetMode="External"/><Relationship Id="rId149" Type="http://schemas.openxmlformats.org/officeDocument/2006/relationships/hyperlink" Target="mailto:cgammon@embreegroup.com" TargetMode="External"/><Relationship Id="rId356" Type="http://schemas.openxmlformats.org/officeDocument/2006/relationships/hyperlink" Target="mailto:Logan@desertservices.net" TargetMode="External"/><Relationship Id="rId563" Type="http://schemas.openxmlformats.org/officeDocument/2006/relationships/hyperlink" Target="mailto:Logan@desertservices.net" TargetMode="External"/><Relationship Id="rId770" Type="http://schemas.openxmlformats.org/officeDocument/2006/relationships/hyperlink" Target="mailto:josephp@flemingcomplete.com" TargetMode="External"/><Relationship Id="rId216" Type="http://schemas.openxmlformats.org/officeDocument/2006/relationships/hyperlink" Target="mailto:Logan@desertservices.net" TargetMode="External"/><Relationship Id="rId423" Type="http://schemas.openxmlformats.org/officeDocument/2006/relationships/hyperlink" Target="mailto:TANDERSON@JLBPARTNERS.COM" TargetMode="External"/><Relationship Id="rId868" Type="http://schemas.openxmlformats.org/officeDocument/2006/relationships/hyperlink" Target="mailto:rshepard@lgedesignbuild.com" TargetMode="External"/><Relationship Id="rId630" Type="http://schemas.openxmlformats.org/officeDocument/2006/relationships/hyperlink" Target="mailto:nlake@holder.com" TargetMode="External"/><Relationship Id="rId728" Type="http://schemas.openxmlformats.org/officeDocument/2006/relationships/hyperlink" Target="mailto:kdumenil@fclbuilders.com" TargetMode="External"/><Relationship Id="rId64" Type="http://schemas.openxmlformats.org/officeDocument/2006/relationships/hyperlink" Target="mailto:wayne.fleming@oakland.com" TargetMode="External"/><Relationship Id="rId367" Type="http://schemas.openxmlformats.org/officeDocument/2006/relationships/hyperlink" Target="mailto:shoefler@ridgehouseco.com;jbeaver@ridgehouseco.com" TargetMode="External"/><Relationship Id="rId574" Type="http://schemas.openxmlformats.org/officeDocument/2006/relationships/hyperlink" Target="mailto:bball@abccre.com" TargetMode="External"/><Relationship Id="rId227" Type="http://schemas.openxmlformats.org/officeDocument/2006/relationships/hyperlink" Target="mailto:CHADANDRIST@WEISBUILDERS.COM" TargetMode="External"/><Relationship Id="rId781" Type="http://schemas.openxmlformats.org/officeDocument/2006/relationships/hyperlink" Target="mailto:brooksdunn@coreconstruction.com" TargetMode="External"/><Relationship Id="rId879" Type="http://schemas.openxmlformats.org/officeDocument/2006/relationships/hyperlink" Target="mailto:chrisj@bprcompanies.com" TargetMode="External"/><Relationship Id="rId434" Type="http://schemas.openxmlformats.org/officeDocument/2006/relationships/hyperlink" Target="mailto:Logan@desertservices.net" TargetMode="External"/><Relationship Id="rId641" Type="http://schemas.openxmlformats.org/officeDocument/2006/relationships/hyperlink" Target="mailto:chad.gloetzner@venncompanies.com" TargetMode="External"/><Relationship Id="rId739" Type="http://schemas.openxmlformats.org/officeDocument/2006/relationships/hyperlink" Target="mailto:Logan@desertservices.net" TargetMode="External"/><Relationship Id="rId280" Type="http://schemas.openxmlformats.org/officeDocument/2006/relationships/hyperlink" Target="mailto:Clint@edgeconstruct.com" TargetMode="External"/><Relationship Id="rId501" Type="http://schemas.openxmlformats.org/officeDocument/2006/relationships/hyperlink" Target="mailto:kbaker@chasse.us;agooding@chasse.us" TargetMode="External"/><Relationship Id="rId75" Type="http://schemas.openxmlformats.org/officeDocument/2006/relationships/hyperlink" Target="mailto:COREY@REDROCKCONTRACTING.BIZ" TargetMode="External"/><Relationship Id="rId140" Type="http://schemas.openxmlformats.org/officeDocument/2006/relationships/hyperlink" Target="mailto:MARKT@LGEDESIGNBUILD.COM" TargetMode="External"/><Relationship Id="rId378" Type="http://schemas.openxmlformats.org/officeDocument/2006/relationships/hyperlink" Target="mailto:RSIEMSEN@MCCARTHY.COM;RHANSON@MCCARTHY.COM" TargetMode="External"/><Relationship Id="rId585" Type="http://schemas.openxmlformats.org/officeDocument/2006/relationships/hyperlink" Target="mailto:kmatsuda@chasse.us" TargetMode="External"/><Relationship Id="rId792" Type="http://schemas.openxmlformats.org/officeDocument/2006/relationships/hyperlink" Target="mailto:ds@abernatheyholdingco.com;%20jm@abernatheyholdingco.com" TargetMode="External"/><Relationship Id="rId806" Type="http://schemas.openxmlformats.org/officeDocument/2006/relationships/hyperlink" Target="mailto:Logan@desertservices.net" TargetMode="External"/><Relationship Id="rId6" Type="http://schemas.openxmlformats.org/officeDocument/2006/relationships/hyperlink" Target="mailto:cmannino@greenlightgc.com" TargetMode="External"/><Relationship Id="rId238" Type="http://schemas.openxmlformats.org/officeDocument/2006/relationships/hyperlink" Target="mailto:Herve@desertservices.net" TargetMode="External"/><Relationship Id="rId445" Type="http://schemas.openxmlformats.org/officeDocument/2006/relationships/hyperlink" Target="mailto:Logan@desertservices.net" TargetMode="External"/><Relationship Id="rId652" Type="http://schemas.openxmlformats.org/officeDocument/2006/relationships/hyperlink" Target="mailto:Logan@desertservices.net" TargetMode="External"/><Relationship Id="rId291" Type="http://schemas.openxmlformats.org/officeDocument/2006/relationships/hyperlink" Target="mailto:chris.colbourn@meritagehomes.com;antonio.aviles@meritagehomes.com" TargetMode="External"/><Relationship Id="rId305" Type="http://schemas.openxmlformats.org/officeDocument/2006/relationships/hyperlink" Target="mailto:Logan@desertservices.net" TargetMode="External"/><Relationship Id="rId512" Type="http://schemas.openxmlformats.org/officeDocument/2006/relationships/hyperlink" Target="mailto:Logan@desertservices.net" TargetMode="External"/><Relationship Id="rId86" Type="http://schemas.openxmlformats.org/officeDocument/2006/relationships/hyperlink" Target="mailto:KHILL@WILLMENG.COM" TargetMode="External"/><Relationship Id="rId151" Type="http://schemas.openxmlformats.org/officeDocument/2006/relationships/hyperlink" Target="mailto:travis.kahanek@weitz.com" TargetMode="External"/><Relationship Id="rId389" Type="http://schemas.openxmlformats.org/officeDocument/2006/relationships/hyperlink" Target="mailto:Logan@desertservices.net" TargetMode="External"/><Relationship Id="rId596" Type="http://schemas.openxmlformats.org/officeDocument/2006/relationships/hyperlink" Target="mailto:gatkin007@yahoo.com" TargetMode="External"/><Relationship Id="rId817" Type="http://schemas.openxmlformats.org/officeDocument/2006/relationships/hyperlink" Target="mailto:Logan@desertservices.net" TargetMode="External"/><Relationship Id="rId249" Type="http://schemas.openxmlformats.org/officeDocument/2006/relationships/hyperlink" Target="mailto:ascott@willmeng.com" TargetMode="External"/><Relationship Id="rId456" Type="http://schemas.openxmlformats.org/officeDocument/2006/relationships/hyperlink" Target="mailto:JANDERSON@WILLMENG.COM" TargetMode="External"/><Relationship Id="rId663" Type="http://schemas.openxmlformats.org/officeDocument/2006/relationships/hyperlink" Target="mailto:Herve@desertservices.net" TargetMode="External"/><Relationship Id="rId870" Type="http://schemas.openxmlformats.org/officeDocument/2006/relationships/hyperlink" Target="mailto:shellums@constructable.pro;%20whonnoll@constructable.pro" TargetMode="External"/><Relationship Id="rId13" Type="http://schemas.openxmlformats.org/officeDocument/2006/relationships/hyperlink" Target="mailto:isaacb@stoutllc.com" TargetMode="External"/><Relationship Id="rId109" Type="http://schemas.openxmlformats.org/officeDocument/2006/relationships/hyperlink" Target="mailto:SSTRAHL@RENAISSANCECOS.COM" TargetMode="External"/><Relationship Id="rId316" Type="http://schemas.openxmlformats.org/officeDocument/2006/relationships/hyperlink" Target="mailto:GaryM@tbpenick.com;bhrandonb@tbpenick.com;gerardob@tbpenick.com" TargetMode="External"/><Relationship Id="rId523" Type="http://schemas.openxmlformats.org/officeDocument/2006/relationships/hyperlink" Target="mailto:bbrinkerhoff@chasse.us" TargetMode="External"/><Relationship Id="rId97" Type="http://schemas.openxmlformats.org/officeDocument/2006/relationships/hyperlink" Target="mailto:mark.delisle@ganemcompanies.com" TargetMode="External"/><Relationship Id="rId730" Type="http://schemas.openxmlformats.org/officeDocument/2006/relationships/hyperlink" Target="mailto:Logan@desertservices.net" TargetMode="External"/><Relationship Id="rId828" Type="http://schemas.openxmlformats.org/officeDocument/2006/relationships/hyperlink" Target="mailto:slaborin@sunlandasphalt.com" TargetMode="External"/><Relationship Id="rId162" Type="http://schemas.openxmlformats.org/officeDocument/2006/relationships/hyperlink" Target="mailto:Logan@desertservices.net" TargetMode="External"/><Relationship Id="rId467" Type="http://schemas.openxmlformats.org/officeDocument/2006/relationships/hyperlink" Target="mailto:joncollins@corconstruction.com;zack.few@coreconstruction.com" TargetMode="External"/><Relationship Id="rId674" Type="http://schemas.openxmlformats.org/officeDocument/2006/relationships/hyperlink" Target="mailto:mark.o@sub4dev.com;landon_Adsuara@casagrandeaz.com" TargetMode="External"/><Relationship Id="rId881" Type="http://schemas.openxmlformats.org/officeDocument/2006/relationships/hyperlink" Target="mailto:mbrewer@willmeng.com" TargetMode="External"/><Relationship Id="rId24" Type="http://schemas.openxmlformats.org/officeDocument/2006/relationships/hyperlink" Target="mailto:timorse@coreconstruction.com" TargetMode="External"/><Relationship Id="rId327" Type="http://schemas.openxmlformats.org/officeDocument/2006/relationships/hyperlink" Target="mailto:mikem@bprcompanies.com" TargetMode="External"/><Relationship Id="rId534" Type="http://schemas.openxmlformats.org/officeDocument/2006/relationships/hyperlink" Target="mailto:jpiascik@thompsonthrift.com" TargetMode="External"/><Relationship Id="rId741" Type="http://schemas.openxmlformats.org/officeDocument/2006/relationships/hyperlink" Target="mailto:Logan@desertservices.net" TargetMode="External"/><Relationship Id="rId839" Type="http://schemas.openxmlformats.org/officeDocument/2006/relationships/hyperlink" Target="mailto:rick@porterbrothers.com;%20david@porterbrothers.com" TargetMode="External"/><Relationship Id="rId173" Type="http://schemas.openxmlformats.org/officeDocument/2006/relationships/hyperlink" Target="mailto:jlinder@wespacaz.com" TargetMode="External"/><Relationship Id="rId380" Type="http://schemas.openxmlformats.org/officeDocument/2006/relationships/hyperlink" Target="mailto:pgleason@willmeng.com" TargetMode="External"/><Relationship Id="rId601" Type="http://schemas.openxmlformats.org/officeDocument/2006/relationships/hyperlink" Target="mailto:dalton.clark@ryancompanies.com" TargetMode="External"/><Relationship Id="rId240" Type="http://schemas.openxmlformats.org/officeDocument/2006/relationships/hyperlink" Target="mailto:jamie.williams@idmbuilds.com;ryan.oberg@idmbuilds.com" TargetMode="External"/><Relationship Id="rId478" Type="http://schemas.openxmlformats.org/officeDocument/2006/relationships/hyperlink" Target="mailto:logan@desertservices.net" TargetMode="External"/><Relationship Id="rId685" Type="http://schemas.openxmlformats.org/officeDocument/2006/relationships/hyperlink" Target="mailto:Herve@desertservices.net" TargetMode="External"/><Relationship Id="rId892" Type="http://schemas.openxmlformats.org/officeDocument/2006/relationships/hyperlink" Target="mailto:jbeall@laytonconstruction.com" TargetMode="External"/><Relationship Id="rId906" Type="http://schemas.openxmlformats.org/officeDocument/2006/relationships/hyperlink" Target="mailto:smersereau@willmeng.com;dcarrier@willmeng.com" TargetMode="External"/><Relationship Id="rId35" Type="http://schemas.openxmlformats.org/officeDocument/2006/relationships/hyperlink" Target="mailto:JSTOCKWELL@CLYDECAP.COM" TargetMode="External"/><Relationship Id="rId100" Type="http://schemas.openxmlformats.org/officeDocument/2006/relationships/hyperlink" Target="mailto:DMOORE@ROADRUNNERPAVINGAZ.COM" TargetMode="External"/><Relationship Id="rId338" Type="http://schemas.openxmlformats.org/officeDocument/2006/relationships/hyperlink" Target="mailto:jloukota@markhamcontracting.com;tjohanson@markhamcontracting.com" TargetMode="External"/><Relationship Id="rId545" Type="http://schemas.openxmlformats.org/officeDocument/2006/relationships/hyperlink" Target="mailto:DHALBISON@MTBPROJECTS.COM" TargetMode="External"/><Relationship Id="rId752" Type="http://schemas.openxmlformats.org/officeDocument/2006/relationships/hyperlink" Target="mailto:COLIN.ZIMPRICH@BOLDT.COM" TargetMode="External"/><Relationship Id="rId184" Type="http://schemas.openxmlformats.org/officeDocument/2006/relationships/hyperlink" Target="mailto:TBURDA@MTBPROJECTS.COM" TargetMode="External"/><Relationship Id="rId391" Type="http://schemas.openxmlformats.org/officeDocument/2006/relationships/hyperlink" Target="mailto:tbrooks@chasse.us;opeterson@chasse.us" TargetMode="External"/><Relationship Id="rId405" Type="http://schemas.openxmlformats.org/officeDocument/2006/relationships/hyperlink" Target="mailto:Logan@desertservices.net" TargetMode="External"/><Relationship Id="rId612" Type="http://schemas.openxmlformats.org/officeDocument/2006/relationships/hyperlink" Target="mailto:Logan@desertservices.net" TargetMode="External"/><Relationship Id="rId251" Type="http://schemas.openxmlformats.org/officeDocument/2006/relationships/hyperlink" Target="mailto:mmicho@pathcc.com" TargetMode="External"/><Relationship Id="rId489" Type="http://schemas.openxmlformats.org/officeDocument/2006/relationships/hyperlink" Target="mailto:Logan@desertservices.net" TargetMode="External"/><Relationship Id="rId696" Type="http://schemas.openxmlformats.org/officeDocument/2006/relationships/hyperlink" Target="mailto:bbrinkerhoff@chasse.us" TargetMode="External"/><Relationship Id="rId917" Type="http://schemas.openxmlformats.org/officeDocument/2006/relationships/hyperlink" Target="mailto:&#160;jwebster@tlwconstruction.com" TargetMode="External"/><Relationship Id="rId46" Type="http://schemas.openxmlformats.org/officeDocument/2006/relationships/hyperlink" Target="mailto:DHENSON@AWOLFF.COM" TargetMode="External"/><Relationship Id="rId349" Type="http://schemas.openxmlformats.org/officeDocument/2006/relationships/hyperlink" Target="mailto:Herve@desertservices.net" TargetMode="External"/><Relationship Id="rId556" Type="http://schemas.openxmlformats.org/officeDocument/2006/relationships/hyperlink" Target="mailto:Logan@desertservices.net" TargetMode="External"/><Relationship Id="rId763" Type="http://schemas.openxmlformats.org/officeDocument/2006/relationships/hyperlink" Target="mailto:Logan@desertservices.net" TargetMode="External"/><Relationship Id="rId111" Type="http://schemas.openxmlformats.org/officeDocument/2006/relationships/hyperlink" Target="mailto:scott@bleuwave.com" TargetMode="External"/><Relationship Id="rId195" Type="http://schemas.openxmlformats.org/officeDocument/2006/relationships/hyperlink" Target="mailto:JASON@BRIMDEV.COM" TargetMode="External"/><Relationship Id="rId209" Type="http://schemas.openxmlformats.org/officeDocument/2006/relationships/hyperlink" Target="mailto:Logan@desertservices.net" TargetMode="External"/><Relationship Id="rId416" Type="http://schemas.openxmlformats.org/officeDocument/2006/relationships/hyperlink" Target="mailto:Logan@desertservices.net" TargetMode="External"/><Relationship Id="rId623" Type="http://schemas.openxmlformats.org/officeDocument/2006/relationships/hyperlink" Target="mailto:Herve@desertservices.net" TargetMode="External"/><Relationship Id="rId830" Type="http://schemas.openxmlformats.org/officeDocument/2006/relationships/hyperlink" Target="mailto:kellen.rhoads@mortenson.com" TargetMode="External"/><Relationship Id="rId928" Type="http://schemas.openxmlformats.org/officeDocument/2006/relationships/hyperlink" Target="mailto:rob.evans@laytonconstruction.com" TargetMode="External"/><Relationship Id="rId57" Type="http://schemas.openxmlformats.org/officeDocument/2006/relationships/hyperlink" Target="mailto:marka@curvedevelopment.cm" TargetMode="External"/><Relationship Id="rId262" Type="http://schemas.openxmlformats.org/officeDocument/2006/relationships/hyperlink" Target="mailto:kevin.shade@laytonconstruction.com;bhoffman@laytonconstruction.com" TargetMode="External"/><Relationship Id="rId567" Type="http://schemas.openxmlformats.org/officeDocument/2006/relationships/hyperlink" Target="mailto:Logan@desertservices.net" TargetMode="External"/><Relationship Id="rId122" Type="http://schemas.openxmlformats.org/officeDocument/2006/relationships/hyperlink" Target="mailto:Logan@desertservices.net" TargetMode="External"/><Relationship Id="rId774" Type="http://schemas.openxmlformats.org/officeDocument/2006/relationships/hyperlink" Target="mailto:Logan@desertservices.net" TargetMode="External"/><Relationship Id="rId427" Type="http://schemas.openxmlformats.org/officeDocument/2006/relationships/hyperlink" Target="mailto:wfrancis@spinoffconstruction.com" TargetMode="External"/><Relationship Id="rId634" Type="http://schemas.openxmlformats.org/officeDocument/2006/relationships/hyperlink" Target="mailto:Logan@desertservices.net" TargetMode="External"/><Relationship Id="rId841" Type="http://schemas.openxmlformats.org/officeDocument/2006/relationships/hyperlink" Target="mailto:Herve@desertservices.net" TargetMode="External"/><Relationship Id="rId273" Type="http://schemas.openxmlformats.org/officeDocument/2006/relationships/hyperlink" Target="mailto:mvidaure@a-p.com" TargetMode="External"/><Relationship Id="rId480" Type="http://schemas.openxmlformats.org/officeDocument/2006/relationships/hyperlink" Target="mailto:Herve@desertservices.net" TargetMode="External"/><Relationship Id="rId701" Type="http://schemas.openxmlformats.org/officeDocument/2006/relationships/hyperlink" Target="mailto:john.miller@ryancompanies.com;" TargetMode="External"/><Relationship Id="rId68" Type="http://schemas.openxmlformats.org/officeDocument/2006/relationships/hyperlink" Target="mailto:mlegrand@burkecgi.com" TargetMode="External"/><Relationship Id="rId133" Type="http://schemas.openxmlformats.org/officeDocument/2006/relationships/hyperlink" Target="mailto:JAKWAPICH@SUNDT.COM" TargetMode="External"/><Relationship Id="rId340" Type="http://schemas.openxmlformats.org/officeDocument/2006/relationships/hyperlink" Target="mailto:pdepas@mtbprojects.com" TargetMode="External"/><Relationship Id="rId578" Type="http://schemas.openxmlformats.org/officeDocument/2006/relationships/hyperlink" Target="mailto:andrewashurkus@brycon.com" TargetMode="External"/><Relationship Id="rId785" Type="http://schemas.openxmlformats.org/officeDocument/2006/relationships/hyperlink" Target="mailto:jleonard@mcshane.com;tgrimes@mcshane.com" TargetMode="External"/><Relationship Id="rId200" Type="http://schemas.openxmlformats.org/officeDocument/2006/relationships/hyperlink" Target="mailto:Logan@desertservices.net" TargetMode="External"/><Relationship Id="rId438" Type="http://schemas.openxmlformats.org/officeDocument/2006/relationships/hyperlink" Target="mailto:dholt@arco1.com" TargetMode="External"/><Relationship Id="rId645" Type="http://schemas.openxmlformats.org/officeDocument/2006/relationships/hyperlink" Target="mailto:logan@desertservices.net" TargetMode="External"/><Relationship Id="rId852" Type="http://schemas.openxmlformats.org/officeDocument/2006/relationships/hyperlink" Target="mailto:strivitt@willmeng.com" TargetMode="External"/><Relationship Id="rId284" Type="http://schemas.openxmlformats.org/officeDocument/2006/relationships/hyperlink" Target="mailto:ensmanb@claycorp.com" TargetMode="External"/><Relationship Id="rId491" Type="http://schemas.openxmlformats.org/officeDocument/2006/relationships/hyperlink" Target="mailto:sbowlds@markhamcontracting.com" TargetMode="External"/><Relationship Id="rId505" Type="http://schemas.openxmlformats.org/officeDocument/2006/relationships/hyperlink" Target="mailto:Herve@desertservices.net" TargetMode="External"/><Relationship Id="rId712" Type="http://schemas.openxmlformats.org/officeDocument/2006/relationships/hyperlink" Target="mailto:taylor@waltzconstruction.com;sshoup@waltzconstruction.com" TargetMode="External"/><Relationship Id="rId79" Type="http://schemas.openxmlformats.org/officeDocument/2006/relationships/hyperlink" Target="mailto:MASONM@DPR.COM" TargetMode="External"/><Relationship Id="rId144" Type="http://schemas.openxmlformats.org/officeDocument/2006/relationships/hyperlink" Target="mailto:mbutts@laytonconstruction.com;jaredguyman@laytonconstruction.com" TargetMode="External"/><Relationship Id="rId589" Type="http://schemas.openxmlformats.org/officeDocument/2006/relationships/hyperlink" Target="mailto:rgeery@streetlightsres.com;bkissane@streetlightsres.com" TargetMode="External"/><Relationship Id="rId796" Type="http://schemas.openxmlformats.org/officeDocument/2006/relationships/hyperlink" Target="mailto:Logan@desertservices.net" TargetMode="External"/><Relationship Id="rId351" Type="http://schemas.openxmlformats.org/officeDocument/2006/relationships/hyperlink" Target="mailto:BMyers@mcshane.com" TargetMode="External"/><Relationship Id="rId449" Type="http://schemas.openxmlformats.org/officeDocument/2006/relationships/hyperlink" Target="mailto:Logan@desertservices.net" TargetMode="External"/><Relationship Id="rId656" Type="http://schemas.openxmlformats.org/officeDocument/2006/relationships/hyperlink" Target="mailto:rkroener@thompsonthrift.com" TargetMode="External"/><Relationship Id="rId863" Type="http://schemas.openxmlformats.org/officeDocument/2006/relationships/hyperlink" Target="mailto:Logan@desertservices.net" TargetMode="External"/><Relationship Id="rId211" Type="http://schemas.openxmlformats.org/officeDocument/2006/relationships/hyperlink" Target="mailto:rwatley@willmeng.com;zpisztel@willmeng.com" TargetMode="External"/><Relationship Id="rId295" Type="http://schemas.openxmlformats.org/officeDocument/2006/relationships/hyperlink" Target="mailto:bixbym@claycorp.com" TargetMode="External"/><Relationship Id="rId309" Type="http://schemas.openxmlformats.org/officeDocument/2006/relationships/hyperlink" Target="mailto:terry.l@collabconst.com" TargetMode="External"/><Relationship Id="rId516" Type="http://schemas.openxmlformats.org/officeDocument/2006/relationships/hyperlink" Target="mailto:btrangsrud@maydall.com" TargetMode="External"/><Relationship Id="rId723" Type="http://schemas.openxmlformats.org/officeDocument/2006/relationships/hyperlink" Target="mailto:Herve@desertservices.net" TargetMode="External"/><Relationship Id="rId930" Type="http://schemas.openxmlformats.org/officeDocument/2006/relationships/hyperlink" Target="mailto:Logan@desertservices.net" TargetMode="External"/><Relationship Id="rId155" Type="http://schemas.openxmlformats.org/officeDocument/2006/relationships/hyperlink" Target="mailto:Logan@desertservices.net" TargetMode="External"/><Relationship Id="rId362" Type="http://schemas.openxmlformats.org/officeDocument/2006/relationships/hyperlink" Target="mailto:Logan@desertservices.net" TargetMode="External"/><Relationship Id="rId222" Type="http://schemas.openxmlformats.org/officeDocument/2006/relationships/hyperlink" Target="mailto:gesse@galloconstruction.com" TargetMode="External"/><Relationship Id="rId264" Type="http://schemas.openxmlformats.org/officeDocument/2006/relationships/hyperlink" Target="mailto:Logan@desertservices.net" TargetMode="External"/><Relationship Id="rId471" Type="http://schemas.openxmlformats.org/officeDocument/2006/relationships/hyperlink" Target="mailto:Logan@desertservices.net" TargetMode="External"/><Relationship Id="rId667" Type="http://schemas.openxmlformats.org/officeDocument/2006/relationships/hyperlink" Target="mailto:anebeker@allresco.com" TargetMode="External"/><Relationship Id="rId874" Type="http://schemas.openxmlformats.org/officeDocument/2006/relationships/hyperlink" Target="mailto:Logan@desertservices.net" TargetMode="External"/><Relationship Id="rId17" Type="http://schemas.openxmlformats.org/officeDocument/2006/relationships/hyperlink" Target="mailto:norm@tlwconstruction.com" TargetMode="External"/><Relationship Id="rId59" Type="http://schemas.openxmlformats.org/officeDocument/2006/relationships/hyperlink" Target="mailto:ccolon@holder.com" TargetMode="External"/><Relationship Id="rId124" Type="http://schemas.openxmlformats.org/officeDocument/2006/relationships/hyperlink" Target="mailto:Don@desertservices.net" TargetMode="External"/><Relationship Id="rId527" Type="http://schemas.openxmlformats.org/officeDocument/2006/relationships/hyperlink" Target="mailto:chad@avmconstruction.net;jake@avmconstruction.net3" TargetMode="External"/><Relationship Id="rId569" Type="http://schemas.openxmlformats.org/officeDocument/2006/relationships/hyperlink" Target="mailto:tmalafa@EmbreyDC.com;zhyde@embreydc.com" TargetMode="External"/><Relationship Id="rId734" Type="http://schemas.openxmlformats.org/officeDocument/2006/relationships/hyperlink" Target="mailto:dustin@penceconstruction.com;%20todd@penceconstruction.com" TargetMode="External"/><Relationship Id="rId776" Type="http://schemas.openxmlformats.org/officeDocument/2006/relationships/hyperlink" Target="mailto:Logan@desertservices.net" TargetMode="External"/><Relationship Id="rId70" Type="http://schemas.openxmlformats.org/officeDocument/2006/relationships/hyperlink" Target="mailto:spena@mccarthy.com" TargetMode="External"/><Relationship Id="rId166" Type="http://schemas.openxmlformats.org/officeDocument/2006/relationships/hyperlink" Target="mailto:victor.gonzalez@venncompanies.com" TargetMode="External"/><Relationship Id="rId331" Type="http://schemas.openxmlformats.org/officeDocument/2006/relationships/hyperlink" Target="mailto:kleveb@claycorp.com;pirtzr@claycorp.com;grozag@claycorp.com" TargetMode="External"/><Relationship Id="rId373" Type="http://schemas.openxmlformats.org/officeDocument/2006/relationships/hyperlink" Target="mailto:mikeb@gconinc.com;dmartinez@gconinc.com;ianj@gconinc.com;chantallk@gconinc.com;ryand@gconinc.com" TargetMode="External"/><Relationship Id="rId429" Type="http://schemas.openxmlformats.org/officeDocument/2006/relationships/hyperlink" Target="mailto:TANDERSON@JLBPARTNERS.COM" TargetMode="External"/><Relationship Id="rId580" Type="http://schemas.openxmlformats.org/officeDocument/2006/relationships/hyperlink" Target="mailto:astone@csigc.com;Jdoonan@csigc.com;klane@csigc.com" TargetMode="External"/><Relationship Id="rId636" Type="http://schemas.openxmlformats.org/officeDocument/2006/relationships/hyperlink" Target="mailto:Herve@desertservices.net" TargetMode="External"/><Relationship Id="rId801" Type="http://schemas.openxmlformats.org/officeDocument/2006/relationships/hyperlink" Target="mailto:Herve@desertservices.net" TargetMode="External"/><Relationship Id="rId1" Type="http://schemas.openxmlformats.org/officeDocument/2006/relationships/hyperlink" Target="mailto:tgordon@haydonbc.com" TargetMode="External"/><Relationship Id="rId233" Type="http://schemas.openxmlformats.org/officeDocument/2006/relationships/hyperlink" Target="mailto:TODDDOAN@CORECONSTRUCTION.COM" TargetMode="External"/><Relationship Id="rId440" Type="http://schemas.openxmlformats.org/officeDocument/2006/relationships/hyperlink" Target="mailto:Logan@desertservices.net" TargetMode="External"/><Relationship Id="rId678" Type="http://schemas.openxmlformats.org/officeDocument/2006/relationships/hyperlink" Target="mailto:jseekell@concordinc.com" TargetMode="External"/><Relationship Id="rId843" Type="http://schemas.openxmlformats.org/officeDocument/2006/relationships/hyperlink" Target="mailto:lplatz@vequity.com" TargetMode="External"/><Relationship Id="rId885" Type="http://schemas.openxmlformats.org/officeDocument/2006/relationships/hyperlink" Target="mailto:Logan@desertservices.net" TargetMode="External"/><Relationship Id="rId28" Type="http://schemas.openxmlformats.org/officeDocument/2006/relationships/hyperlink" Target="mailto:spaul@armays.com" TargetMode="External"/><Relationship Id="rId275" Type="http://schemas.openxmlformats.org/officeDocument/2006/relationships/hyperlink" Target="mailto:twolfe@Buesingcorp.com" TargetMode="External"/><Relationship Id="rId300" Type="http://schemas.openxmlformats.org/officeDocument/2006/relationships/hyperlink" Target="mailto:SCOTTW@TREGER.COM;ken@treger.com;jason@treger.com" TargetMode="External"/><Relationship Id="rId482" Type="http://schemas.openxmlformats.org/officeDocument/2006/relationships/hyperlink" Target="mailto:Logan@desertservices.net" TargetMode="External"/><Relationship Id="rId538" Type="http://schemas.openxmlformats.org/officeDocument/2006/relationships/hyperlink" Target="mailto:byron@aceconstructionlv.com;bethk@overlandcorp.com;tonyd@overlandcorp.com" TargetMode="External"/><Relationship Id="rId703" Type="http://schemas.openxmlformats.org/officeDocument/2006/relationships/hyperlink" Target="mailto:Logan@desertservices.net" TargetMode="External"/><Relationship Id="rId745" Type="http://schemas.openxmlformats.org/officeDocument/2006/relationships/hyperlink" Target="mailto:martin@gallowconstruction.com" TargetMode="External"/><Relationship Id="rId910" Type="http://schemas.openxmlformats.org/officeDocument/2006/relationships/hyperlink" Target="mailto:pstarkey@willmeng.com;%20nortega@willmeng.com;%20akarnati@willmeng.com" TargetMode="External"/><Relationship Id="rId81" Type="http://schemas.openxmlformats.org/officeDocument/2006/relationships/hyperlink" Target="mailto:JKELLUM@WESPACAZ.COM" TargetMode="External"/><Relationship Id="rId135" Type="http://schemas.openxmlformats.org/officeDocument/2006/relationships/hyperlink" Target="mailto:Logan@desertservices.net" TargetMode="External"/><Relationship Id="rId177" Type="http://schemas.openxmlformats.org/officeDocument/2006/relationships/hyperlink" Target="mailto:Logan@desertservices.net" TargetMode="External"/><Relationship Id="rId342" Type="http://schemas.openxmlformats.org/officeDocument/2006/relationships/hyperlink" Target="mailto:chall@sdcranbuilders.com" TargetMode="External"/><Relationship Id="rId384" Type="http://schemas.openxmlformats.org/officeDocument/2006/relationships/hyperlink" Target="mailto:rbox@a-p.com" TargetMode="External"/><Relationship Id="rId591" Type="http://schemas.openxmlformats.org/officeDocument/2006/relationships/hyperlink" Target="mailto:l.piatz@vequity.com" TargetMode="External"/><Relationship Id="rId605" Type="http://schemas.openxmlformats.org/officeDocument/2006/relationships/hyperlink" Target="mailto:tomstitt@prosteelstr.com" TargetMode="External"/><Relationship Id="rId787" Type="http://schemas.openxmlformats.org/officeDocument/2006/relationships/hyperlink" Target="mailto:marc@pcdm.us" TargetMode="External"/><Relationship Id="rId812" Type="http://schemas.openxmlformats.org/officeDocument/2006/relationships/hyperlink" Target="mailto:judgesm@claycorp.com;HilliardT@claycorp.com;KhandelwalS@claycorp.com;%20Waghmare@claycorp.com" TargetMode="External"/><Relationship Id="rId202" Type="http://schemas.openxmlformats.org/officeDocument/2006/relationships/hyperlink" Target="mailto:EESTRADA@MTBPROJECTS.COM" TargetMode="External"/><Relationship Id="rId244" Type="http://schemas.openxmlformats.org/officeDocument/2006/relationships/hyperlink" Target="mailto:rbankson@DEREKBUILDERS.COM;jthorpe@derekbuilders.com" TargetMode="External"/><Relationship Id="rId647" Type="http://schemas.openxmlformats.org/officeDocument/2006/relationships/hyperlink" Target="mailto:Logan@desertservices.net" TargetMode="External"/><Relationship Id="rId689" Type="http://schemas.openxmlformats.org/officeDocument/2006/relationships/hyperlink" Target="mailto:Logan@desertservices.net" TargetMode="External"/><Relationship Id="rId854" Type="http://schemas.openxmlformats.org/officeDocument/2006/relationships/hyperlink" Target="mailto:chadandrist@weisbuilders.com" TargetMode="External"/><Relationship Id="rId896" Type="http://schemas.openxmlformats.org/officeDocument/2006/relationships/hyperlink" Target="mailto:Logan@desertservices.net" TargetMode="External"/><Relationship Id="rId39" Type="http://schemas.openxmlformats.org/officeDocument/2006/relationships/hyperlink" Target="mailto:WADEFAIR@COX.NET" TargetMode="External"/><Relationship Id="rId286" Type="http://schemas.openxmlformats.org/officeDocument/2006/relationships/hyperlink" Target="mailto:Logan@desertservices.net" TargetMode="External"/><Relationship Id="rId451" Type="http://schemas.openxmlformats.org/officeDocument/2006/relationships/hyperlink" Target="mailto:Herve@desertservices.net" TargetMode="External"/><Relationship Id="rId493" Type="http://schemas.openxmlformats.org/officeDocument/2006/relationships/hyperlink" Target="mailto:Logan@desertservices.net" TargetMode="External"/><Relationship Id="rId507" Type="http://schemas.openxmlformats.org/officeDocument/2006/relationships/hyperlink" Target="mailto:Logan@desertservices.net" TargetMode="External"/><Relationship Id="rId549" Type="http://schemas.openxmlformats.org/officeDocument/2006/relationships/hyperlink" Target="mailto:ddiehl@concordinc.com" TargetMode="External"/><Relationship Id="rId714" Type="http://schemas.openxmlformats.org/officeDocument/2006/relationships/hyperlink" Target="mailto:kkelso@brycon.com" TargetMode="External"/><Relationship Id="rId756" Type="http://schemas.openxmlformats.org/officeDocument/2006/relationships/hyperlink" Target="mailto:Herve@desertservices.net" TargetMode="External"/><Relationship Id="rId921" Type="http://schemas.openxmlformats.org/officeDocument/2006/relationships/hyperlink" Target="mailto:antoniov@gconinc.com;peterg@gconic.com" TargetMode="External"/><Relationship Id="rId50" Type="http://schemas.openxmlformats.org/officeDocument/2006/relationships/hyperlink" Target="mailto:CJ.ESCALANTE@SODELLA.COM" TargetMode="External"/><Relationship Id="rId104" Type="http://schemas.openxmlformats.org/officeDocument/2006/relationships/hyperlink" Target="mailto:SSCHARBONEAU@WILLMENG.COM" TargetMode="External"/><Relationship Id="rId146" Type="http://schemas.openxmlformats.org/officeDocument/2006/relationships/hyperlink" Target="mailto:Logan@desertservices.net" TargetMode="External"/><Relationship Id="rId188" Type="http://schemas.openxmlformats.org/officeDocument/2006/relationships/hyperlink" Target="mailto:JASONB@NEXTGENAPARTMENTS.COM" TargetMode="External"/><Relationship Id="rId311" Type="http://schemas.openxmlformats.org/officeDocument/2006/relationships/hyperlink" Target="mailto:DHOPKINS@VPCONSTRUCT.COM" TargetMode="External"/><Relationship Id="rId353" Type="http://schemas.openxmlformats.org/officeDocument/2006/relationships/hyperlink" Target="mailto:michael.morgan@rsgbuilders.com" TargetMode="External"/><Relationship Id="rId395" Type="http://schemas.openxmlformats.org/officeDocument/2006/relationships/hyperlink" Target="mailto:Keith@mcgrathconstructionphx.com;Art@sandstormconstructionaz.com;aaron@sandstormconstructionaz.com" TargetMode="External"/><Relationship Id="rId409" Type="http://schemas.openxmlformats.org/officeDocument/2006/relationships/hyperlink" Target="mailto:markb@j-walters.com&#160;" TargetMode="External"/><Relationship Id="rId560" Type="http://schemas.openxmlformats.org/officeDocument/2006/relationships/hyperlink" Target="mailto:moakley@alstonco.com;kjohnsen@alstonco.com" TargetMode="External"/><Relationship Id="rId798" Type="http://schemas.openxmlformats.org/officeDocument/2006/relationships/hyperlink" Target="mailto:Herve@desertservices.net" TargetMode="External"/><Relationship Id="rId92" Type="http://schemas.openxmlformats.org/officeDocument/2006/relationships/hyperlink" Target="mailto:scott.eaton@sparrow-partners.com" TargetMode="External"/><Relationship Id="rId213" Type="http://schemas.openxmlformats.org/officeDocument/2006/relationships/hyperlink" Target="mailto:jbrown@dooleymacksc.com;dgross@dooleymacksc.com;sshealey@dooleymacksc.com" TargetMode="External"/><Relationship Id="rId420" Type="http://schemas.openxmlformats.org/officeDocument/2006/relationships/hyperlink" Target="mailto:Logan@desertservices.net" TargetMode="External"/><Relationship Id="rId616" Type="http://schemas.openxmlformats.org/officeDocument/2006/relationships/hyperlink" Target="mailto:ryanjewell@coreconstruction.com" TargetMode="External"/><Relationship Id="rId658" Type="http://schemas.openxmlformats.org/officeDocument/2006/relationships/hyperlink" Target="mailto:ashurkus@pathcc.com;jsinsheimer@pathcc.com" TargetMode="External"/><Relationship Id="rId823" Type="http://schemas.openxmlformats.org/officeDocument/2006/relationships/hyperlink" Target="mailto:jbroderick@achen.com;%20jrwatkins@achen.com" TargetMode="External"/><Relationship Id="rId865" Type="http://schemas.openxmlformats.org/officeDocument/2006/relationships/hyperlink" Target="mailto:cspecht@nittidac.com;%20nkarki@nittibldrs.com" TargetMode="External"/><Relationship Id="rId255" Type="http://schemas.openxmlformats.org/officeDocument/2006/relationships/hyperlink" Target="mailto:CCAVIN@LAYTONCONSTRUCTION.COM;vanessa.sanchez@laytonconstruction.com" TargetMode="External"/><Relationship Id="rId297" Type="http://schemas.openxmlformats.org/officeDocument/2006/relationships/hyperlink" Target="mailto:aleichtman@fclbuilders.com" TargetMode="External"/><Relationship Id="rId462" Type="http://schemas.openxmlformats.org/officeDocument/2006/relationships/hyperlink" Target="mailto:sscharboneau@willmeng.com" TargetMode="External"/><Relationship Id="rId518" Type="http://schemas.openxmlformats.org/officeDocument/2006/relationships/hyperlink" Target="mailto:gmorgan@mtbuilders.com" TargetMode="External"/><Relationship Id="rId725" Type="http://schemas.openxmlformats.org/officeDocument/2006/relationships/hyperlink" Target="mailto:logan@desertservices.net" TargetMode="External"/><Relationship Id="rId932" Type="http://schemas.openxmlformats.org/officeDocument/2006/relationships/printerSettings" Target="../printerSettings/printerSettings2.bin"/><Relationship Id="rId115" Type="http://schemas.openxmlformats.org/officeDocument/2006/relationships/hyperlink" Target="mailto:JBQDOFFICE@GMAIL.COM" TargetMode="External"/><Relationship Id="rId157" Type="http://schemas.openxmlformats.org/officeDocument/2006/relationships/hyperlink" Target="mailto:dclark@willmeng.com;cdoss@willmeng.com" TargetMode="External"/><Relationship Id="rId322" Type="http://schemas.openxmlformats.org/officeDocument/2006/relationships/hyperlink" Target="mailto:mark.sloan@greystar.com" TargetMode="External"/><Relationship Id="rId364" Type="http://schemas.openxmlformats.org/officeDocument/2006/relationships/hyperlink" Target="mailto:Logan@desertservices.net" TargetMode="External"/><Relationship Id="rId767" Type="http://schemas.openxmlformats.org/officeDocument/2006/relationships/hyperlink" Target="mailto:WESTPARK18SITE@GMAIL.COM" TargetMode="External"/><Relationship Id="rId61" Type="http://schemas.openxmlformats.org/officeDocument/2006/relationships/hyperlink" Target="mailto:BELDREGE@RENAISSANCE.COM" TargetMode="External"/><Relationship Id="rId199" Type="http://schemas.openxmlformats.org/officeDocument/2006/relationships/hyperlink" Target="mailto:MYCHAL@THESJANDERSON.COM" TargetMode="External"/><Relationship Id="rId571" Type="http://schemas.openxmlformats.org/officeDocument/2006/relationships/hyperlink" Target="mailto:Logan@desertservices.net" TargetMode="External"/><Relationship Id="rId627" Type="http://schemas.openxmlformats.org/officeDocument/2006/relationships/hyperlink" Target="mailto:Herve@desertservices.net" TargetMode="External"/><Relationship Id="rId669" Type="http://schemas.openxmlformats.org/officeDocument/2006/relationships/hyperlink" Target="mailto:Logan@desertservices.net" TargetMode="External"/><Relationship Id="rId834" Type="http://schemas.openxmlformats.org/officeDocument/2006/relationships/hyperlink" Target="mailto:Herve@desertservices.net" TargetMode="External"/><Relationship Id="rId876" Type="http://schemas.openxmlformats.org/officeDocument/2006/relationships/hyperlink" Target="mailto:richard@schoodev.us" TargetMode="External"/><Relationship Id="rId19" Type="http://schemas.openxmlformats.org/officeDocument/2006/relationships/hyperlink" Target="mailto:pkeller@pathcc.com" TargetMode="External"/><Relationship Id="rId224" Type="http://schemas.openxmlformats.org/officeDocument/2006/relationships/hyperlink" Target="mailto:info@gall0construction.com" TargetMode="External"/><Relationship Id="rId266" Type="http://schemas.openxmlformats.org/officeDocument/2006/relationships/hyperlink" Target="mailto:ryans@harsch.com" TargetMode="External"/><Relationship Id="rId431" Type="http://schemas.openxmlformats.org/officeDocument/2006/relationships/hyperlink" Target="mailto:Logan@desertservices.net" TargetMode="External"/><Relationship Id="rId473" Type="http://schemas.openxmlformats.org/officeDocument/2006/relationships/hyperlink" Target="mailto:bdallmann@chasse.us;mrenteria@chasse.us" TargetMode="External"/><Relationship Id="rId529" Type="http://schemas.openxmlformats.org/officeDocument/2006/relationships/hyperlink" Target="mailto:john@tlwconstruction.com;carol@tlwconstruction.com;jason@tlwconstruction.com" TargetMode="External"/><Relationship Id="rId680" Type="http://schemas.openxmlformats.org/officeDocument/2006/relationships/hyperlink" Target="mailto:Herve@desertservices.net" TargetMode="External"/><Relationship Id="rId736" Type="http://schemas.openxmlformats.org/officeDocument/2006/relationships/hyperlink" Target="mailto:tdebacco@willmeng.com;lemmert@willmeng.com" TargetMode="External"/><Relationship Id="rId901" Type="http://schemas.openxmlformats.org/officeDocument/2006/relationships/hyperlink" Target="mailto:pauls@ibcaz.com" TargetMode="External"/><Relationship Id="rId30" Type="http://schemas.openxmlformats.org/officeDocument/2006/relationships/hyperlink" Target="mailto:alanf@omadaconstruction.com" TargetMode="External"/><Relationship Id="rId126" Type="http://schemas.openxmlformats.org/officeDocument/2006/relationships/hyperlink" Target="mailto:audie@cambridgecoinc.com" TargetMode="External"/><Relationship Id="rId168" Type="http://schemas.openxmlformats.org/officeDocument/2006/relationships/hyperlink" Target="mailto:Logan@desertservices.net" TargetMode="External"/><Relationship Id="rId333" Type="http://schemas.openxmlformats.org/officeDocument/2006/relationships/hyperlink" Target="mailto:blaze@mcdonaldbrosaz.com" TargetMode="External"/><Relationship Id="rId540" Type="http://schemas.openxmlformats.org/officeDocument/2006/relationships/hyperlink" Target="mailto:abrown@streetlightsres.com;mschofield@streetlightsres.com" TargetMode="External"/><Relationship Id="rId778" Type="http://schemas.openxmlformats.org/officeDocument/2006/relationships/hyperlink" Target="mailto:bradduba@corconstruction.com;zack.few@coreconstruction.com" TargetMode="External"/><Relationship Id="rId72" Type="http://schemas.openxmlformats.org/officeDocument/2006/relationships/hyperlink" Target="mailto:scott@treger.com" TargetMode="External"/><Relationship Id="rId375" Type="http://schemas.openxmlformats.org/officeDocument/2006/relationships/hyperlink" Target="mailto:MARK.DEKARSKE@SPARROW-PARTNERS.COM;billy.denman@sparrow-partners.com" TargetMode="External"/><Relationship Id="rId582" Type="http://schemas.openxmlformats.org/officeDocument/2006/relationships/hyperlink" Target="mailto:mike@mitchellgcinc.com" TargetMode="External"/><Relationship Id="rId638" Type="http://schemas.openxmlformats.org/officeDocument/2006/relationships/hyperlink" Target="mailto:tshrivastava@willmeng.com;%20landerson@willmeng.com;%20rstuker@willmeng.com" TargetMode="External"/><Relationship Id="rId803" Type="http://schemas.openxmlformats.org/officeDocument/2006/relationships/hyperlink" Target="mailto:paulb@nearcal.com" TargetMode="External"/><Relationship Id="rId845" Type="http://schemas.openxmlformats.org/officeDocument/2006/relationships/hyperlink" Target="mailto:Logan@desertservices.net" TargetMode="External"/><Relationship Id="rId3" Type="http://schemas.openxmlformats.org/officeDocument/2006/relationships/hyperlink" Target="mailto:sbighorse@pacificap.com" TargetMode="External"/><Relationship Id="rId235" Type="http://schemas.openxmlformats.org/officeDocument/2006/relationships/hyperlink" Target="mailto:Logan@desertservices.net" TargetMode="External"/><Relationship Id="rId277" Type="http://schemas.openxmlformats.org/officeDocument/2006/relationships/hyperlink" Target="mailto:pauls@ibcaz.com" TargetMode="External"/><Relationship Id="rId400" Type="http://schemas.openxmlformats.org/officeDocument/2006/relationships/hyperlink" Target="mailto:brozeboom@sigmaconractng.com" TargetMode="External"/><Relationship Id="rId442" Type="http://schemas.openxmlformats.org/officeDocument/2006/relationships/hyperlink" Target="mailto:ctamburo@armays.com;jpearlstein@armays.com;thanes@armays.com;dokuka@armays.com" TargetMode="External"/><Relationship Id="rId484" Type="http://schemas.openxmlformats.org/officeDocument/2006/relationships/hyperlink" Target="mailto:Art@sandstormconstructionaz.com;Aaron@sandstormconstructionaz.com;andy@sandstormconstructionaz.com" TargetMode="External"/><Relationship Id="rId705" Type="http://schemas.openxmlformats.org/officeDocument/2006/relationships/hyperlink" Target="mailto:jason.greco@crosslands.us" TargetMode="External"/><Relationship Id="rId887" Type="http://schemas.openxmlformats.org/officeDocument/2006/relationships/hyperlink" Target="mailto:Logan@desertservices.net" TargetMode="External"/><Relationship Id="rId137" Type="http://schemas.openxmlformats.org/officeDocument/2006/relationships/hyperlink" Target="mailto:Herve@desertservices.net" TargetMode="External"/><Relationship Id="rId302" Type="http://schemas.openxmlformats.org/officeDocument/2006/relationships/hyperlink" Target="mailto:Logan@desertservices.net" TargetMode="External"/><Relationship Id="rId344" Type="http://schemas.openxmlformats.org/officeDocument/2006/relationships/hyperlink" Target="mailto:Logan@desertservices.net" TargetMode="External"/><Relationship Id="rId691" Type="http://schemas.openxmlformats.org/officeDocument/2006/relationships/hyperlink" Target="mailto:Logan@desertservices.net" TargetMode="External"/><Relationship Id="rId747" Type="http://schemas.openxmlformats.org/officeDocument/2006/relationships/hyperlink" Target="mailto:Herve@desertservices.net" TargetMode="External"/><Relationship Id="rId789" Type="http://schemas.openxmlformats.org/officeDocument/2006/relationships/hyperlink" Target="mailto:bpater@rytanconstruction.com;lwarr@rytanconstruction.com;bthompson@rytanconstruction.com" TargetMode="External"/><Relationship Id="rId912" Type="http://schemas.openxmlformats.org/officeDocument/2006/relationships/hyperlink" Target="mailto:eric.waters@tdc-properties.com" TargetMode="External"/><Relationship Id="rId41" Type="http://schemas.openxmlformats.org/officeDocument/2006/relationships/hyperlink" Target="mailto:dthomas@thompsonthrift.com" TargetMode="External"/><Relationship Id="rId83" Type="http://schemas.openxmlformats.org/officeDocument/2006/relationships/hyperlink" Target="mailto:noah.wamen@jedunn.com" TargetMode="External"/><Relationship Id="rId179" Type="http://schemas.openxmlformats.org/officeDocument/2006/relationships/hyperlink" Target="mailto:STEVE@MAGNUMPAVING.COM" TargetMode="External"/><Relationship Id="rId386" Type="http://schemas.openxmlformats.org/officeDocument/2006/relationships/hyperlink" Target="mailto:kreblin@mcshane.com;m.martinez@mcshane.com;emendivil@cadencemcshane.com" TargetMode="External"/><Relationship Id="rId551" Type="http://schemas.openxmlformats.org/officeDocument/2006/relationships/hyperlink" Target="mailto:ddawson@pwiresidential.com" TargetMode="External"/><Relationship Id="rId593" Type="http://schemas.openxmlformats.org/officeDocument/2006/relationships/hyperlink" Target="mailto:jim.fay@big-d.com" TargetMode="External"/><Relationship Id="rId607" Type="http://schemas.openxmlformats.org/officeDocument/2006/relationships/hyperlink" Target="mailto:don.engquist@ryancompanies.com" TargetMode="External"/><Relationship Id="rId649" Type="http://schemas.openxmlformats.org/officeDocument/2006/relationships/hyperlink" Target="mailto:dsimonson@markhamcontracting.com;jluttman@markhamcontracting.com" TargetMode="External"/><Relationship Id="rId814" Type="http://schemas.openxmlformats.org/officeDocument/2006/relationships/hyperlink" Target="mailto:joe.nev@laytonconstruction.com;sid.carrell@laytonconstruction.com" TargetMode="External"/><Relationship Id="rId856" Type="http://schemas.openxmlformats.org/officeDocument/2006/relationships/hyperlink" Target="mailto:apassantino@weoneil.com" TargetMode="External"/><Relationship Id="rId190" Type="http://schemas.openxmlformats.org/officeDocument/2006/relationships/hyperlink" Target="mailto:OMAR@PRIDECONTRACTINGAZ.COM" TargetMode="External"/><Relationship Id="rId204" Type="http://schemas.openxmlformats.org/officeDocument/2006/relationships/hyperlink" Target="mailto:bengeraty@conreconstruction.com" TargetMode="External"/><Relationship Id="rId246" Type="http://schemas.openxmlformats.org/officeDocument/2006/relationships/hyperlink" Target="mailto:Logan@desertservices.net" TargetMode="External"/><Relationship Id="rId288" Type="http://schemas.openxmlformats.org/officeDocument/2006/relationships/hyperlink" Target="mailto:glenbranham@hotmail.com" TargetMode="External"/><Relationship Id="rId411" Type="http://schemas.openxmlformats.org/officeDocument/2006/relationships/hyperlink" Target="mailto:m.jessick@pacsysinteriors.com" TargetMode="External"/><Relationship Id="rId453" Type="http://schemas.openxmlformats.org/officeDocument/2006/relationships/hyperlink" Target="mailto:MSHALLEY@WESPACAZ.COM" TargetMode="External"/><Relationship Id="rId509" Type="http://schemas.openxmlformats.org/officeDocument/2006/relationships/hyperlink" Target="mailto:Logan@desertservices.net" TargetMode="External"/><Relationship Id="rId660" Type="http://schemas.openxmlformats.org/officeDocument/2006/relationships/hyperlink" Target="mailto:Logan@desertservices.net" TargetMode="External"/><Relationship Id="rId898" Type="http://schemas.openxmlformats.org/officeDocument/2006/relationships/hyperlink" Target="mailto:Logan@desertservices.net" TargetMode="External"/><Relationship Id="rId106" Type="http://schemas.openxmlformats.org/officeDocument/2006/relationships/hyperlink" Target="mailto:D.LOCHMANN@ARMAYS.COM" TargetMode="External"/><Relationship Id="rId313" Type="http://schemas.openxmlformats.org/officeDocument/2006/relationships/hyperlink" Target="mailto:WESTPARK18SITE@GMAIL.COM" TargetMode="External"/><Relationship Id="rId495" Type="http://schemas.openxmlformats.org/officeDocument/2006/relationships/hyperlink" Target="mailto:pcarter@armays.com;jberger@armays.com;ddibiasi@armays.com" TargetMode="External"/><Relationship Id="rId716" Type="http://schemas.openxmlformats.org/officeDocument/2006/relationships/hyperlink" Target="mailto:Herve@desertservices.net" TargetMode="External"/><Relationship Id="rId758" Type="http://schemas.openxmlformats.org/officeDocument/2006/relationships/hyperlink" Target="mailto:ideering@willmeng.com;abynum@willmeng.com;vassudani@willmeng.com" TargetMode="External"/><Relationship Id="rId923" Type="http://schemas.openxmlformats.org/officeDocument/2006/relationships/hyperlink" Target="mailto:ashtayer@willmeng.com;scrutchley@willmeng.com" TargetMode="External"/><Relationship Id="rId10" Type="http://schemas.openxmlformats.org/officeDocument/2006/relationships/hyperlink" Target="mailto:OTHOG@DPR.COM" TargetMode="External"/><Relationship Id="rId52" Type="http://schemas.openxmlformats.org/officeDocument/2006/relationships/hyperlink" Target="mailto:dlorenzo@mcshane.com" TargetMode="External"/><Relationship Id="rId94" Type="http://schemas.openxmlformats.org/officeDocument/2006/relationships/hyperlink" Target="mailto:mgravert@chasse.us" TargetMode="External"/><Relationship Id="rId148" Type="http://schemas.openxmlformats.org/officeDocument/2006/relationships/hyperlink" Target="mailto:rraynes@pwiresidential.com" TargetMode="External"/><Relationship Id="rId355" Type="http://schemas.openxmlformats.org/officeDocument/2006/relationships/hyperlink" Target="mailto:RICK.ERHARDT@RYANCOMPANIES.COM" TargetMode="External"/><Relationship Id="rId397" Type="http://schemas.openxmlformats.org/officeDocument/2006/relationships/hyperlink" Target="mailto:chasem@gconinc.com;maggiet@gconinc.com%3E" TargetMode="External"/><Relationship Id="rId520" Type="http://schemas.openxmlformats.org/officeDocument/2006/relationships/hyperlink" Target="mailto:Logan@desertservices.net" TargetMode="External"/><Relationship Id="rId562" Type="http://schemas.openxmlformats.org/officeDocument/2006/relationships/hyperlink" Target="mailto:mike.washburn@big-d.com;pete.robinson@big-d.com;giovanni.garcia@big-d.com" TargetMode="External"/><Relationship Id="rId618" Type="http://schemas.openxmlformats.org/officeDocument/2006/relationships/hyperlink" Target="mailto:Logan@desertservices.net" TargetMode="External"/><Relationship Id="rId825" Type="http://schemas.openxmlformats.org/officeDocument/2006/relationships/hyperlink" Target="mailto:Herve@desertservices.net" TargetMode="External"/><Relationship Id="rId215" Type="http://schemas.openxmlformats.org/officeDocument/2006/relationships/hyperlink" Target="mailto:mbutler@a-p.com" TargetMode="External"/><Relationship Id="rId257" Type="http://schemas.openxmlformats.org/officeDocument/2006/relationships/hyperlink" Target="mailto:Logan@desertservices.net" TargetMode="External"/><Relationship Id="rId422" Type="http://schemas.openxmlformats.org/officeDocument/2006/relationships/hyperlink" Target="mailto:Logan@desertservices.net" TargetMode="External"/><Relationship Id="rId464" Type="http://schemas.openxmlformats.org/officeDocument/2006/relationships/hyperlink" Target="mailto:RSMITH@NITTIBLDRS.COM" TargetMode="External"/><Relationship Id="rId867" Type="http://schemas.openxmlformats.org/officeDocument/2006/relationships/hyperlink" Target="mailto:danial@pridecontractingaz.com;%20josh@pridecontractingaz.com" TargetMode="External"/><Relationship Id="rId299" Type="http://schemas.openxmlformats.org/officeDocument/2006/relationships/hyperlink" Target="mailto:Logan@desertservices.net" TargetMode="External"/><Relationship Id="rId727" Type="http://schemas.openxmlformats.org/officeDocument/2006/relationships/hyperlink" Target="mailto:Logan@desertservices.net" TargetMode="External"/><Relationship Id="rId63" Type="http://schemas.openxmlformats.org/officeDocument/2006/relationships/hyperlink" Target="mailto:PRESTON@CAPITALRINC.COM" TargetMode="External"/><Relationship Id="rId159" Type="http://schemas.openxmlformats.org/officeDocument/2006/relationships/hyperlink" Target="mailto:rob.banning@woodpartners.com" TargetMode="External"/><Relationship Id="rId366" Type="http://schemas.openxmlformats.org/officeDocument/2006/relationships/hyperlink" Target="mailto:amiller@crownaz.com;areaves@crownaz.com" TargetMode="External"/><Relationship Id="rId573" Type="http://schemas.openxmlformats.org/officeDocument/2006/relationships/hyperlink" Target="mailto:Herve@desertservices.net" TargetMode="External"/><Relationship Id="rId780" Type="http://schemas.openxmlformats.org/officeDocument/2006/relationships/hyperlink" Target="mailto:Herve@desertservices.net" TargetMode="External"/><Relationship Id="rId226" Type="http://schemas.openxmlformats.org/officeDocument/2006/relationships/hyperlink" Target="mailto:bgorbea@twgdev.com" TargetMode="External"/><Relationship Id="rId433" Type="http://schemas.openxmlformats.org/officeDocument/2006/relationships/hyperlink" Target="mailto:jsermeno@chasse.us" TargetMode="External"/><Relationship Id="rId878" Type="http://schemas.openxmlformats.org/officeDocument/2006/relationships/hyperlink" Target="mailto:Logan@desertservices.net" TargetMode="External"/><Relationship Id="rId640" Type="http://schemas.openxmlformats.org/officeDocument/2006/relationships/hyperlink" Target="mailto:kevin.griffith@fronterabuildingco.com;%20andrew@fronterabuildingco.com" TargetMode="External"/><Relationship Id="rId738" Type="http://schemas.openxmlformats.org/officeDocument/2006/relationships/hyperlink" Target="mailto:maceves@msconstruction.com" TargetMode="External"/><Relationship Id="rId74" Type="http://schemas.openxmlformats.org/officeDocument/2006/relationships/hyperlink" Target="mailto:CHUCK.C@MARRSINCAZ.COM" TargetMode="External"/><Relationship Id="rId377" Type="http://schemas.openxmlformats.org/officeDocument/2006/relationships/hyperlink" Target="mailto:tnetz@armays.com;gmccreary@armays.com" TargetMode="External"/><Relationship Id="rId500" Type="http://schemas.openxmlformats.org/officeDocument/2006/relationships/hyperlink" Target="mailto:Herve@desertservices.net" TargetMode="External"/><Relationship Id="rId584" Type="http://schemas.openxmlformats.org/officeDocument/2006/relationships/hyperlink" Target="mailto:Logan@desertservices.net" TargetMode="External"/><Relationship Id="rId805" Type="http://schemas.openxmlformats.org/officeDocument/2006/relationships/hyperlink" Target="mailto:astjohn@armays.com" TargetMode="External"/><Relationship Id="rId5" Type="http://schemas.openxmlformats.org/officeDocument/2006/relationships/hyperlink" Target="mailto:ajones@BrinkmannConstructors.com" TargetMode="External"/><Relationship Id="rId237" Type="http://schemas.openxmlformats.org/officeDocument/2006/relationships/hyperlink" Target="mailto:COREY@REDROCKCONTRACTING.BIZ" TargetMode="External"/><Relationship Id="rId791" Type="http://schemas.openxmlformats.org/officeDocument/2006/relationships/hyperlink" Target="mailto:Logan@desertservices.net" TargetMode="External"/><Relationship Id="rId889" Type="http://schemas.openxmlformats.org/officeDocument/2006/relationships/hyperlink" Target="mailto:bfregoso@willmeng.com;%20mgoodrich@willmeng.com" TargetMode="External"/><Relationship Id="rId444" Type="http://schemas.openxmlformats.org/officeDocument/2006/relationships/hyperlink" Target="mailto:NIKI@COPPER-NAIL.COM" TargetMode="External"/><Relationship Id="rId651" Type="http://schemas.openxmlformats.org/officeDocument/2006/relationships/hyperlink" Target="mailto:SSENATRO@MCRTRUST.COM;hsalgadomaldonado@MCRTRUST.COM;klask@mcrtrust.com;mcrandell@mcrtrust.com;jhallaran@mcrtrust.com;grekow@mcrtrust.com;jgiaramita@mcrtrust.com" TargetMode="External"/><Relationship Id="rId749" Type="http://schemas.openxmlformats.org/officeDocument/2006/relationships/hyperlink" Target="mailto:Logan@desertservices.net" TargetMode="External"/><Relationship Id="rId290" Type="http://schemas.openxmlformats.org/officeDocument/2006/relationships/hyperlink" Target="mailto:chris.colbourn@meritagehomes.com;antonio.aviles@meritagehomes.com" TargetMode="External"/><Relationship Id="rId304" Type="http://schemas.openxmlformats.org/officeDocument/2006/relationships/hyperlink" Target="mailto:JREICHEDNBERGER@ARMAYS.COM" TargetMode="External"/><Relationship Id="rId388" Type="http://schemas.openxmlformats.org/officeDocument/2006/relationships/hyperlink" Target="mailto:Logan@desertservices.net" TargetMode="External"/><Relationship Id="rId511" Type="http://schemas.openxmlformats.org/officeDocument/2006/relationships/hyperlink" Target="mailto:tony.debevec@livelmc.com;america.cano@quarterra.com" TargetMode="External"/><Relationship Id="rId609" Type="http://schemas.openxmlformats.org/officeDocument/2006/relationships/hyperlink" Target="mailto:Logan@desertservices.net" TargetMode="External"/><Relationship Id="rId85" Type="http://schemas.openxmlformats.org/officeDocument/2006/relationships/hyperlink" Target="mailto:CCRAVEN@CHASSE.US" TargetMode="External"/><Relationship Id="rId150" Type="http://schemas.openxmlformats.org/officeDocument/2006/relationships/hyperlink" Target="mailto:Logan@desertservices.net" TargetMode="External"/><Relationship Id="rId595" Type="http://schemas.openxmlformats.org/officeDocument/2006/relationships/hyperlink" Target="mailto:Logan@desertservices.net" TargetMode="External"/><Relationship Id="rId816" Type="http://schemas.openxmlformats.org/officeDocument/2006/relationships/hyperlink" Target="mailto:Logan@desertservices.net" TargetMode="External"/><Relationship Id="rId248" Type="http://schemas.openxmlformats.org/officeDocument/2006/relationships/hyperlink" Target="mailto:ensmanb@claycorp.com" TargetMode="External"/><Relationship Id="rId455" Type="http://schemas.openxmlformats.org/officeDocument/2006/relationships/hyperlink" Target="mailto:DOUG9891559@GMAIL.COM;ratt30th@gmail.com" TargetMode="External"/><Relationship Id="rId662" Type="http://schemas.openxmlformats.org/officeDocument/2006/relationships/hyperlink" Target="mailto:bryannance@esiconstruction.com" TargetMode="External"/><Relationship Id="rId12" Type="http://schemas.openxmlformats.org/officeDocument/2006/relationships/hyperlink" Target="mailto:jhernandez@becknellindustrial.com" TargetMode="External"/><Relationship Id="rId108" Type="http://schemas.openxmlformats.org/officeDocument/2006/relationships/hyperlink" Target="mailto:bstover@nunnconstruction.com" TargetMode="External"/><Relationship Id="rId315" Type="http://schemas.openxmlformats.org/officeDocument/2006/relationships/hyperlink" Target="mailto:Logan@desertservices.net" TargetMode="External"/><Relationship Id="rId522" Type="http://schemas.openxmlformats.org/officeDocument/2006/relationships/hyperlink" Target="mailto:thesselfeldt@embreegroup.com;cmartin@embreegroup.com" TargetMode="External"/><Relationship Id="rId96" Type="http://schemas.openxmlformats.org/officeDocument/2006/relationships/hyperlink" Target="mailto:MWAIKSNORIS@FOREPROPERTY.COM" TargetMode="External"/><Relationship Id="rId161" Type="http://schemas.openxmlformats.org/officeDocument/2006/relationships/hyperlink" Target="mailto:CEDWARDS@EOSBUILDERS.COM" TargetMode="External"/><Relationship Id="rId399" Type="http://schemas.openxmlformats.org/officeDocument/2006/relationships/hyperlink" Target="mailto:Logan@desertservices.net" TargetMode="External"/><Relationship Id="rId827" Type="http://schemas.openxmlformats.org/officeDocument/2006/relationships/hyperlink" Target="mailto:traebaca@coreconstruction.com" TargetMode="External"/><Relationship Id="rId259" Type="http://schemas.openxmlformats.org/officeDocument/2006/relationships/hyperlink" Target="mailto:Logan@desertservices.net" TargetMode="External"/><Relationship Id="rId466" Type="http://schemas.openxmlformats.org/officeDocument/2006/relationships/hyperlink" Target="mailto:Logan@desertservices.net" TargetMode="External"/><Relationship Id="rId673" Type="http://schemas.openxmlformats.org/officeDocument/2006/relationships/hyperlink" Target="mailto:ns@diamondwestaz.com" TargetMode="External"/><Relationship Id="rId880" Type="http://schemas.openxmlformats.org/officeDocument/2006/relationships/hyperlink" Target="mailto:Logan@desertservices.net" TargetMode="External"/><Relationship Id="rId23" Type="http://schemas.openxmlformats.org/officeDocument/2006/relationships/hyperlink" Target="mailto:amilheiro@haydonbc.com" TargetMode="External"/><Relationship Id="rId119" Type="http://schemas.openxmlformats.org/officeDocument/2006/relationships/hyperlink" Target="mailto:hwunderlich@gilbaneco.com" TargetMode="External"/><Relationship Id="rId326" Type="http://schemas.openxmlformats.org/officeDocument/2006/relationships/hyperlink" Target="mailto:Logan@desertservices.net" TargetMode="External"/><Relationship Id="rId533" Type="http://schemas.openxmlformats.org/officeDocument/2006/relationships/hyperlink" Target="mailto:pmagrone@willmeng.com" TargetMode="External"/><Relationship Id="rId740" Type="http://schemas.openxmlformats.org/officeDocument/2006/relationships/hyperlink" Target="mailto:Aaron@sandstormconstructionaz.com" TargetMode="External"/><Relationship Id="rId838" Type="http://schemas.openxmlformats.org/officeDocument/2006/relationships/hyperlink" Target="mailto:dbruttig@thompsonthrift.com;%20asollenberger@thompsonthrift.com;%20sgriffin@thompsonthrift.com" TargetMode="External"/><Relationship Id="rId172" Type="http://schemas.openxmlformats.org/officeDocument/2006/relationships/hyperlink" Target="mailto:Logan@desertservices.net" TargetMode="External"/><Relationship Id="rId477" Type="http://schemas.openxmlformats.org/officeDocument/2006/relationships/hyperlink" Target="mailto:LEE.PALMER@TDC-PROPERTIES.COM" TargetMode="External"/><Relationship Id="rId600" Type="http://schemas.openxmlformats.org/officeDocument/2006/relationships/hyperlink" Target="mailto:max@lloydconstruction.com" TargetMode="External"/><Relationship Id="rId684" Type="http://schemas.openxmlformats.org/officeDocument/2006/relationships/hyperlink" Target="mailto:ewester@armays.com;mwarnick@armays.com" TargetMode="External"/><Relationship Id="rId337" Type="http://schemas.openxmlformats.org/officeDocument/2006/relationships/hyperlink" Target="mailto:ANTONIOV@GCONINC.COM" TargetMode="External"/><Relationship Id="rId891" Type="http://schemas.openxmlformats.org/officeDocument/2006/relationships/hyperlink" Target="mailto:spencer.russell@venncompanies.com" TargetMode="External"/><Relationship Id="rId905" Type="http://schemas.openxmlformats.org/officeDocument/2006/relationships/hyperlink" Target="mailto:Herve@desertservices.net" TargetMode="External"/><Relationship Id="rId34" Type="http://schemas.openxmlformats.org/officeDocument/2006/relationships/hyperlink" Target="mailto:dhalbison@mtbprojects.com" TargetMode="External"/><Relationship Id="rId544" Type="http://schemas.openxmlformats.org/officeDocument/2006/relationships/hyperlink" Target="mailto:Logan@desertservices.net" TargetMode="External"/><Relationship Id="rId751" Type="http://schemas.openxmlformats.org/officeDocument/2006/relationships/hyperlink" Target="mailto:george@rcc-az.com" TargetMode="External"/><Relationship Id="rId849" Type="http://schemas.openxmlformats.org/officeDocument/2006/relationships/hyperlink" Target="mailto:alowry@brinkmannconstructors.com" TargetMode="External"/><Relationship Id="rId183" Type="http://schemas.openxmlformats.org/officeDocument/2006/relationships/hyperlink" Target="mailto:larrymitchell@coreconstruction.com;nasebrahim@coreconstruction.com;remanalmusawi@coreconstruction.com;jacobblum@coreconstruction.com;lanetodoroff@coreconstruction.com" TargetMode="External"/><Relationship Id="rId390" Type="http://schemas.openxmlformats.org/officeDocument/2006/relationships/hyperlink" Target="mailto:Logan@desertservices.net" TargetMode="External"/><Relationship Id="rId404" Type="http://schemas.openxmlformats.org/officeDocument/2006/relationships/hyperlink" Target="mailto:mrichardson@flemingcomplete.com" TargetMode="External"/><Relationship Id="rId611" Type="http://schemas.openxmlformats.org/officeDocument/2006/relationships/hyperlink" Target="mailto:jstewart@mtbprojects.com" TargetMode="External"/><Relationship Id="rId250" Type="http://schemas.openxmlformats.org/officeDocument/2006/relationships/hyperlink" Target="mailto:Logan@desertservices.net" TargetMode="External"/><Relationship Id="rId488" Type="http://schemas.openxmlformats.org/officeDocument/2006/relationships/hyperlink" Target="mailto:jbreden@mcshane.com;YNaik@mcshane.com;CWooters@mcshane.com" TargetMode="External"/><Relationship Id="rId695" Type="http://schemas.openxmlformats.org/officeDocument/2006/relationships/hyperlink" Target="mailto:Herve@desertservices.net" TargetMode="External"/><Relationship Id="rId709" Type="http://schemas.openxmlformats.org/officeDocument/2006/relationships/hyperlink" Target="mailto:alanarvizu@core%20construction;dillonhansford@coreconstruction.com" TargetMode="External"/><Relationship Id="rId916" Type="http://schemas.openxmlformats.org/officeDocument/2006/relationships/hyperlink" Target="mailto:mcarpenter@kdcconstruction.com" TargetMode="External"/><Relationship Id="rId45" Type="http://schemas.openxmlformats.org/officeDocument/2006/relationships/hyperlink" Target="mailto:MGRAVERT@CHASSE.US" TargetMode="External"/><Relationship Id="rId110" Type="http://schemas.openxmlformats.org/officeDocument/2006/relationships/hyperlink" Target="mailto:EOATES@EOSBUILDERS.COM" TargetMode="External"/><Relationship Id="rId348" Type="http://schemas.openxmlformats.org/officeDocument/2006/relationships/hyperlink" Target="mailto:lapodaca@derekbuilders.com;scywinski@dereckbuilders.com" TargetMode="External"/><Relationship Id="rId555" Type="http://schemas.openxmlformats.org/officeDocument/2006/relationships/hyperlink" Target="mailto:abrown@streetlightsres.com;mschofield@streetlightsres.com" TargetMode="External"/><Relationship Id="rId762" Type="http://schemas.openxmlformats.org/officeDocument/2006/relationships/hyperlink" Target="mailto:Herve@desertservices.net" TargetMode="External"/><Relationship Id="rId194" Type="http://schemas.openxmlformats.org/officeDocument/2006/relationships/hyperlink" Target="mailto:Logan@desertservices.net" TargetMode="External"/><Relationship Id="rId208" Type="http://schemas.openxmlformats.org/officeDocument/2006/relationships/hyperlink" Target="mailto:michael.zoemisch@ryancompanies.com;ray.gomez@ryancompanies.com" TargetMode="External"/><Relationship Id="rId415" Type="http://schemas.openxmlformats.org/officeDocument/2006/relationships/hyperlink" Target="mailto:AlecN@lottbrothers.com" TargetMode="External"/><Relationship Id="rId622" Type="http://schemas.openxmlformats.org/officeDocument/2006/relationships/hyperlink" Target="mailto:djameson@willmeng.com" TargetMode="External"/><Relationship Id="rId261" Type="http://schemas.openxmlformats.org/officeDocument/2006/relationships/hyperlink" Target="mailto:aalbandak@willmeng.com;hbeerangi@willmeng.com" TargetMode="External"/><Relationship Id="rId499" Type="http://schemas.openxmlformats.org/officeDocument/2006/relationships/hyperlink" Target="mailto:kristinef@idealco.net" TargetMode="External"/><Relationship Id="rId927" Type="http://schemas.openxmlformats.org/officeDocument/2006/relationships/hyperlink" Target="mailto:jjbittner@chasse.us;dhiser@chasse.us%20;%20bbrinkerhoff@chasse.us" TargetMode="External"/><Relationship Id="rId56" Type="http://schemas.openxmlformats.org/officeDocument/2006/relationships/hyperlink" Target="mailto:richard@schooldev.us" TargetMode="External"/><Relationship Id="rId359" Type="http://schemas.openxmlformats.org/officeDocument/2006/relationships/hyperlink" Target="mailto:Logan@desertservices.net" TargetMode="External"/><Relationship Id="rId566" Type="http://schemas.openxmlformats.org/officeDocument/2006/relationships/hyperlink" Target="mailto:dtonn@chasse.us" TargetMode="External"/><Relationship Id="rId773" Type="http://schemas.openxmlformats.org/officeDocument/2006/relationships/hyperlink" Target="mailto:tlowe@porterkyle.com" TargetMode="External"/><Relationship Id="rId121" Type="http://schemas.openxmlformats.org/officeDocument/2006/relationships/hyperlink" Target="mailto:bmann@mccarthy.com;rkey@mccarthy.com" TargetMode="External"/><Relationship Id="rId219" Type="http://schemas.openxmlformats.org/officeDocument/2006/relationships/hyperlink" Target="mailto:DARIN.KRIER@RYANCOMPANIES.COM" TargetMode="External"/><Relationship Id="rId426" Type="http://schemas.openxmlformats.org/officeDocument/2006/relationships/hyperlink" Target="mailto:wgullett@greenlightgc.com;gprieto@greenlightgc.com" TargetMode="External"/><Relationship Id="rId633" Type="http://schemas.openxmlformats.org/officeDocument/2006/relationships/hyperlink" Target="mailto:queencreekcommons@sodella.com;marcus.morales@sodella.com;james.vanbalen@sodella.com" TargetMode="External"/><Relationship Id="rId840" Type="http://schemas.openxmlformats.org/officeDocument/2006/relationships/hyperlink" Target="mailto:CPERRY@MYCON.COM;%20mwineinger@mycon.com" TargetMode="External"/><Relationship Id="rId67" Type="http://schemas.openxmlformats.org/officeDocument/2006/relationships/hyperlink" Target="mailto:kaleb@foundationeconstruction.com" TargetMode="External"/><Relationship Id="rId272" Type="http://schemas.openxmlformats.org/officeDocument/2006/relationships/hyperlink" Target="mailto:dhamman@abccre.com" TargetMode="External"/><Relationship Id="rId577" Type="http://schemas.openxmlformats.org/officeDocument/2006/relationships/hyperlink" Target="mailto:dschroat@fclbuilders.com" TargetMode="External"/><Relationship Id="rId700" Type="http://schemas.openxmlformats.org/officeDocument/2006/relationships/hyperlink" Target="mailto:Logan@desertservices.net" TargetMode="External"/><Relationship Id="rId132" Type="http://schemas.openxmlformats.org/officeDocument/2006/relationships/hyperlink" Target="mailto:Logan@desertservices.net" TargetMode="External"/><Relationship Id="rId784" Type="http://schemas.openxmlformats.org/officeDocument/2006/relationships/hyperlink" Target="mailto:cconley@weoneil.com;%20aarrizon@weoneil.com;%20cburke@weoneil.com" TargetMode="External"/><Relationship Id="rId437" Type="http://schemas.openxmlformats.org/officeDocument/2006/relationships/hyperlink" Target="mailto:robr@lgedesignbuild.com" TargetMode="External"/><Relationship Id="rId644" Type="http://schemas.openxmlformats.org/officeDocument/2006/relationships/hyperlink" Target="mailto:rseeley@robcon.com;%20icolton@robcon.com;%20leob@robcon.com" TargetMode="External"/><Relationship Id="rId851" Type="http://schemas.openxmlformats.org/officeDocument/2006/relationships/hyperlink" Target="mailto:justin.ortega@idmbuilds.com" TargetMode="External"/><Relationship Id="rId283" Type="http://schemas.openxmlformats.org/officeDocument/2006/relationships/hyperlink" Target="mailto:Logan@desertservices.net" TargetMode="External"/><Relationship Id="rId490" Type="http://schemas.openxmlformats.org/officeDocument/2006/relationships/hyperlink" Target="mailto:ddawson@pwiresidential.com" TargetMode="External"/><Relationship Id="rId504" Type="http://schemas.openxmlformats.org/officeDocument/2006/relationships/hyperlink" Target="mailto:kh@lbwest.com;jw@lbwest.com;rlevalley@lbwest.com" TargetMode="External"/><Relationship Id="rId711" Type="http://schemas.openxmlformats.org/officeDocument/2006/relationships/hyperlink" Target="mailto:tkirk@willmeng.com;acharmeda@willmeng.com" TargetMode="External"/><Relationship Id="rId78" Type="http://schemas.openxmlformats.org/officeDocument/2006/relationships/hyperlink" Target="mailto:mathew.williams@sparrow-partners.com" TargetMode="External"/><Relationship Id="rId143" Type="http://schemas.openxmlformats.org/officeDocument/2006/relationships/hyperlink" Target="mailto:gchavez@chasse.us" TargetMode="External"/><Relationship Id="rId350" Type="http://schemas.openxmlformats.org/officeDocument/2006/relationships/hyperlink" Target="mailto:tdevine@laytonconstruction.com;jimmy.sharp@laytonconstruction.com" TargetMode="External"/><Relationship Id="rId588" Type="http://schemas.openxmlformats.org/officeDocument/2006/relationships/hyperlink" Target="mailto:jatrapp@mccarthy.com" TargetMode="External"/><Relationship Id="rId795" Type="http://schemas.openxmlformats.org/officeDocument/2006/relationships/hyperlink" Target="mailto:mshawcroft@renconco.com" TargetMode="External"/><Relationship Id="rId809" Type="http://schemas.openxmlformats.org/officeDocument/2006/relationships/hyperlink" Target="mailto:ayates@hannadesigngroup.com" TargetMode="External"/><Relationship Id="rId9" Type="http://schemas.openxmlformats.org/officeDocument/2006/relationships/hyperlink" Target="mailto:alanf@omadaconstruction.com" TargetMode="External"/><Relationship Id="rId210" Type="http://schemas.openxmlformats.org/officeDocument/2006/relationships/hyperlink" Target="mailto:pbunnell@sunlandasphalt.com" TargetMode="External"/><Relationship Id="rId448" Type="http://schemas.openxmlformats.org/officeDocument/2006/relationships/hyperlink" Target="mailto:TOMC@DPRCOM" TargetMode="External"/><Relationship Id="rId655" Type="http://schemas.openxmlformats.org/officeDocument/2006/relationships/hyperlink" Target="mailto:Logan@desertservices.net" TargetMode="External"/><Relationship Id="rId862" Type="http://schemas.openxmlformats.org/officeDocument/2006/relationships/hyperlink" Target="mailto:jslocum@armays.com" TargetMode="External"/><Relationship Id="rId294" Type="http://schemas.openxmlformats.org/officeDocument/2006/relationships/hyperlink" Target="mailto:rhettb@ibcaz.com" TargetMode="External"/><Relationship Id="rId308" Type="http://schemas.openxmlformats.org/officeDocument/2006/relationships/hyperlink" Target="mailto:CSTEWART@PATHCC.COM;ashurkus@pathcc.com" TargetMode="External"/><Relationship Id="rId515" Type="http://schemas.openxmlformats.org/officeDocument/2006/relationships/hyperlink" Target="mailto:Logan@desertservices.net" TargetMode="External"/><Relationship Id="rId722" Type="http://schemas.openxmlformats.org/officeDocument/2006/relationships/hyperlink" Target="mailto:jeff_ramsouer@graycor.com;%20luke_hanouw@graycor.com;%20dominic_youhana@graycor.com" TargetMode="External"/><Relationship Id="rId89" Type="http://schemas.openxmlformats.org/officeDocument/2006/relationships/hyperlink" Target="mailto:BRAD@DIRTCHEAPLLC.COM" TargetMode="External"/><Relationship Id="rId154" Type="http://schemas.openxmlformats.org/officeDocument/2006/relationships/hyperlink" Target="mailto:bjablonsky@mtprojects.com" TargetMode="External"/><Relationship Id="rId361" Type="http://schemas.openxmlformats.org/officeDocument/2006/relationships/hyperlink" Target="mailto:pshepherd@mtprojects.com" TargetMode="External"/><Relationship Id="rId599" Type="http://schemas.openxmlformats.org/officeDocument/2006/relationships/hyperlink" Target="mailto:joel.painter@emjcorp.com" TargetMode="External"/><Relationship Id="rId459" Type="http://schemas.openxmlformats.org/officeDocument/2006/relationships/hyperlink" Target="mailto:jamiek@nearcal.com" TargetMode="External"/><Relationship Id="rId666" Type="http://schemas.openxmlformats.org/officeDocument/2006/relationships/hyperlink" Target="mailto:daniel.galdean@krausanderson.com" TargetMode="External"/><Relationship Id="rId873" Type="http://schemas.openxmlformats.org/officeDocument/2006/relationships/hyperlink" Target="mailto:scott.painter@emjcorp.com" TargetMode="External"/><Relationship Id="rId16" Type="http://schemas.openxmlformats.org/officeDocument/2006/relationships/hyperlink" Target="mailto:bhiggins@renaissancecos.com" TargetMode="External"/><Relationship Id="rId221" Type="http://schemas.openxmlformats.org/officeDocument/2006/relationships/hyperlink" Target="mailto:sb@hxeng.com;matt@desertbuild.net" TargetMode="External"/><Relationship Id="rId319" Type="http://schemas.openxmlformats.org/officeDocument/2006/relationships/hyperlink" Target="mailto:smcleod@fclbuilders.com" TargetMode="External"/><Relationship Id="rId526" Type="http://schemas.openxmlformats.org/officeDocument/2006/relationships/hyperlink" Target="mailto:Herve@desertservices.net" TargetMode="External"/><Relationship Id="rId733" Type="http://schemas.openxmlformats.org/officeDocument/2006/relationships/hyperlink" Target="mailto:cconley@weoneil.com;%20aarrizon@weoneil.com;%20cburke@weoneil.com" TargetMode="External"/><Relationship Id="rId165" Type="http://schemas.openxmlformats.org/officeDocument/2006/relationships/hyperlink" Target="mailto:Herve@desertservices.net" TargetMode="External"/><Relationship Id="rId372" Type="http://schemas.openxmlformats.org/officeDocument/2006/relationships/hyperlink" Target="mailto:cspecht@nittidac.com" TargetMode="External"/><Relationship Id="rId677" Type="http://schemas.openxmlformats.org/officeDocument/2006/relationships/hyperlink" Target="mailto:Logan@desertservices.net" TargetMode="External"/><Relationship Id="rId800" Type="http://schemas.openxmlformats.org/officeDocument/2006/relationships/hyperlink" Target="mailto:sawyer.bos@ryancompanies.com;cesar.mendieta@ryancompanies.com;ray.kettel@ryancompanies.com" TargetMode="External"/><Relationship Id="rId232" Type="http://schemas.openxmlformats.org/officeDocument/2006/relationships/hyperlink" Target="mailto:OCTAVIO.MONTOYA@WHITING-TURNER.COM" TargetMode="External"/><Relationship Id="rId884" Type="http://schemas.openxmlformats.org/officeDocument/2006/relationships/hyperlink" Target="mailto:corey@doubleaabuilders.com" TargetMode="External"/><Relationship Id="rId27" Type="http://schemas.openxmlformats.org/officeDocument/2006/relationships/hyperlink" Target="mailto:zbyard@a-p.com" TargetMode="External"/><Relationship Id="rId537" Type="http://schemas.openxmlformats.org/officeDocument/2006/relationships/hyperlink" Target="mailto:pdauksis@willmeng.com" TargetMode="External"/><Relationship Id="rId744" Type="http://schemas.openxmlformats.org/officeDocument/2006/relationships/hyperlink" Target="mailto:Logan@desertservices.net" TargetMode="External"/><Relationship Id="rId80" Type="http://schemas.openxmlformats.org/officeDocument/2006/relationships/hyperlink" Target="mailto:jeffrey.lee@northridgenet.com" TargetMode="External"/><Relationship Id="rId176" Type="http://schemas.openxmlformats.org/officeDocument/2006/relationships/hyperlink" Target="mailto:JIMW@JACKSONDEAN.COM" TargetMode="External"/><Relationship Id="rId383" Type="http://schemas.openxmlformats.org/officeDocument/2006/relationships/hyperlink" Target="mailto:Logan@desertservices.net" TargetMode="External"/><Relationship Id="rId590" Type="http://schemas.openxmlformats.org/officeDocument/2006/relationships/hyperlink" Target="mailto:JZOZAYA@MCSHANE.COM;bpennington@mcshane.com" TargetMode="External"/><Relationship Id="rId604" Type="http://schemas.openxmlformats.org/officeDocument/2006/relationships/hyperlink" Target="mailto:enrique@prosteelstr.com;tomstitt@prosteelstr.com" TargetMode="External"/><Relationship Id="rId811" Type="http://schemas.openxmlformats.org/officeDocument/2006/relationships/hyperlink" Target="mailto:Herve@desertservices.net" TargetMode="External"/><Relationship Id="rId243" Type="http://schemas.openxmlformats.org/officeDocument/2006/relationships/hyperlink" Target="mailto:amoses@mtbuilders.com" TargetMode="External"/><Relationship Id="rId450" Type="http://schemas.openxmlformats.org/officeDocument/2006/relationships/hyperlink" Target="mailto:jbaehman@chasse.us" TargetMode="External"/><Relationship Id="rId688" Type="http://schemas.openxmlformats.org/officeDocument/2006/relationships/hyperlink" Target="mailto:agonzalez@embreydc.com;jkim@embreydc.com" TargetMode="External"/><Relationship Id="rId895" Type="http://schemas.openxmlformats.org/officeDocument/2006/relationships/hyperlink" Target="mailto:jeffsears@lgedesignbuild.com" TargetMode="External"/><Relationship Id="rId909" Type="http://schemas.openxmlformats.org/officeDocument/2006/relationships/hyperlink" Target="mailto:pnoon@mtbprojects.com;%20gmorgan@mtbprojects.com" TargetMode="External"/><Relationship Id="rId38" Type="http://schemas.openxmlformats.org/officeDocument/2006/relationships/hyperlink" Target="mailto:rflorez@concordinc.com" TargetMode="External"/><Relationship Id="rId103" Type="http://schemas.openxmlformats.org/officeDocument/2006/relationships/hyperlink" Target="mailto:BDICKEY@CATAMOUNTINC.COM" TargetMode="External"/><Relationship Id="rId310" Type="http://schemas.openxmlformats.org/officeDocument/2006/relationships/hyperlink" Target="mailto:Logan@desertservices.net" TargetMode="External"/><Relationship Id="rId548" Type="http://schemas.openxmlformats.org/officeDocument/2006/relationships/hyperlink" Target="mailto:Logan@desertservices.net" TargetMode="External"/><Relationship Id="rId755" Type="http://schemas.openxmlformats.org/officeDocument/2006/relationships/hyperlink" Target="mailto:darnberger@willmeng.com;%20ralexander@willmeng.com;%20mgoodrich@willmeng.com" TargetMode="External"/><Relationship Id="rId91" Type="http://schemas.openxmlformats.org/officeDocument/2006/relationships/hyperlink" Target="mailto:CHUCK.C@MARRSINCAZ.COM" TargetMode="External"/><Relationship Id="rId187" Type="http://schemas.openxmlformats.org/officeDocument/2006/relationships/hyperlink" Target="mailto:Logan@desertservices.net" TargetMode="External"/><Relationship Id="rId394" Type="http://schemas.openxmlformats.org/officeDocument/2006/relationships/hyperlink" Target="mailto:Logan@desertservices.net" TargetMode="External"/><Relationship Id="rId408" Type="http://schemas.openxmlformats.org/officeDocument/2006/relationships/hyperlink" Target="mailto:erics@jacksondean.com;aaronr@jacksondean.com" TargetMode="External"/><Relationship Id="rId615" Type="http://schemas.openxmlformats.org/officeDocument/2006/relationships/hyperlink" Target="mailto:Logan@desertservices.net" TargetMode="External"/><Relationship Id="rId822" Type="http://schemas.openxmlformats.org/officeDocument/2006/relationships/hyperlink" Target="mailto:tfyffe@innovativebuildingpartners.com;%20bfyffe@innovative-bp.com;%20lstarrett@innovative-bp.com" TargetMode="External"/><Relationship Id="rId254" Type="http://schemas.openxmlformats.org/officeDocument/2006/relationships/hyperlink" Target="mailto:Logan@desertservices.net" TargetMode="External"/><Relationship Id="rId699" Type="http://schemas.openxmlformats.org/officeDocument/2006/relationships/hyperlink" Target="mailto:brockr@stoutllc.com" TargetMode="External"/><Relationship Id="rId49" Type="http://schemas.openxmlformats.org/officeDocument/2006/relationships/hyperlink" Target="mailto:GREG.DELANEY@RSGBUILDERS.COM" TargetMode="External"/><Relationship Id="rId114" Type="http://schemas.openxmlformats.org/officeDocument/2006/relationships/hyperlink" Target="mailto:RTORRES@WILLMENG.COM" TargetMode="External"/><Relationship Id="rId461" Type="http://schemas.openxmlformats.org/officeDocument/2006/relationships/hyperlink" Target="mailto:elundin@reddenconstruction.com" TargetMode="External"/><Relationship Id="rId559" Type="http://schemas.openxmlformats.org/officeDocument/2006/relationships/hyperlink" Target="mailto:Logan@desertservices.net" TargetMode="External"/><Relationship Id="rId766" Type="http://schemas.openxmlformats.org/officeDocument/2006/relationships/hyperlink" Target="mailto:WESTPARK18SITE@GMAIL.COM" TargetMode="External"/><Relationship Id="rId198" Type="http://schemas.openxmlformats.org/officeDocument/2006/relationships/hyperlink" Target="mailto:Logan@desertservices.net" TargetMode="External"/><Relationship Id="rId321" Type="http://schemas.openxmlformats.org/officeDocument/2006/relationships/hyperlink" Target="mailto:eric.evans@idmbuilds.com;pedro.alvarez-bazan@idmbuilds.com" TargetMode="External"/><Relationship Id="rId419" Type="http://schemas.openxmlformats.org/officeDocument/2006/relationships/hyperlink" Target="mailto:duncan@gssco.com;Bill@gssco.com" TargetMode="External"/><Relationship Id="rId626" Type="http://schemas.openxmlformats.org/officeDocument/2006/relationships/hyperlink" Target="mailto:sterrazas@henselphelps.com;zach@redpointcontracting.com;TMartin4@henselphelps.com" TargetMode="External"/><Relationship Id="rId833" Type="http://schemas.openxmlformats.org/officeDocument/2006/relationships/hyperlink" Target="mailto:doug.wenzel@big-d.com" TargetMode="External"/><Relationship Id="rId265" Type="http://schemas.openxmlformats.org/officeDocument/2006/relationships/hyperlink" Target="mailto:RYANS@SCHNITZERPROPERTIES.COM" TargetMode="External"/><Relationship Id="rId472" Type="http://schemas.openxmlformats.org/officeDocument/2006/relationships/hyperlink" Target="mailto:bryce@tlwconstruction.com" TargetMode="External"/><Relationship Id="rId900" Type="http://schemas.openxmlformats.org/officeDocument/2006/relationships/hyperlink" Target="mailto:Logan@desertservices.net" TargetMode="External"/><Relationship Id="rId125" Type="http://schemas.openxmlformats.org/officeDocument/2006/relationships/hyperlink" Target="mailto:josh@jnpebler.com" TargetMode="External"/><Relationship Id="rId332" Type="http://schemas.openxmlformats.org/officeDocument/2006/relationships/hyperlink" Target="mailto:Logan@desertservices.net" TargetMode="External"/><Relationship Id="rId777" Type="http://schemas.openxmlformats.org/officeDocument/2006/relationships/hyperlink" Target="mailto:Logan@desertservices.net" TargetMode="External"/><Relationship Id="rId637" Type="http://schemas.openxmlformats.org/officeDocument/2006/relationships/hyperlink" Target="mailto:wpace@wespacaz.com" TargetMode="External"/><Relationship Id="rId844" Type="http://schemas.openxmlformats.org/officeDocument/2006/relationships/hyperlink" Target="mailto:Logan@desertservices.net" TargetMode="External"/><Relationship Id="rId276" Type="http://schemas.openxmlformats.org/officeDocument/2006/relationships/hyperlink" Target="mailto:JGSMITH@PRIMUSBUILDERS.COM" TargetMode="External"/><Relationship Id="rId483" Type="http://schemas.openxmlformats.org/officeDocument/2006/relationships/hyperlink" Target="mailto:alanarvizu@core%20construction;dillonhansford@coreconstruction.com" TargetMode="External"/><Relationship Id="rId690" Type="http://schemas.openxmlformats.org/officeDocument/2006/relationships/hyperlink" Target="mailto:secundinolizarraga@coreconstruction.com" TargetMode="External"/><Relationship Id="rId704" Type="http://schemas.openxmlformats.org/officeDocument/2006/relationships/hyperlink" Target="mailto:pdepas@mtbprojects.com" TargetMode="External"/><Relationship Id="rId911" Type="http://schemas.openxmlformats.org/officeDocument/2006/relationships/hyperlink" Target="mailto:Herve@desertservices.net" TargetMode="External"/><Relationship Id="rId40" Type="http://schemas.openxmlformats.org/officeDocument/2006/relationships/hyperlink" Target="mailto:alamotte@dickensquality.com" TargetMode="External"/><Relationship Id="rId136" Type="http://schemas.openxmlformats.org/officeDocument/2006/relationships/hyperlink" Target="mailto:SSCHAEFER@SHAMBAUGH.COM" TargetMode="External"/><Relationship Id="rId343" Type="http://schemas.openxmlformats.org/officeDocument/2006/relationships/hyperlink" Target="mailto:Logan@desertservices.net" TargetMode="External"/><Relationship Id="rId550" Type="http://schemas.openxmlformats.org/officeDocument/2006/relationships/hyperlink" Target="mailto:Logan@desertservices.net" TargetMode="External"/><Relationship Id="rId788" Type="http://schemas.openxmlformats.org/officeDocument/2006/relationships/hyperlink" Target="mailto:sshafer@laytonconstruction.com" TargetMode="External"/><Relationship Id="rId203" Type="http://schemas.openxmlformats.org/officeDocument/2006/relationships/hyperlink" Target="mailto:MVOSS@KEYCONSTRUCTION.COM" TargetMode="External"/><Relationship Id="rId648" Type="http://schemas.openxmlformats.org/officeDocument/2006/relationships/hyperlink" Target="mailto:darren.scott@cgschmidt.com" TargetMode="External"/><Relationship Id="rId855" Type="http://schemas.openxmlformats.org/officeDocument/2006/relationships/hyperlink" Target="mailto:mgilson@calienteconstruction.com;%20vrodriguez@calienteconstruction.com;%20abates@calienteconstruction.com;%20cslaymaker@calienteconstruction.com" TargetMode="External"/><Relationship Id="rId287" Type="http://schemas.openxmlformats.org/officeDocument/2006/relationships/hyperlink" Target="mailto:rhettb@ibcaz.com" TargetMode="External"/><Relationship Id="rId410" Type="http://schemas.openxmlformats.org/officeDocument/2006/relationships/hyperlink" Target="mailto:Logan@desertservices.net" TargetMode="External"/><Relationship Id="rId494" Type="http://schemas.openxmlformats.org/officeDocument/2006/relationships/hyperlink" Target="mailto:chrisp@bprcompanies.com" TargetMode="External"/><Relationship Id="rId508" Type="http://schemas.openxmlformats.org/officeDocument/2006/relationships/hyperlink" Target="mailto:edgarn@gconinc.com" TargetMode="External"/><Relationship Id="rId715" Type="http://schemas.openxmlformats.org/officeDocument/2006/relationships/hyperlink" Target="mailto:lbashford@willmeng.com" TargetMode="External"/><Relationship Id="rId922" Type="http://schemas.openxmlformats.org/officeDocument/2006/relationships/hyperlink" Target="mailto:Herve@desertservices.net" TargetMode="External"/><Relationship Id="rId147" Type="http://schemas.openxmlformats.org/officeDocument/2006/relationships/hyperlink" Target="mailto:gchavez@chasse.us" TargetMode="External"/><Relationship Id="rId354" Type="http://schemas.openxmlformats.org/officeDocument/2006/relationships/hyperlink" Target="mailto:Logan@desertservices.net" TargetMode="External"/><Relationship Id="rId799" Type="http://schemas.openxmlformats.org/officeDocument/2006/relationships/hyperlink" Target="mailto:neal.bulter@ryancompanies.com;ray.comez@ryancompanies.com" TargetMode="External"/><Relationship Id="rId51" Type="http://schemas.openxmlformats.org/officeDocument/2006/relationships/hyperlink" Target="mailto:gcanning@mccarthy.com" TargetMode="External"/><Relationship Id="rId561" Type="http://schemas.openxmlformats.org/officeDocument/2006/relationships/hyperlink" Target="mailto:Logan@desertservices.net" TargetMode="External"/><Relationship Id="rId659" Type="http://schemas.openxmlformats.org/officeDocument/2006/relationships/hyperlink" Target="mailto:Logan@desertservices.net" TargetMode="External"/><Relationship Id="rId866" Type="http://schemas.openxmlformats.org/officeDocument/2006/relationships/hyperlink" Target="mailto:Logan@desertservices.net" TargetMode="External"/><Relationship Id="rId214" Type="http://schemas.openxmlformats.org/officeDocument/2006/relationships/hyperlink" Target="mailto:RALDERMAN@SIGMACONTRACTING.COM" TargetMode="External"/><Relationship Id="rId298" Type="http://schemas.openxmlformats.org/officeDocument/2006/relationships/hyperlink" Target="mailto:MMILLER@A-P.COM" TargetMode="External"/><Relationship Id="rId421" Type="http://schemas.openxmlformats.org/officeDocument/2006/relationships/hyperlink" Target="mailto:bversteeg@weoneil.com" TargetMode="External"/><Relationship Id="rId519" Type="http://schemas.openxmlformats.org/officeDocument/2006/relationships/hyperlink" Target="mailto:JQUAID@ALLRESCO.COM" TargetMode="External"/><Relationship Id="rId158" Type="http://schemas.openxmlformats.org/officeDocument/2006/relationships/hyperlink" Target="mailto:Logan@desertservices.net" TargetMode="External"/><Relationship Id="rId726" Type="http://schemas.openxmlformats.org/officeDocument/2006/relationships/hyperlink" Target="mailto:cmoffitt@willmeng.com;plillegraven@willmeng.com%20;tgordon@willmeng.com" TargetMode="External"/><Relationship Id="rId62" Type="http://schemas.openxmlformats.org/officeDocument/2006/relationships/hyperlink" Target="mailto:jbeck@calienteconstruction.com" TargetMode="External"/><Relationship Id="rId365" Type="http://schemas.openxmlformats.org/officeDocument/2006/relationships/hyperlink" Target="mailto:zach.tanner@laytonconstruction.com" TargetMode="External"/><Relationship Id="rId572" Type="http://schemas.openxmlformats.org/officeDocument/2006/relationships/hyperlink" Target="mailto:maldridge@willmeng.com;tgardner@willmeng.com;acharameda@willmeng.com" TargetMode="External"/><Relationship Id="rId225" Type="http://schemas.openxmlformats.org/officeDocument/2006/relationships/hyperlink" Target="mailto:djameson@willmeng.com;jcrichton@willmeng.com" TargetMode="External"/><Relationship Id="rId432" Type="http://schemas.openxmlformats.org/officeDocument/2006/relationships/hyperlink" Target="mailto:dallred@willmeng.com;bbaker@willmeng.com;darnberger@willmeng.com" TargetMode="External"/><Relationship Id="rId877" Type="http://schemas.openxmlformats.org/officeDocument/2006/relationships/hyperlink" Target="mailto:hmaynard@mycon.com;%20thighsmith@mycon.com" TargetMode="External"/><Relationship Id="rId737" Type="http://schemas.openxmlformats.org/officeDocument/2006/relationships/hyperlink" Target="mailto:Logan@desertservices.net" TargetMode="External"/><Relationship Id="rId73" Type="http://schemas.openxmlformats.org/officeDocument/2006/relationships/hyperlink" Target="mailto:WACLAWIKNICK@GMAIL.COM" TargetMode="External"/><Relationship Id="rId169" Type="http://schemas.openxmlformats.org/officeDocument/2006/relationships/hyperlink" Target="mailto:Logan@desertservices.net" TargetMode="External"/><Relationship Id="rId376" Type="http://schemas.openxmlformats.org/officeDocument/2006/relationships/hyperlink" Target="mailto:Logan@desertservices.net" TargetMode="External"/><Relationship Id="rId583" Type="http://schemas.openxmlformats.org/officeDocument/2006/relationships/hyperlink" Target="mailto:jtovar@pathcc.com;dkrupp@pathcc.com" TargetMode="External"/><Relationship Id="rId790" Type="http://schemas.openxmlformats.org/officeDocument/2006/relationships/hyperlink" Target="mailto:Herve@desertservices.net" TargetMode="External"/><Relationship Id="rId804" Type="http://schemas.openxmlformats.org/officeDocument/2006/relationships/hyperlink" Target="mailto:Herve@desertservices.net" TargetMode="External"/><Relationship Id="rId4" Type="http://schemas.openxmlformats.org/officeDocument/2006/relationships/hyperlink" Target="mailto:bobh@coltonconst.com" TargetMode="External"/><Relationship Id="rId236" Type="http://schemas.openxmlformats.org/officeDocument/2006/relationships/hyperlink" Target="mailto:wayne.harmon@sonorancrest.com" TargetMode="External"/><Relationship Id="rId443" Type="http://schemas.openxmlformats.org/officeDocument/2006/relationships/hyperlink" Target="mailto:svillanueva@mccarthy.com;MPAHearn@mccarthy.com" TargetMode="External"/><Relationship Id="rId650" Type="http://schemas.openxmlformats.org/officeDocument/2006/relationships/hyperlink" Target="mailto:danny.armstrong@woodpartners.com" TargetMode="External"/><Relationship Id="rId888" Type="http://schemas.openxmlformats.org/officeDocument/2006/relationships/hyperlink" Target="mailto:michael@robertporterconstruction.com" TargetMode="External"/><Relationship Id="rId303" Type="http://schemas.openxmlformats.org/officeDocument/2006/relationships/hyperlink" Target="mailto:dhill@derekbuilders.com" TargetMode="External"/><Relationship Id="rId748" Type="http://schemas.openxmlformats.org/officeDocument/2006/relationships/hyperlink" Target="mailto:jslade@brinkmannsconstructors.com;sriicks@brinkmannconstructors.com" TargetMode="External"/><Relationship Id="rId84" Type="http://schemas.openxmlformats.org/officeDocument/2006/relationships/hyperlink" Target="mailto:PEDROM@DPR.COM" TargetMode="External"/><Relationship Id="rId387" Type="http://schemas.openxmlformats.org/officeDocument/2006/relationships/hyperlink" Target="mailto:Logan@desertservices.net" TargetMode="External"/><Relationship Id="rId510" Type="http://schemas.openxmlformats.org/officeDocument/2006/relationships/hyperlink" Target="mailto:pete.virostek@clarkconstruction.com" TargetMode="External"/><Relationship Id="rId594" Type="http://schemas.openxmlformats.org/officeDocument/2006/relationships/hyperlink" Target="mailto:ESTEBAN.ROMERO@WOODPARTNERS.COM" TargetMode="External"/><Relationship Id="rId608" Type="http://schemas.openxmlformats.org/officeDocument/2006/relationships/hyperlink" Target="mailto:timothy.hutter@laytonconstruction.com" TargetMode="External"/><Relationship Id="rId815" Type="http://schemas.openxmlformats.org/officeDocument/2006/relationships/hyperlink" Target="mailto:klewis@mcshane.com;eruvalcaba@mcshane.com;scrutchley@mcshane.com" TargetMode="External"/><Relationship Id="rId247" Type="http://schemas.openxmlformats.org/officeDocument/2006/relationships/hyperlink" Target="mailto:dleone@hunterengineeringpc." TargetMode="External"/><Relationship Id="rId899" Type="http://schemas.openxmlformats.org/officeDocument/2006/relationships/hyperlink" Target="mailto:jason@treger.com;aaron@treger.com" TargetMode="External"/><Relationship Id="rId107" Type="http://schemas.openxmlformats.org/officeDocument/2006/relationships/hyperlink" Target="mailto:LASALDIVAR@GREENLIGHTGC.COM" TargetMode="External"/><Relationship Id="rId454" Type="http://schemas.openxmlformats.org/officeDocument/2006/relationships/hyperlink" Target="mailto:bspetman@greenlightgc.com;lmarshall@greenlightgc.com;pmontalvo@greenlightgc.com" TargetMode="External"/><Relationship Id="rId661" Type="http://schemas.openxmlformats.org/officeDocument/2006/relationships/hyperlink" Target="mailto:dbeaver@concordinc.com" TargetMode="External"/><Relationship Id="rId759" Type="http://schemas.openxmlformats.org/officeDocument/2006/relationships/hyperlink" Target="mailto:Logan@desertservices.net" TargetMode="External"/><Relationship Id="rId11" Type="http://schemas.openxmlformats.org/officeDocument/2006/relationships/hyperlink" Target="mailto:bbutler@a-p.com" TargetMode="External"/><Relationship Id="rId314" Type="http://schemas.openxmlformats.org/officeDocument/2006/relationships/hyperlink" Target="mailto:JAKES@DPR.COM" TargetMode="External"/><Relationship Id="rId398" Type="http://schemas.openxmlformats.org/officeDocument/2006/relationships/hyperlink" Target="mailto:Caleb_Johnson@Graycor.com" TargetMode="External"/><Relationship Id="rId521" Type="http://schemas.openxmlformats.org/officeDocument/2006/relationships/hyperlink" Target="mailto:Logan@desertservices.net" TargetMode="External"/><Relationship Id="rId619" Type="http://schemas.openxmlformats.org/officeDocument/2006/relationships/hyperlink" Target="mailto:s.schimmers@commonwealthco.net" TargetMode="External"/><Relationship Id="rId95" Type="http://schemas.openxmlformats.org/officeDocument/2006/relationships/hyperlink" Target="mailto:amontano@rytanconstruction.com" TargetMode="External"/><Relationship Id="rId160" Type="http://schemas.openxmlformats.org/officeDocument/2006/relationships/hyperlink" Target="mailto:Logan@desertservices.net" TargetMode="External"/><Relationship Id="rId826" Type="http://schemas.openxmlformats.org/officeDocument/2006/relationships/hyperlink" Target="mailto:don.engquist@ryancompanies.com" TargetMode="External"/><Relationship Id="rId258" Type="http://schemas.openxmlformats.org/officeDocument/2006/relationships/hyperlink" Target="mailto:mike.legrand@41northcontractors.com" TargetMode="External"/><Relationship Id="rId465" Type="http://schemas.openxmlformats.org/officeDocument/2006/relationships/hyperlink" Target="mailto:tom.velasquez@weitz.com" TargetMode="External"/><Relationship Id="rId672" Type="http://schemas.openxmlformats.org/officeDocument/2006/relationships/hyperlink" Target="mailto:Logan@desertservices.net" TargetMode="External"/><Relationship Id="rId22" Type="http://schemas.openxmlformats.org/officeDocument/2006/relationships/hyperlink" Target="mailto:abohon@haydonbc.com" TargetMode="External"/><Relationship Id="rId118" Type="http://schemas.openxmlformats.org/officeDocument/2006/relationships/hyperlink" Target="mailto:Logan@desertservices.net" TargetMode="External"/><Relationship Id="rId325" Type="http://schemas.openxmlformats.org/officeDocument/2006/relationships/hyperlink" Target="mailto:beldredge@renconco.com" TargetMode="External"/><Relationship Id="rId532" Type="http://schemas.openxmlformats.org/officeDocument/2006/relationships/hyperlink" Target="mailto:ckeim@fclbuilders.com" TargetMode="External"/><Relationship Id="rId171" Type="http://schemas.openxmlformats.org/officeDocument/2006/relationships/hyperlink" Target="mailto:donencantoliving@icloud.com" TargetMode="External"/><Relationship Id="rId837" Type="http://schemas.openxmlformats.org/officeDocument/2006/relationships/hyperlink" Target="mailto:Tim.Schalk@ryancompanies.com;%20Tim.Bennett@ryancompanies.com;%20Tom.Smallhouse@ryancompanies.com" TargetMode="External"/><Relationship Id="rId269" Type="http://schemas.openxmlformats.org/officeDocument/2006/relationships/hyperlink" Target="mailto:Logan@desertservices.net" TargetMode="External"/><Relationship Id="rId476" Type="http://schemas.openxmlformats.org/officeDocument/2006/relationships/hyperlink" Target="mailto:jbrown@pathcc.com;cingram@pathcc.com;jstenzel@pathcc.com" TargetMode="External"/><Relationship Id="rId683" Type="http://schemas.openxmlformats.org/officeDocument/2006/relationships/hyperlink" Target="mailto:Herve@desertservices.net" TargetMode="External"/><Relationship Id="rId890" Type="http://schemas.openxmlformats.org/officeDocument/2006/relationships/hyperlink" Target="mailto:michael@caldwellwatza.com" TargetMode="External"/><Relationship Id="rId904" Type="http://schemas.openxmlformats.org/officeDocument/2006/relationships/hyperlink" Target="mailto:n.papanikolas@mcmanusconstruction.net" TargetMode="External"/><Relationship Id="rId33" Type="http://schemas.openxmlformats.org/officeDocument/2006/relationships/hyperlink" Target="mailto:deatinger@calienteconstruction.com" TargetMode="External"/><Relationship Id="rId129" Type="http://schemas.openxmlformats.org/officeDocument/2006/relationships/hyperlink" Target="mailto:CHRIS.KRAHMER@HINES.COM" TargetMode="External"/><Relationship Id="rId336" Type="http://schemas.openxmlformats.org/officeDocument/2006/relationships/hyperlink" Target="mailto:Art@sandstormconstructionaz.com;Aaron@sandstormconstructionaz.com" TargetMode="External"/><Relationship Id="rId543" Type="http://schemas.openxmlformats.org/officeDocument/2006/relationships/hyperlink" Target="mailto:ddiehl@concordinc.com" TargetMode="External"/><Relationship Id="rId182" Type="http://schemas.openxmlformats.org/officeDocument/2006/relationships/hyperlink" Target="mailto:Logan@desertservices.net" TargetMode="External"/><Relationship Id="rId403" Type="http://schemas.openxmlformats.org/officeDocument/2006/relationships/hyperlink" Target="mailto:Logan@desertservices.net" TargetMode="External"/><Relationship Id="rId750" Type="http://schemas.openxmlformats.org/officeDocument/2006/relationships/hyperlink" Target="mailto:Logan@desertservices.net" TargetMode="External"/><Relationship Id="rId848" Type="http://schemas.openxmlformats.org/officeDocument/2006/relationships/hyperlink" Target="mailto:jack.degraff@ryancompanies.com" TargetMode="External"/><Relationship Id="rId487" Type="http://schemas.openxmlformats.org/officeDocument/2006/relationships/hyperlink" Target="mailto:Logan@desertservices.net" TargetMode="External"/><Relationship Id="rId610" Type="http://schemas.openxmlformats.org/officeDocument/2006/relationships/hyperlink" Target="mailto:edgarnevarez@coreconstruction.com" TargetMode="External"/><Relationship Id="rId694" Type="http://schemas.openxmlformats.org/officeDocument/2006/relationships/hyperlink" Target="mailto:Logan@desertservices.net" TargetMode="External"/><Relationship Id="rId708" Type="http://schemas.openxmlformats.org/officeDocument/2006/relationships/hyperlink" Target="mailto:kurt@usdevcon.com;barryp@usdevcon.com" TargetMode="External"/><Relationship Id="rId915" Type="http://schemas.openxmlformats.org/officeDocument/2006/relationships/hyperlink" Target="mailto:ctattersall@mcrtust.com" TargetMode="External"/><Relationship Id="rId347" Type="http://schemas.openxmlformats.org/officeDocument/2006/relationships/hyperlink" Target="mailto:Logan@desertservices.net" TargetMode="External"/><Relationship Id="rId44" Type="http://schemas.openxmlformats.org/officeDocument/2006/relationships/hyperlink" Target="mailto:THAAG@WILLMENG.COM" TargetMode="External"/><Relationship Id="rId554" Type="http://schemas.openxmlformats.org/officeDocument/2006/relationships/hyperlink" Target="mailto:bdorge@fclbuilders.com" TargetMode="External"/><Relationship Id="rId761" Type="http://schemas.openxmlformats.org/officeDocument/2006/relationships/hyperlink" Target="mailto:Herve@desertservices.net" TargetMode="External"/><Relationship Id="rId859" Type="http://schemas.openxmlformats.org/officeDocument/2006/relationships/hyperlink" Target="mailto:jdahl@calienteconstruction.com" TargetMode="External"/><Relationship Id="rId193" Type="http://schemas.openxmlformats.org/officeDocument/2006/relationships/hyperlink" Target="mailto:JMCKEAN@ARCO1.COM" TargetMode="External"/><Relationship Id="rId207" Type="http://schemas.openxmlformats.org/officeDocument/2006/relationships/hyperlink" Target="mailto:Logan@desertservices.net" TargetMode="External"/><Relationship Id="rId414" Type="http://schemas.openxmlformats.org/officeDocument/2006/relationships/hyperlink" Target="mailto:Damon_Spangle@Graycor.com" TargetMode="External"/><Relationship Id="rId498" Type="http://schemas.openxmlformats.org/officeDocument/2006/relationships/hyperlink" Target="mailto:Logan@desertservices.net" TargetMode="External"/><Relationship Id="rId621" Type="http://schemas.openxmlformats.org/officeDocument/2006/relationships/hyperlink" Target="mailto:vmorrow@greenlightgc.com;tjollie@greenlightgc.com" TargetMode="External"/><Relationship Id="rId260" Type="http://schemas.openxmlformats.org/officeDocument/2006/relationships/hyperlink" Target="mailto:jimk@lgedesignbuild.com" TargetMode="External"/><Relationship Id="rId719" Type="http://schemas.openxmlformats.org/officeDocument/2006/relationships/hyperlink" Target="mailto:tfyffe@innovativebuildingpartners.com;%20bfyffe@innovative-bp.com;%20lstarrett@innovative-bp.com" TargetMode="External"/><Relationship Id="rId926" Type="http://schemas.openxmlformats.org/officeDocument/2006/relationships/hyperlink" Target="mailto:Herve@desertservices.net" TargetMode="External"/><Relationship Id="rId55" Type="http://schemas.openxmlformats.org/officeDocument/2006/relationships/hyperlink" Target="mailto:STEVE.COLE@TDC-PROPERTIES.COM" TargetMode="External"/><Relationship Id="rId120" Type="http://schemas.openxmlformats.org/officeDocument/2006/relationships/hyperlink" Target="mailto:Logan@desertservices.net" TargetMode="External"/><Relationship Id="rId358" Type="http://schemas.openxmlformats.org/officeDocument/2006/relationships/hyperlink" Target="mailto:m.jessick@pacsysinteriors.com" TargetMode="External"/><Relationship Id="rId565" Type="http://schemas.openxmlformats.org/officeDocument/2006/relationships/hyperlink" Target="mailto:tim.schalk@ryancompanies.com;%20hannah.pier@ryancompanies.com" TargetMode="External"/><Relationship Id="rId772" Type="http://schemas.openxmlformats.org/officeDocument/2006/relationships/hyperlink" Target="mailto:michaelgiannini@laytonconstruction.com;%20nrochwalik@laytonconstruction.com;%20timothy.young@laytonconstruction.com" TargetMode="External"/><Relationship Id="rId218" Type="http://schemas.openxmlformats.org/officeDocument/2006/relationships/hyperlink" Target="mailto:Logan@desertservices.net" TargetMode="External"/><Relationship Id="rId425" Type="http://schemas.openxmlformats.org/officeDocument/2006/relationships/hyperlink" Target="mailto:zcole@crossland.com" TargetMode="External"/><Relationship Id="rId632" Type="http://schemas.openxmlformats.org/officeDocument/2006/relationships/hyperlink" Target="mailto:Logan@desertservices.net" TargetMode="External"/><Relationship Id="rId271" Type="http://schemas.openxmlformats.org/officeDocument/2006/relationships/hyperlink" Target="mailto:jmullin@abccre.com" TargetMode="External"/><Relationship Id="rId66" Type="http://schemas.openxmlformats.org/officeDocument/2006/relationships/hyperlink" Target="mailto:dgulotta@barkerone.com" TargetMode="External"/><Relationship Id="rId131" Type="http://schemas.openxmlformats.org/officeDocument/2006/relationships/hyperlink" Target="mailto:DAN.CAPANE@VENNCOMPANIES.COM" TargetMode="External"/><Relationship Id="rId369" Type="http://schemas.openxmlformats.org/officeDocument/2006/relationships/hyperlink" Target="mailto:MICHAEL.MURRAY@GREYSTAR.COM;tye.davis@greystar.com" TargetMode="External"/><Relationship Id="rId576" Type="http://schemas.openxmlformats.org/officeDocument/2006/relationships/hyperlink" Target="mailto:Logan@desertservices.net" TargetMode="External"/><Relationship Id="rId783" Type="http://schemas.openxmlformats.org/officeDocument/2006/relationships/hyperlink" Target="mailto:timothy.hutter@laytonconstruction.com" TargetMode="External"/><Relationship Id="rId229" Type="http://schemas.openxmlformats.org/officeDocument/2006/relationships/hyperlink" Target="mailto:JBOYD@BOYDDEVCO.COM" TargetMode="External"/><Relationship Id="rId436" Type="http://schemas.openxmlformats.org/officeDocument/2006/relationships/hyperlink" Target="mailto:Logan@desertservices.net" TargetMode="External"/><Relationship Id="rId643" Type="http://schemas.openxmlformats.org/officeDocument/2006/relationships/hyperlink" Target="mailto:aaron@fronterabuildingco.com" TargetMode="External"/><Relationship Id="rId850" Type="http://schemas.openxmlformats.org/officeDocument/2006/relationships/hyperlink" Target="mailto:cspecht@nittidac.com;%20nkarki@nittibldrs.com" TargetMode="External"/><Relationship Id="rId77" Type="http://schemas.openxmlformats.org/officeDocument/2006/relationships/hyperlink" Target="mailto:kmccord@mtbprojects.com" TargetMode="External"/><Relationship Id="rId282" Type="http://schemas.openxmlformats.org/officeDocument/2006/relationships/hyperlink" Target="mailto:chien.wu@sparrow-partners.com" TargetMode="External"/><Relationship Id="rId503" Type="http://schemas.openxmlformats.org/officeDocument/2006/relationships/hyperlink" Target="mailto:JOE@NUNNSCONSTRUCTION.COM" TargetMode="External"/><Relationship Id="rId587" Type="http://schemas.openxmlformats.org/officeDocument/2006/relationships/hyperlink" Target="mailto:KMCCORD@MTBPROJECTS.COM" TargetMode="External"/><Relationship Id="rId710" Type="http://schemas.openxmlformats.org/officeDocument/2006/relationships/hyperlink" Target="mailto:Herve@desertservices.net" TargetMode="External"/><Relationship Id="rId808" Type="http://schemas.openxmlformats.org/officeDocument/2006/relationships/hyperlink" Target="mailto:Logan@desertservices.net" TargetMode="External"/><Relationship Id="rId8" Type="http://schemas.openxmlformats.org/officeDocument/2006/relationships/hyperlink" Target="mailto:jkinsler@abccre.com" TargetMode="External"/><Relationship Id="rId142" Type="http://schemas.openxmlformats.org/officeDocument/2006/relationships/hyperlink" Target="mailto:atate@laytonconstruction.com" TargetMode="External"/><Relationship Id="rId447" Type="http://schemas.openxmlformats.org/officeDocument/2006/relationships/hyperlink" Target="mailto:ssullivan@shaw-ltd.com" TargetMode="External"/><Relationship Id="rId794" Type="http://schemas.openxmlformats.org/officeDocument/2006/relationships/hyperlink" Target="mailto:THOMAS.HARRELL@JEDUNN.COM" TargetMode="External"/><Relationship Id="rId654" Type="http://schemas.openxmlformats.org/officeDocument/2006/relationships/hyperlink" Target="mailto:Logan@desertservices.net" TargetMode="External"/><Relationship Id="rId861" Type="http://schemas.openxmlformats.org/officeDocument/2006/relationships/hyperlink" Target="mailto:jack.degraff@ryancompanies.com" TargetMode="External"/><Relationship Id="rId293" Type="http://schemas.openxmlformats.org/officeDocument/2006/relationships/hyperlink" Target="mailto:ensmanb@claycorp.com" TargetMode="External"/><Relationship Id="rId307" Type="http://schemas.openxmlformats.org/officeDocument/2006/relationships/hyperlink" Target="mailto:STEVENSONA@CLAYCORP.COM" TargetMode="External"/><Relationship Id="rId514" Type="http://schemas.openxmlformats.org/officeDocument/2006/relationships/hyperlink" Target="mailto:sbrittner@mcshane.com;rrosenfield@mcshane.com" TargetMode="External"/><Relationship Id="rId721" Type="http://schemas.openxmlformats.org/officeDocument/2006/relationships/hyperlink" Target="mailto:rpetersen@chasse.us" TargetMode="External"/><Relationship Id="rId88" Type="http://schemas.openxmlformats.org/officeDocument/2006/relationships/hyperlink" Target="mailto:BRAD@DIRTCHEAPLLC.COM" TargetMode="External"/><Relationship Id="rId153" Type="http://schemas.openxmlformats.org/officeDocument/2006/relationships/hyperlink" Target="mailto:Logan@desertservices.net" TargetMode="External"/><Relationship Id="rId360" Type="http://schemas.openxmlformats.org/officeDocument/2006/relationships/hyperlink" Target="mailto:randy.metz@catamountinc.com" TargetMode="External"/><Relationship Id="rId598" Type="http://schemas.openxmlformats.org/officeDocument/2006/relationships/hyperlink" Target="mailto:Logan@desertservices.net" TargetMode="External"/><Relationship Id="rId819" Type="http://schemas.openxmlformats.org/officeDocument/2006/relationships/hyperlink" Target="mailto:chelton@mcrtrust.com" TargetMode="External"/><Relationship Id="rId220" Type="http://schemas.openxmlformats.org/officeDocument/2006/relationships/hyperlink" Target="mailto:Logan@desertservices.net" TargetMode="External"/><Relationship Id="rId458" Type="http://schemas.openxmlformats.org/officeDocument/2006/relationships/hyperlink" Target="mailto:Logan@desertservices.net" TargetMode="External"/><Relationship Id="rId665" Type="http://schemas.openxmlformats.org/officeDocument/2006/relationships/hyperlink" Target="mailto:Herve@desertservices.net" TargetMode="External"/><Relationship Id="rId872" Type="http://schemas.openxmlformats.org/officeDocument/2006/relationships/hyperlink" Target="mailto:troy.brinkerhoff@ganemcompanies.com" TargetMode="External"/><Relationship Id="rId15" Type="http://schemas.openxmlformats.org/officeDocument/2006/relationships/hyperlink" Target="mailto:kbradley@willmeng.com" TargetMode="External"/><Relationship Id="rId318" Type="http://schemas.openxmlformats.org/officeDocument/2006/relationships/hyperlink" Target="mailto:Logan@desertservices.net" TargetMode="External"/><Relationship Id="rId525" Type="http://schemas.openxmlformats.org/officeDocument/2006/relationships/hyperlink" Target="mailto:davidkinney@coreconstruction.com" TargetMode="External"/><Relationship Id="rId732" Type="http://schemas.openxmlformats.org/officeDocument/2006/relationships/hyperlink" Target="mailto:rick@fronterabuildingco.com" TargetMode="External"/><Relationship Id="rId99" Type="http://schemas.openxmlformats.org/officeDocument/2006/relationships/hyperlink" Target="mailto:NATHANCHAMBERLIN@CORECONSTRUCTION.COM" TargetMode="External"/><Relationship Id="rId164" Type="http://schemas.openxmlformats.org/officeDocument/2006/relationships/hyperlink" Target="mailto:phil.walker@deerfield1.com" TargetMode="External"/><Relationship Id="rId371" Type="http://schemas.openxmlformats.org/officeDocument/2006/relationships/hyperlink" Target="mailto:anthony.agunzo@woodpartners.com" TargetMode="External"/><Relationship Id="rId469" Type="http://schemas.openxmlformats.org/officeDocument/2006/relationships/hyperlink" Target="mailto:ZBROWN@HOLDER.COM" TargetMode="External"/><Relationship Id="rId676" Type="http://schemas.openxmlformats.org/officeDocument/2006/relationships/hyperlink" Target="mailto:Logan@desertservices.net" TargetMode="External"/><Relationship Id="rId883" Type="http://schemas.openxmlformats.org/officeDocument/2006/relationships/hyperlink" Target="mailto:rsmeriglio@chasse.us;%20cbenes@rytanconstruction.com;%20hstlawrence@rytanconstruction.com" TargetMode="External"/><Relationship Id="rId26" Type="http://schemas.openxmlformats.org/officeDocument/2006/relationships/hyperlink" Target="mailto:agutzwiller@concordinc.com" TargetMode="External"/><Relationship Id="rId231" Type="http://schemas.openxmlformats.org/officeDocument/2006/relationships/hyperlink" Target="mailto:Logan@desertservices.net" TargetMode="External"/><Relationship Id="rId329" Type="http://schemas.openxmlformats.org/officeDocument/2006/relationships/hyperlink" Target="mailto:shawn@bjerkbuilders.com" TargetMode="External"/><Relationship Id="rId536" Type="http://schemas.openxmlformats.org/officeDocument/2006/relationships/hyperlink" Target="mailto:ccoffer@willmeng.com" TargetMode="External"/><Relationship Id="rId175" Type="http://schemas.openxmlformats.org/officeDocument/2006/relationships/hyperlink" Target="mailto:tonyde@dpr.com" TargetMode="External"/><Relationship Id="rId743" Type="http://schemas.openxmlformats.org/officeDocument/2006/relationships/hyperlink" Target="mailto:Logan@desertservices.net" TargetMode="External"/><Relationship Id="rId382" Type="http://schemas.openxmlformats.org/officeDocument/2006/relationships/hyperlink" Target="mailto:ryan.williams@emjcorp.com" TargetMode="External"/><Relationship Id="rId603" Type="http://schemas.openxmlformats.org/officeDocument/2006/relationships/hyperlink" Target="mailto:jkellum@wespacaz.com" TargetMode="External"/><Relationship Id="rId687" Type="http://schemas.openxmlformats.org/officeDocument/2006/relationships/hyperlink" Target="mailto:Logan@desertservices.net" TargetMode="External"/><Relationship Id="rId810" Type="http://schemas.openxmlformats.org/officeDocument/2006/relationships/hyperlink" Target="mailto:tzrust@mycon.com" TargetMode="External"/><Relationship Id="rId908" Type="http://schemas.openxmlformats.org/officeDocument/2006/relationships/hyperlink" Target="mailto:mgilson@calieneconstruction.com" TargetMode="External"/><Relationship Id="rId242" Type="http://schemas.openxmlformats.org/officeDocument/2006/relationships/hyperlink" Target="mailto:Logan@desertservices.net" TargetMode="External"/><Relationship Id="rId894" Type="http://schemas.openxmlformats.org/officeDocument/2006/relationships/hyperlink" Target="mailto:Logan@desertservices.net" TargetMode="External"/><Relationship Id="rId37" Type="http://schemas.openxmlformats.org/officeDocument/2006/relationships/hyperlink" Target="mailto:MCAVENDER@WILLMENG.COM" TargetMode="External"/><Relationship Id="rId102" Type="http://schemas.openxmlformats.org/officeDocument/2006/relationships/hyperlink" Target="mailto:jturner@keystonehomesaz.com" TargetMode="External"/><Relationship Id="rId547" Type="http://schemas.openxmlformats.org/officeDocument/2006/relationships/hyperlink" Target="mailto:Logan@desertservices.net" TargetMode="External"/><Relationship Id="rId754" Type="http://schemas.openxmlformats.org/officeDocument/2006/relationships/hyperlink" Target="mailto:TWILLIAMS@WEONEIL.COM" TargetMode="External"/><Relationship Id="rId90" Type="http://schemas.openxmlformats.org/officeDocument/2006/relationships/hyperlink" Target="mailto:JOE@dirtcheapllc.com" TargetMode="External"/><Relationship Id="rId186" Type="http://schemas.openxmlformats.org/officeDocument/2006/relationships/hyperlink" Target="mailto:mattm@gconinc.com" TargetMode="External"/><Relationship Id="rId393" Type="http://schemas.openxmlformats.org/officeDocument/2006/relationships/hyperlink" Target="mailto:SAM.HENSON@IDMBUILDS.COM" TargetMode="External"/><Relationship Id="rId407" Type="http://schemas.openxmlformats.org/officeDocument/2006/relationships/hyperlink" Target="mailto:kblanchard@brinkmannconstructors.com;lrogers@brinkmannconstructors.com" TargetMode="External"/><Relationship Id="rId614" Type="http://schemas.openxmlformats.org/officeDocument/2006/relationships/hyperlink" Target="mailto:jbrown@pathcc.com;jcontes@pathcc.com;jstenzel@pathcc.com" TargetMode="External"/><Relationship Id="rId821" Type="http://schemas.openxmlformats.org/officeDocument/2006/relationships/hyperlink" Target="mailto:darrin.grove@laytonconstruction.com" TargetMode="External"/><Relationship Id="rId253" Type="http://schemas.openxmlformats.org/officeDocument/2006/relationships/hyperlink" Target="mailto:tim.bennett@ryancompanies.com" TargetMode="External"/><Relationship Id="rId460" Type="http://schemas.openxmlformats.org/officeDocument/2006/relationships/hyperlink" Target="mailto:Logan@desertservices.net" TargetMode="External"/><Relationship Id="rId698" Type="http://schemas.openxmlformats.org/officeDocument/2006/relationships/hyperlink" Target="mailto:Herve@desertservices.net" TargetMode="External"/><Relationship Id="rId919" Type="http://schemas.openxmlformats.org/officeDocument/2006/relationships/hyperlink" Target="mailto:Logan@desertservices.net" TargetMode="External"/><Relationship Id="rId48" Type="http://schemas.openxmlformats.org/officeDocument/2006/relationships/hyperlink" Target="mailto:CHRISFOX@COSTAVERDEHOMES.COM" TargetMode="External"/><Relationship Id="rId113" Type="http://schemas.openxmlformats.org/officeDocument/2006/relationships/hyperlink" Target="mailto:ERIK@QUESTDC.NET" TargetMode="External"/><Relationship Id="rId320" Type="http://schemas.openxmlformats.org/officeDocument/2006/relationships/hyperlink" Target="mailto:Logan@desertservices.net" TargetMode="External"/><Relationship Id="rId558" Type="http://schemas.openxmlformats.org/officeDocument/2006/relationships/hyperlink" Target="mailto:ktaitano@dallasconstructionllc.com;emullen@dallasconstructionllc.com" TargetMode="External"/><Relationship Id="rId765" Type="http://schemas.openxmlformats.org/officeDocument/2006/relationships/hyperlink" Target="mailto:barry@joemaxbuilders.com" TargetMode="External"/><Relationship Id="rId197" Type="http://schemas.openxmlformats.org/officeDocument/2006/relationships/hyperlink" Target="mailto:danny.murphy@weoneil.com;bversteeg@weoneil.com" TargetMode="External"/><Relationship Id="rId418" Type="http://schemas.openxmlformats.org/officeDocument/2006/relationships/hyperlink" Target="mailto:zachary.commons@laytonconstruction.com;bgreen@laytonconstruction.com" TargetMode="External"/><Relationship Id="rId625" Type="http://schemas.openxmlformats.org/officeDocument/2006/relationships/hyperlink" Target="mailto:kbaker@chasse.us" TargetMode="External"/><Relationship Id="rId832" Type="http://schemas.openxmlformats.org/officeDocument/2006/relationships/hyperlink" Target="mailto:bob@edgeconstruct.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Herve@desertservices.net" TargetMode="External"/><Relationship Id="rId13" Type="http://schemas.openxmlformats.org/officeDocument/2006/relationships/hyperlink" Target="mailto:Herve@desertservices.net" TargetMode="External"/><Relationship Id="rId18" Type="http://schemas.openxmlformats.org/officeDocument/2006/relationships/hyperlink" Target="mailto:todd.cruz@richardgroupllc.com;ebben.kicklighter@richardgroupllc.com" TargetMode="External"/><Relationship Id="rId26" Type="http://schemas.openxmlformats.org/officeDocument/2006/relationships/comments" Target="../comments2.xml"/><Relationship Id="rId3" Type="http://schemas.openxmlformats.org/officeDocument/2006/relationships/hyperlink" Target="mailto:mhobbs@laytonconstruction.com" TargetMode="External"/><Relationship Id="rId21" Type="http://schemas.openxmlformats.org/officeDocument/2006/relationships/hyperlink" Target="mailto:bjohnson@h4uconstruction.com" TargetMode="External"/><Relationship Id="rId7" Type="http://schemas.openxmlformats.org/officeDocument/2006/relationships/hyperlink" Target="mailto:gchavez@chasse.us" TargetMode="External"/><Relationship Id="rId12" Type="http://schemas.openxmlformats.org/officeDocument/2006/relationships/hyperlink" Target="mailto:Logan@desertservices.net" TargetMode="External"/><Relationship Id="rId17" Type="http://schemas.openxmlformats.org/officeDocument/2006/relationships/hyperlink" Target="mailto:jslade@!brinkmannsconstructors.com" TargetMode="External"/><Relationship Id="rId25" Type="http://schemas.openxmlformats.org/officeDocument/2006/relationships/vmlDrawing" Target="../drawings/vmlDrawing2.vml"/><Relationship Id="rId2" Type="http://schemas.openxmlformats.org/officeDocument/2006/relationships/hyperlink" Target="mailto:Herve@desertservices.net" TargetMode="External"/><Relationship Id="rId16" Type="http://schemas.openxmlformats.org/officeDocument/2006/relationships/hyperlink" Target="mailto:Herve@desertservices.net" TargetMode="External"/><Relationship Id="rId20" Type="http://schemas.openxmlformats.org/officeDocument/2006/relationships/hyperlink" Target="mailto:Logan@desertservices.net" TargetMode="External"/><Relationship Id="rId1" Type="http://schemas.openxmlformats.org/officeDocument/2006/relationships/hyperlink" Target="mailto:Herve@desertservices.net" TargetMode="External"/><Relationship Id="rId6" Type="http://schemas.openxmlformats.org/officeDocument/2006/relationships/hyperlink" Target="mailto:gchavez@chasse.us" TargetMode="External"/><Relationship Id="rId11" Type="http://schemas.openxmlformats.org/officeDocument/2006/relationships/hyperlink" Target="mailto:DANIEL.PEREZ@IDMCOMPANIES.COM/JORDAN.GAITHER@IDMCOMPANIES.COM" TargetMode="External"/><Relationship Id="rId24" Type="http://schemas.openxmlformats.org/officeDocument/2006/relationships/printerSettings" Target="../printerSettings/printerSettings3.bin"/><Relationship Id="rId5" Type="http://schemas.openxmlformats.org/officeDocument/2006/relationships/hyperlink" Target="mailto:Herve@desertservices.net" TargetMode="External"/><Relationship Id="rId15" Type="http://schemas.openxmlformats.org/officeDocument/2006/relationships/hyperlink" Target="mailto:Herve@desertservices.net" TargetMode="External"/><Relationship Id="rId23" Type="http://schemas.openxmlformats.org/officeDocument/2006/relationships/hyperlink" Target="mailto:Logan@desertservices.net" TargetMode="External"/><Relationship Id="rId10" Type="http://schemas.openxmlformats.org/officeDocument/2006/relationships/hyperlink" Target="mailto:Herve@desertservices.net" TargetMode="External"/><Relationship Id="rId19" Type="http://schemas.openxmlformats.org/officeDocument/2006/relationships/hyperlink" Target="mailto:Logan@desertservices.net" TargetMode="External"/><Relationship Id="rId4" Type="http://schemas.openxmlformats.org/officeDocument/2006/relationships/hyperlink" Target="mailto:Herve@desertservices.net" TargetMode="External"/><Relationship Id="rId9" Type="http://schemas.openxmlformats.org/officeDocument/2006/relationships/hyperlink" Target="mailto:Herve@desertservices.net" TargetMode="External"/><Relationship Id="rId14" Type="http://schemas.openxmlformats.org/officeDocument/2006/relationships/hyperlink" Target="mailto:Herve@desertservices.net" TargetMode="External"/><Relationship Id="rId22" Type="http://schemas.openxmlformats.org/officeDocument/2006/relationships/hyperlink" Target="mailto:Herve@desertservices.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10"/>
  <sheetViews>
    <sheetView showGridLines="0" tabSelected="1" zoomScale="74" zoomScaleNormal="74" workbookViewId="0">
      <pane ySplit="1" topLeftCell="I69" activePane="bottomLeft" state="frozen"/>
      <selection pane="bottomLeft" activeCell="Q76" sqref="Q76"/>
    </sheetView>
  </sheetViews>
  <sheetFormatPr defaultColWidth="8.7109375" defaultRowHeight="15"/>
  <cols>
    <col min="1" max="1" width="22.5703125" style="1" customWidth="1"/>
    <col min="2" max="2" width="52.85546875" style="29" customWidth="1"/>
    <col min="3" max="3" width="52.140625" style="4" customWidth="1"/>
    <col min="4" max="4" width="24.42578125" style="130" customWidth="1"/>
    <col min="5" max="5" width="13.28515625" style="2" customWidth="1"/>
    <col min="6" max="6" width="16" style="2" customWidth="1"/>
    <col min="7" max="7" width="18.28515625" style="2" customWidth="1"/>
    <col min="8" max="8" width="16" style="41" customWidth="1"/>
    <col min="9" max="9" width="43.140625" style="1" customWidth="1"/>
    <col min="10" max="10" width="17.42578125" style="1" customWidth="1"/>
    <col min="11" max="11" width="6.7109375" style="1" customWidth="1"/>
    <col min="12" max="12" width="9.28515625" style="1" customWidth="1"/>
    <col min="13" max="13" width="5.42578125" style="1" customWidth="1"/>
    <col min="14" max="14" width="9.7109375" style="4" hidden="1" customWidth="1"/>
    <col min="15" max="15" width="17.7109375" style="1" customWidth="1"/>
    <col min="16" max="16" width="24.28515625" style="1" customWidth="1"/>
    <col min="17" max="17" width="51.28515625" style="1" customWidth="1"/>
    <col min="18" max="18" width="13.85546875" style="31" bestFit="1" customWidth="1"/>
    <col min="19" max="19" width="13" style="4" hidden="1" customWidth="1"/>
    <col min="20" max="20" width="20.28515625" style="4" hidden="1" customWidth="1"/>
    <col min="21" max="21" width="18.140625" style="4" hidden="1" customWidth="1"/>
    <col min="22" max="22" width="22.5703125" style="4" customWidth="1"/>
    <col min="23" max="23" width="23.42578125" style="4" customWidth="1"/>
    <col min="24" max="24" width="17" style="4" bestFit="1" customWidth="1"/>
    <col min="25" max="25" width="25" style="15" customWidth="1"/>
    <col min="26" max="26" width="8.7109375" style="4" customWidth="1"/>
    <col min="27" max="16384" width="8.7109375" style="4"/>
  </cols>
  <sheetData>
    <row r="1" spans="1:25" ht="27" customHeight="1">
      <c r="A1" s="64" t="s">
        <v>0</v>
      </c>
      <c r="B1" s="64" t="s">
        <v>1</v>
      </c>
      <c r="C1" s="62" t="s">
        <v>2</v>
      </c>
      <c r="D1" s="62" t="s">
        <v>3</v>
      </c>
      <c r="E1" s="63" t="s">
        <v>4</v>
      </c>
      <c r="F1" s="63" t="s">
        <v>5</v>
      </c>
      <c r="G1" s="230" t="s">
        <v>6</v>
      </c>
      <c r="H1" s="64" t="s">
        <v>7</v>
      </c>
      <c r="I1" s="64" t="s">
        <v>8</v>
      </c>
      <c r="J1" s="64" t="s">
        <v>9</v>
      </c>
      <c r="K1" s="64" t="s">
        <v>10</v>
      </c>
      <c r="L1" s="64" t="s">
        <v>11</v>
      </c>
      <c r="M1" s="64" t="s">
        <v>12</v>
      </c>
      <c r="N1" s="13" t="s">
        <v>13</v>
      </c>
      <c r="O1" s="62" t="s">
        <v>14</v>
      </c>
      <c r="P1" s="62" t="s">
        <v>15</v>
      </c>
      <c r="Q1" s="62" t="s">
        <v>16</v>
      </c>
      <c r="R1" s="62" t="s">
        <v>17</v>
      </c>
      <c r="S1" s="23" t="s">
        <v>18</v>
      </c>
      <c r="T1" s="23" t="s">
        <v>19</v>
      </c>
      <c r="U1" s="24" t="s">
        <v>20</v>
      </c>
      <c r="V1" s="61" t="s">
        <v>21</v>
      </c>
      <c r="W1" s="61" t="s">
        <v>22</v>
      </c>
      <c r="X1" s="61" t="s">
        <v>23</v>
      </c>
      <c r="Y1" s="79" t="s">
        <v>24</v>
      </c>
    </row>
    <row r="2" spans="1:25">
      <c r="A2" s="163" t="s">
        <v>25</v>
      </c>
      <c r="B2" s="29" t="s">
        <v>26</v>
      </c>
      <c r="C2" s="4" t="s">
        <v>27</v>
      </c>
      <c r="E2" s="2">
        <v>46013</v>
      </c>
      <c r="F2" s="2">
        <f>E2+14</f>
        <v>46027</v>
      </c>
      <c r="G2" s="2" t="s">
        <v>28</v>
      </c>
      <c r="H2" s="41">
        <v>42590</v>
      </c>
      <c r="I2" s="1" t="s">
        <v>29</v>
      </c>
      <c r="J2" s="1" t="s">
        <v>30</v>
      </c>
      <c r="K2" s="1" t="s">
        <v>31</v>
      </c>
      <c r="L2" s="1">
        <v>85138</v>
      </c>
      <c r="M2" s="1" t="s">
        <v>32</v>
      </c>
      <c r="O2" s="1" t="s">
        <v>33</v>
      </c>
      <c r="P2" s="1" t="s">
        <v>34</v>
      </c>
      <c r="R2" s="124" t="s">
        <v>35</v>
      </c>
      <c r="V2" s="4" t="s">
        <v>36</v>
      </c>
      <c r="W2" s="4" t="s">
        <v>37</v>
      </c>
      <c r="X2" s="4" t="s">
        <v>38</v>
      </c>
      <c r="Y2" s="235" t="s">
        <v>39</v>
      </c>
    </row>
    <row r="3" spans="1:25" ht="16.5" customHeight="1">
      <c r="A3" s="163" t="s">
        <v>25</v>
      </c>
      <c r="B3" s="29" t="s">
        <v>40</v>
      </c>
      <c r="C3" s="4" t="s">
        <v>41</v>
      </c>
      <c r="E3" s="2">
        <v>46013</v>
      </c>
      <c r="F3" s="2">
        <f>E3+14</f>
        <v>46027</v>
      </c>
      <c r="G3" s="232" t="s">
        <v>42</v>
      </c>
      <c r="H3" s="41" t="s">
        <v>43</v>
      </c>
      <c r="I3" s="1" t="s">
        <v>44</v>
      </c>
      <c r="J3" s="1" t="s">
        <v>45</v>
      </c>
      <c r="K3" s="1" t="s">
        <v>31</v>
      </c>
      <c r="L3" s="1">
        <v>85139</v>
      </c>
      <c r="M3" s="1" t="s">
        <v>32</v>
      </c>
      <c r="O3" s="173"/>
      <c r="P3" s="173"/>
      <c r="Q3" s="275"/>
      <c r="R3" s="174"/>
      <c r="V3" s="4" t="s">
        <v>36</v>
      </c>
      <c r="W3" s="4" t="s">
        <v>37</v>
      </c>
      <c r="X3" s="4" t="s">
        <v>38</v>
      </c>
      <c r="Y3" s="235" t="s">
        <v>39</v>
      </c>
    </row>
    <row r="4" spans="1:25" ht="18.75" customHeight="1">
      <c r="A4" s="163" t="s">
        <v>25</v>
      </c>
      <c r="B4" s="29" t="s">
        <v>40</v>
      </c>
      <c r="C4" s="4" t="s">
        <v>46</v>
      </c>
      <c r="E4" s="232">
        <v>46014</v>
      </c>
      <c r="F4" s="2">
        <f>E4+14</f>
        <v>46028</v>
      </c>
      <c r="G4" s="232" t="s">
        <v>42</v>
      </c>
      <c r="H4" s="41" t="s">
        <v>47</v>
      </c>
      <c r="I4" s="1" t="s">
        <v>48</v>
      </c>
      <c r="J4" s="1" t="s">
        <v>49</v>
      </c>
      <c r="K4" s="1" t="s">
        <v>31</v>
      </c>
      <c r="M4" s="1" t="s">
        <v>32</v>
      </c>
      <c r="O4" s="1" t="s">
        <v>50</v>
      </c>
      <c r="P4" s="1" t="s">
        <v>51</v>
      </c>
      <c r="Q4" s="87" t="s">
        <v>52</v>
      </c>
      <c r="R4" s="31">
        <v>112305</v>
      </c>
      <c r="V4" s="4" t="s">
        <v>36</v>
      </c>
      <c r="W4" s="4" t="s">
        <v>37</v>
      </c>
      <c r="X4" s="4" t="s">
        <v>38</v>
      </c>
      <c r="Y4" s="235" t="s">
        <v>39</v>
      </c>
    </row>
    <row r="5" spans="1:25">
      <c r="A5" s="163" t="s">
        <v>25</v>
      </c>
      <c r="B5" s="29" t="s">
        <v>53</v>
      </c>
      <c r="C5" s="4" t="s">
        <v>54</v>
      </c>
      <c r="E5" s="2">
        <v>46013</v>
      </c>
      <c r="F5" s="232">
        <f>E5+14</f>
        <v>46027</v>
      </c>
      <c r="G5" s="332" t="s">
        <v>28</v>
      </c>
      <c r="H5" s="42">
        <v>317</v>
      </c>
      <c r="I5" s="179" t="s">
        <v>55</v>
      </c>
      <c r="J5" s="179" t="s">
        <v>30</v>
      </c>
      <c r="K5" s="179" t="s">
        <v>31</v>
      </c>
      <c r="L5" s="179">
        <v>85383</v>
      </c>
      <c r="M5" s="179" t="s">
        <v>32</v>
      </c>
      <c r="N5" s="119"/>
      <c r="O5" s="179" t="s">
        <v>56</v>
      </c>
      <c r="P5" s="1" t="s">
        <v>57</v>
      </c>
      <c r="Q5" s="98" t="s">
        <v>58</v>
      </c>
      <c r="R5" s="31">
        <v>108840</v>
      </c>
      <c r="V5" s="4" t="s">
        <v>36</v>
      </c>
      <c r="W5" s="4" t="s">
        <v>37</v>
      </c>
      <c r="X5" s="1" t="s">
        <v>59</v>
      </c>
      <c r="Y5" s="167" t="s">
        <v>39</v>
      </c>
    </row>
    <row r="6" spans="1:25" ht="18" customHeight="1">
      <c r="A6" s="163" t="s">
        <v>25</v>
      </c>
      <c r="B6" s="29" t="s">
        <v>60</v>
      </c>
      <c r="C6" s="4" t="s">
        <v>61</v>
      </c>
      <c r="E6" s="2">
        <v>46020</v>
      </c>
      <c r="F6" s="232">
        <f>E6+14</f>
        <v>46034</v>
      </c>
      <c r="G6" s="232" t="s">
        <v>42</v>
      </c>
      <c r="H6" s="42">
        <v>7730</v>
      </c>
      <c r="I6" s="179" t="s">
        <v>62</v>
      </c>
      <c r="J6" s="179" t="s">
        <v>63</v>
      </c>
      <c r="K6" s="179" t="s">
        <v>31</v>
      </c>
      <c r="L6" s="179">
        <v>85212</v>
      </c>
      <c r="M6" s="179" t="s">
        <v>32</v>
      </c>
      <c r="N6" s="119"/>
      <c r="O6" s="179" t="s">
        <v>64</v>
      </c>
      <c r="P6" s="1" t="s">
        <v>65</v>
      </c>
      <c r="Q6" s="173"/>
      <c r="R6" s="31">
        <v>111151</v>
      </c>
      <c r="V6" s="4" t="s">
        <v>36</v>
      </c>
      <c r="W6" s="4" t="s">
        <v>37</v>
      </c>
      <c r="X6" s="4" t="s">
        <v>38</v>
      </c>
      <c r="Y6" s="235" t="s">
        <v>39</v>
      </c>
    </row>
    <row r="7" spans="1:25">
      <c r="A7" s="163" t="s">
        <v>25</v>
      </c>
      <c r="B7" s="29" t="s">
        <v>66</v>
      </c>
      <c r="C7" s="4" t="s">
        <v>67</v>
      </c>
      <c r="D7" s="130">
        <v>46003</v>
      </c>
      <c r="E7" s="2">
        <v>46013</v>
      </c>
      <c r="F7" s="232">
        <f>E7+14</f>
        <v>46027</v>
      </c>
      <c r="G7" s="2" t="s">
        <v>28</v>
      </c>
      <c r="H7" s="41">
        <v>625</v>
      </c>
      <c r="I7" s="1" t="s">
        <v>68</v>
      </c>
      <c r="J7" s="1" t="s">
        <v>69</v>
      </c>
      <c r="K7" s="1" t="s">
        <v>31</v>
      </c>
      <c r="L7" s="1">
        <v>85286</v>
      </c>
      <c r="M7" s="1" t="s">
        <v>32</v>
      </c>
      <c r="O7" s="1" t="s">
        <v>70</v>
      </c>
      <c r="P7" s="1" t="s">
        <v>71</v>
      </c>
      <c r="R7" s="31">
        <v>113479</v>
      </c>
      <c r="V7" s="4" t="s">
        <v>36</v>
      </c>
      <c r="W7" s="4" t="s">
        <v>37</v>
      </c>
      <c r="X7" s="4" t="s">
        <v>38</v>
      </c>
      <c r="Y7" s="235" t="s">
        <v>39</v>
      </c>
    </row>
    <row r="8" spans="1:25" ht="15" customHeight="1">
      <c r="A8" s="163" t="s">
        <v>25</v>
      </c>
      <c r="B8" s="15" t="s">
        <v>72</v>
      </c>
      <c r="C8" s="29" t="s">
        <v>73</v>
      </c>
      <c r="D8" s="26">
        <v>45666</v>
      </c>
      <c r="E8" s="2">
        <v>46016</v>
      </c>
      <c r="F8" s="232">
        <f>E8+14</f>
        <v>46030</v>
      </c>
      <c r="G8" s="42" t="s">
        <v>42</v>
      </c>
      <c r="H8" s="179"/>
      <c r="I8" s="179" t="s">
        <v>74</v>
      </c>
      <c r="J8" s="179" t="s">
        <v>75</v>
      </c>
      <c r="K8" s="179" t="s">
        <v>31</v>
      </c>
      <c r="L8" s="179">
        <v>85143</v>
      </c>
      <c r="M8" s="179" t="s">
        <v>76</v>
      </c>
      <c r="N8" s="119"/>
      <c r="O8" s="119" t="s">
        <v>77</v>
      </c>
      <c r="P8" s="1" t="s">
        <v>78</v>
      </c>
      <c r="Q8" s="129" t="s">
        <v>79</v>
      </c>
      <c r="R8" s="1">
        <v>112053</v>
      </c>
      <c r="V8" s="4" t="s">
        <v>36</v>
      </c>
      <c r="W8" s="4" t="s">
        <v>37</v>
      </c>
      <c r="X8" s="4" t="s">
        <v>38</v>
      </c>
      <c r="Y8" s="235" t="s">
        <v>39</v>
      </c>
    </row>
    <row r="9" spans="1:25" ht="15" customHeight="1">
      <c r="A9" s="163" t="s">
        <v>25</v>
      </c>
      <c r="B9" s="29" t="s">
        <v>80</v>
      </c>
      <c r="C9" s="4" t="s">
        <v>81</v>
      </c>
      <c r="E9" s="2">
        <v>46023</v>
      </c>
      <c r="F9" s="232">
        <f>E9+14</f>
        <v>46037</v>
      </c>
      <c r="G9" s="332" t="s">
        <v>28</v>
      </c>
      <c r="H9" s="42">
        <v>3901</v>
      </c>
      <c r="I9" s="179" t="s">
        <v>82</v>
      </c>
      <c r="J9" s="179" t="s">
        <v>83</v>
      </c>
      <c r="K9" s="179" t="s">
        <v>31</v>
      </c>
      <c r="L9" s="179"/>
      <c r="M9" s="179" t="s">
        <v>32</v>
      </c>
      <c r="N9" s="119"/>
      <c r="O9" s="179" t="s">
        <v>84</v>
      </c>
      <c r="P9" s="1" t="s">
        <v>85</v>
      </c>
      <c r="Q9" s="87" t="s">
        <v>86</v>
      </c>
      <c r="R9" s="31">
        <v>102254</v>
      </c>
      <c r="V9" s="4" t="s">
        <v>36</v>
      </c>
      <c r="W9" s="4" t="s">
        <v>37</v>
      </c>
      <c r="X9" s="1" t="s">
        <v>59</v>
      </c>
      <c r="Y9" s="167" t="s">
        <v>39</v>
      </c>
    </row>
    <row r="10" spans="1:25" ht="16.5" customHeight="1">
      <c r="A10" s="163" t="s">
        <v>25</v>
      </c>
      <c r="B10" s="29" t="s">
        <v>87</v>
      </c>
      <c r="C10" s="4" t="s">
        <v>88</v>
      </c>
      <c r="E10" s="2">
        <v>46016</v>
      </c>
      <c r="F10" s="232">
        <f>E10+14</f>
        <v>46030</v>
      </c>
      <c r="G10" s="332" t="s">
        <v>28</v>
      </c>
      <c r="H10" s="42">
        <v>3501</v>
      </c>
      <c r="I10" s="179" t="s">
        <v>89</v>
      </c>
      <c r="J10" s="179" t="s">
        <v>63</v>
      </c>
      <c r="K10" s="179" t="s">
        <v>31</v>
      </c>
      <c r="L10" s="179">
        <v>85212</v>
      </c>
      <c r="M10" s="179" t="s">
        <v>32</v>
      </c>
      <c r="N10" s="119"/>
      <c r="O10" s="179" t="s">
        <v>90</v>
      </c>
      <c r="P10" s="1" t="s">
        <v>91</v>
      </c>
      <c r="Q10" s="87" t="s">
        <v>92</v>
      </c>
      <c r="R10" s="31">
        <v>112277</v>
      </c>
      <c r="V10" s="4" t="s">
        <v>36</v>
      </c>
      <c r="W10" s="4" t="s">
        <v>37</v>
      </c>
      <c r="X10" s="1" t="s">
        <v>59</v>
      </c>
      <c r="Y10" s="167" t="s">
        <v>39</v>
      </c>
    </row>
    <row r="11" spans="1:25" ht="15.75" customHeight="1">
      <c r="A11" s="163" t="s">
        <v>25</v>
      </c>
      <c r="B11" s="29" t="s">
        <v>93</v>
      </c>
      <c r="C11" s="4" t="s">
        <v>94</v>
      </c>
      <c r="E11" s="2">
        <v>46015</v>
      </c>
      <c r="F11" s="232">
        <f>E11+14</f>
        <v>46029</v>
      </c>
      <c r="G11" s="232" t="s">
        <v>42</v>
      </c>
      <c r="H11" s="42">
        <v>461</v>
      </c>
      <c r="I11" s="179" t="s">
        <v>95</v>
      </c>
      <c r="J11" s="179" t="s">
        <v>63</v>
      </c>
      <c r="K11" s="179" t="s">
        <v>31</v>
      </c>
      <c r="L11" s="179">
        <v>85204</v>
      </c>
      <c r="M11" s="179" t="s">
        <v>32</v>
      </c>
      <c r="N11" s="119"/>
      <c r="O11" s="179" t="s">
        <v>96</v>
      </c>
      <c r="P11" s="1" t="s">
        <v>97</v>
      </c>
      <c r="R11" s="31">
        <v>112366</v>
      </c>
      <c r="V11" s="4" t="s">
        <v>36</v>
      </c>
      <c r="W11" s="4" t="s">
        <v>37</v>
      </c>
      <c r="X11" s="4" t="s">
        <v>98</v>
      </c>
      <c r="Y11" s="235" t="s">
        <v>99</v>
      </c>
    </row>
    <row r="12" spans="1:25" ht="15" customHeight="1">
      <c r="A12" s="163" t="s">
        <v>25</v>
      </c>
      <c r="B12" s="29" t="s">
        <v>93</v>
      </c>
      <c r="C12" s="4" t="s">
        <v>100</v>
      </c>
      <c r="E12" s="2">
        <v>46021</v>
      </c>
      <c r="F12" s="232">
        <f>E12+14</f>
        <v>46035</v>
      </c>
      <c r="G12" s="232" t="s">
        <v>42</v>
      </c>
      <c r="H12" s="42">
        <v>8951</v>
      </c>
      <c r="I12" s="179" t="s">
        <v>101</v>
      </c>
      <c r="J12" s="179" t="s">
        <v>63</v>
      </c>
      <c r="K12" s="179" t="s">
        <v>31</v>
      </c>
      <c r="L12" s="179">
        <v>85212</v>
      </c>
      <c r="M12" s="179" t="s">
        <v>32</v>
      </c>
      <c r="N12" s="119"/>
      <c r="O12" s="179" t="s">
        <v>102</v>
      </c>
      <c r="P12" s="1" t="s">
        <v>103</v>
      </c>
      <c r="Q12" s="184" t="s">
        <v>104</v>
      </c>
      <c r="R12" s="174"/>
      <c r="V12" s="4" t="s">
        <v>36</v>
      </c>
      <c r="W12" s="4" t="s">
        <v>37</v>
      </c>
      <c r="X12" s="4" t="s">
        <v>98</v>
      </c>
      <c r="Y12" s="235" t="s">
        <v>99</v>
      </c>
    </row>
    <row r="13" spans="1:25" ht="17.25" customHeight="1">
      <c r="A13" s="163" t="s">
        <v>25</v>
      </c>
      <c r="B13" s="29" t="s">
        <v>105</v>
      </c>
      <c r="C13" s="4" t="s">
        <v>106</v>
      </c>
      <c r="E13" s="2">
        <v>46023</v>
      </c>
      <c r="F13" s="232">
        <f>E13+14</f>
        <v>46037</v>
      </c>
      <c r="G13" s="332" t="s">
        <v>28</v>
      </c>
      <c r="H13" s="42">
        <v>7426</v>
      </c>
      <c r="I13" s="179" t="s">
        <v>107</v>
      </c>
      <c r="J13" s="179" t="s">
        <v>63</v>
      </c>
      <c r="K13" s="179" t="s">
        <v>31</v>
      </c>
      <c r="L13" s="179">
        <v>85212</v>
      </c>
      <c r="M13" s="179" t="s">
        <v>32</v>
      </c>
      <c r="N13" s="119"/>
      <c r="O13" s="179" t="s">
        <v>108</v>
      </c>
      <c r="P13" s="1" t="s">
        <v>109</v>
      </c>
      <c r="Q13" s="87" t="s">
        <v>110</v>
      </c>
      <c r="R13" s="31">
        <v>103759</v>
      </c>
      <c r="V13" s="4" t="s">
        <v>36</v>
      </c>
      <c r="W13" s="4" t="s">
        <v>37</v>
      </c>
      <c r="X13" s="12" t="s">
        <v>59</v>
      </c>
      <c r="Y13" s="303" t="s">
        <v>39</v>
      </c>
    </row>
    <row r="14" spans="1:25" ht="15" customHeight="1">
      <c r="A14" s="163" t="s">
        <v>25</v>
      </c>
      <c r="B14" s="15" t="s">
        <v>111</v>
      </c>
      <c r="C14" s="4" t="s">
        <v>112</v>
      </c>
      <c r="E14" s="2">
        <v>46021</v>
      </c>
      <c r="F14" s="232">
        <f>E14+14</f>
        <v>46035</v>
      </c>
      <c r="G14" s="232" t="s">
        <v>42</v>
      </c>
      <c r="H14" s="42">
        <v>7232</v>
      </c>
      <c r="I14" s="179" t="s">
        <v>113</v>
      </c>
      <c r="J14" s="179" t="s">
        <v>63</v>
      </c>
      <c r="K14" s="179" t="s">
        <v>31</v>
      </c>
      <c r="L14" s="179">
        <v>85212</v>
      </c>
      <c r="M14" s="179" t="s">
        <v>32</v>
      </c>
      <c r="N14" s="119"/>
      <c r="O14" s="179" t="s">
        <v>114</v>
      </c>
      <c r="P14" s="1" t="s">
        <v>115</v>
      </c>
      <c r="Q14" s="98" t="s">
        <v>116</v>
      </c>
      <c r="R14" s="31">
        <v>109753</v>
      </c>
      <c r="V14" s="4" t="s">
        <v>36</v>
      </c>
      <c r="W14" s="4" t="s">
        <v>37</v>
      </c>
      <c r="X14" s="1" t="s">
        <v>59</v>
      </c>
      <c r="Y14" s="167" t="s">
        <v>39</v>
      </c>
    </row>
    <row r="15" spans="1:25" ht="15" customHeight="1">
      <c r="A15" s="163" t="s">
        <v>25</v>
      </c>
      <c r="B15" s="29" t="s">
        <v>117</v>
      </c>
      <c r="C15" s="4" t="s">
        <v>118</v>
      </c>
      <c r="E15" s="2">
        <v>46008</v>
      </c>
      <c r="F15" s="232">
        <f>E15+28</f>
        <v>46036</v>
      </c>
      <c r="G15" s="332" t="s">
        <v>28</v>
      </c>
      <c r="H15" s="42">
        <v>210</v>
      </c>
      <c r="I15" s="179" t="s">
        <v>119</v>
      </c>
      <c r="J15" s="179" t="s">
        <v>120</v>
      </c>
      <c r="K15" s="179" t="s">
        <v>31</v>
      </c>
      <c r="L15" s="179">
        <v>86351</v>
      </c>
      <c r="M15" s="179" t="s">
        <v>32</v>
      </c>
      <c r="N15" s="119"/>
      <c r="O15" s="179" t="s">
        <v>121</v>
      </c>
      <c r="P15" s="1" t="s">
        <v>122</v>
      </c>
      <c r="Q15" s="1" t="s">
        <v>123</v>
      </c>
      <c r="R15" s="124" t="s">
        <v>35</v>
      </c>
      <c r="V15" s="4" t="s">
        <v>36</v>
      </c>
      <c r="W15" s="4" t="s">
        <v>37</v>
      </c>
      <c r="X15" s="1" t="s">
        <v>59</v>
      </c>
      <c r="Y15" s="167" t="s">
        <v>39</v>
      </c>
    </row>
    <row r="16" spans="1:25" ht="15" customHeight="1">
      <c r="A16" s="163" t="s">
        <v>25</v>
      </c>
      <c r="B16" s="29" t="s">
        <v>117</v>
      </c>
      <c r="C16" s="4" t="s">
        <v>124</v>
      </c>
      <c r="E16" s="2">
        <v>46008</v>
      </c>
      <c r="F16" s="232">
        <f>E16+28</f>
        <v>46036</v>
      </c>
      <c r="G16" s="332" t="s">
        <v>28</v>
      </c>
      <c r="H16" s="42">
        <v>113</v>
      </c>
      <c r="I16" s="179" t="s">
        <v>125</v>
      </c>
      <c r="J16" s="179" t="s">
        <v>120</v>
      </c>
      <c r="K16" s="179" t="s">
        <v>31</v>
      </c>
      <c r="L16" s="179">
        <v>86336</v>
      </c>
      <c r="M16" s="179" t="s">
        <v>32</v>
      </c>
      <c r="N16" s="119"/>
      <c r="O16" s="179" t="s">
        <v>121</v>
      </c>
      <c r="P16" s="1" t="s">
        <v>122</v>
      </c>
      <c r="Q16" s="129" t="s">
        <v>123</v>
      </c>
      <c r="R16" s="31">
        <v>97547</v>
      </c>
      <c r="V16" s="4" t="s">
        <v>36</v>
      </c>
      <c r="W16" s="4" t="s">
        <v>37</v>
      </c>
      <c r="X16" s="1" t="s">
        <v>59</v>
      </c>
      <c r="Y16" s="167" t="s">
        <v>39</v>
      </c>
    </row>
    <row r="17" spans="1:26" ht="17.25" customHeight="1">
      <c r="A17" s="163" t="s">
        <v>25</v>
      </c>
      <c r="B17" s="29" t="s">
        <v>126</v>
      </c>
      <c r="C17" s="4" t="s">
        <v>127</v>
      </c>
      <c r="D17" s="130">
        <v>45845</v>
      </c>
      <c r="E17" s="2">
        <v>46020</v>
      </c>
      <c r="F17" s="232">
        <f>E17+14</f>
        <v>46034</v>
      </c>
      <c r="G17" s="232" t="s">
        <v>42</v>
      </c>
      <c r="H17" s="42"/>
      <c r="I17" s="179" t="s">
        <v>128</v>
      </c>
      <c r="J17" s="179" t="s">
        <v>129</v>
      </c>
      <c r="K17" s="179" t="s">
        <v>31</v>
      </c>
      <c r="L17" s="179"/>
      <c r="M17" s="179" t="s">
        <v>32</v>
      </c>
      <c r="N17" s="119"/>
      <c r="O17" s="179" t="s">
        <v>130</v>
      </c>
      <c r="P17" s="1" t="s">
        <v>131</v>
      </c>
      <c r="Q17" s="129" t="s">
        <v>132</v>
      </c>
      <c r="R17" s="31">
        <v>113145</v>
      </c>
      <c r="V17" s="4" t="s">
        <v>36</v>
      </c>
      <c r="W17" s="4" t="s">
        <v>37</v>
      </c>
      <c r="X17" s="1" t="s">
        <v>59</v>
      </c>
      <c r="Y17" s="167" t="s">
        <v>39</v>
      </c>
    </row>
    <row r="18" spans="1:26" ht="15" customHeight="1">
      <c r="A18" s="163" t="s">
        <v>25</v>
      </c>
      <c r="B18" s="29" t="s">
        <v>133</v>
      </c>
      <c r="C18" s="4" t="s">
        <v>134</v>
      </c>
      <c r="E18" s="2">
        <v>46020</v>
      </c>
      <c r="F18" s="232">
        <f>E18+14</f>
        <v>46034</v>
      </c>
      <c r="G18" s="332" t="s">
        <v>28</v>
      </c>
      <c r="H18" s="42">
        <v>7646</v>
      </c>
      <c r="I18" s="179" t="s">
        <v>135</v>
      </c>
      <c r="J18" s="179" t="s">
        <v>49</v>
      </c>
      <c r="K18" s="179" t="s">
        <v>31</v>
      </c>
      <c r="L18" s="179">
        <v>85297</v>
      </c>
      <c r="M18" s="179" t="s">
        <v>32</v>
      </c>
      <c r="N18" s="119"/>
      <c r="O18" s="179" t="s">
        <v>136</v>
      </c>
      <c r="P18" s="1" t="s">
        <v>137</v>
      </c>
      <c r="Q18" s="411" t="s">
        <v>138</v>
      </c>
      <c r="R18" s="124" t="s">
        <v>35</v>
      </c>
      <c r="V18" s="4" t="s">
        <v>36</v>
      </c>
      <c r="W18" s="4" t="s">
        <v>37</v>
      </c>
      <c r="X18" s="4" t="s">
        <v>38</v>
      </c>
      <c r="Y18" s="235" t="s">
        <v>39</v>
      </c>
    </row>
    <row r="19" spans="1:26" ht="14.25" customHeight="1">
      <c r="A19" s="163" t="s">
        <v>25</v>
      </c>
      <c r="B19" s="29" t="s">
        <v>139</v>
      </c>
      <c r="C19" s="4" t="s">
        <v>140</v>
      </c>
      <c r="E19" s="2">
        <v>46016</v>
      </c>
      <c r="F19" s="71">
        <f>E19+14</f>
        <v>46030</v>
      </c>
      <c r="G19" s="232" t="s">
        <v>42</v>
      </c>
      <c r="H19" s="42">
        <v>10256</v>
      </c>
      <c r="I19" s="179" t="s">
        <v>113</v>
      </c>
      <c r="J19" s="179" t="s">
        <v>63</v>
      </c>
      <c r="K19" s="179" t="s">
        <v>31</v>
      </c>
      <c r="L19" s="179"/>
      <c r="M19" s="179" t="s">
        <v>32</v>
      </c>
      <c r="N19" s="119"/>
      <c r="O19" s="179" t="s">
        <v>141</v>
      </c>
      <c r="P19" s="1" t="s">
        <v>142</v>
      </c>
      <c r="Q19" s="98" t="s">
        <v>143</v>
      </c>
      <c r="R19" s="31">
        <v>113351</v>
      </c>
      <c r="V19" s="4" t="s">
        <v>36</v>
      </c>
      <c r="W19" s="4" t="s">
        <v>37</v>
      </c>
      <c r="X19" s="1" t="s">
        <v>59</v>
      </c>
      <c r="Y19" s="167" t="s">
        <v>39</v>
      </c>
    </row>
    <row r="20" spans="1:26" ht="15" customHeight="1">
      <c r="A20" s="163" t="s">
        <v>25</v>
      </c>
      <c r="B20" s="29" t="s">
        <v>144</v>
      </c>
      <c r="C20" s="4" t="s">
        <v>145</v>
      </c>
      <c r="E20" s="2">
        <v>46013</v>
      </c>
      <c r="F20" s="232">
        <f>E20+14</f>
        <v>46027</v>
      </c>
      <c r="G20" s="232" t="s">
        <v>42</v>
      </c>
      <c r="H20" s="42">
        <v>251</v>
      </c>
      <c r="I20" s="179" t="s">
        <v>146</v>
      </c>
      <c r="J20" s="179" t="s">
        <v>69</v>
      </c>
      <c r="K20" s="179" t="s">
        <v>31</v>
      </c>
      <c r="L20" s="179">
        <v>85226</v>
      </c>
      <c r="M20" s="179" t="s">
        <v>32</v>
      </c>
      <c r="N20" s="119"/>
      <c r="O20" s="179" t="s">
        <v>147</v>
      </c>
      <c r="P20" s="1" t="s">
        <v>148</v>
      </c>
      <c r="Q20" s="87" t="s">
        <v>149</v>
      </c>
      <c r="R20" s="31">
        <v>112595</v>
      </c>
      <c r="V20" s="4" t="s">
        <v>36</v>
      </c>
      <c r="W20" s="4" t="s">
        <v>37</v>
      </c>
      <c r="X20" s="4" t="s">
        <v>38</v>
      </c>
      <c r="Y20" s="235" t="s">
        <v>39</v>
      </c>
    </row>
    <row r="21" spans="1:26" ht="17.25" customHeight="1">
      <c r="A21" s="163" t="s">
        <v>25</v>
      </c>
      <c r="B21" s="15" t="s">
        <v>150</v>
      </c>
      <c r="C21" s="29" t="s">
        <v>151</v>
      </c>
      <c r="D21" s="26">
        <v>45530</v>
      </c>
      <c r="E21" s="2">
        <v>46013</v>
      </c>
      <c r="F21" s="232">
        <f>E21+14</f>
        <v>46027</v>
      </c>
      <c r="G21" s="42" t="s">
        <v>42</v>
      </c>
      <c r="H21" s="179">
        <v>2278</v>
      </c>
      <c r="I21" s="179" t="s">
        <v>152</v>
      </c>
      <c r="J21" s="179" t="s">
        <v>153</v>
      </c>
      <c r="K21" s="179" t="s">
        <v>31</v>
      </c>
      <c r="L21" s="179"/>
      <c r="M21" s="179" t="s">
        <v>32</v>
      </c>
      <c r="N21" s="119"/>
      <c r="O21" s="179" t="s">
        <v>154</v>
      </c>
      <c r="P21" s="1" t="s">
        <v>155</v>
      </c>
      <c r="Q21" s="173"/>
      <c r="R21" s="1" t="s">
        <v>156</v>
      </c>
      <c r="V21" s="4" t="s">
        <v>36</v>
      </c>
      <c r="W21" s="4" t="s">
        <v>37</v>
      </c>
      <c r="X21" s="4" t="s">
        <v>38</v>
      </c>
      <c r="Y21" s="235" t="s">
        <v>39</v>
      </c>
    </row>
    <row r="22" spans="1:26" ht="15" customHeight="1">
      <c r="A22" s="163" t="s">
        <v>25</v>
      </c>
      <c r="B22" s="15" t="s">
        <v>157</v>
      </c>
      <c r="C22" s="29" t="s">
        <v>158</v>
      </c>
      <c r="D22" s="26">
        <v>45483</v>
      </c>
      <c r="E22" s="2">
        <v>46013</v>
      </c>
      <c r="F22" s="232">
        <f>E22+14</f>
        <v>46027</v>
      </c>
      <c r="G22" s="42" t="s">
        <v>42</v>
      </c>
      <c r="H22" s="179">
        <v>39695</v>
      </c>
      <c r="I22" s="179" t="s">
        <v>159</v>
      </c>
      <c r="J22" s="179" t="s">
        <v>45</v>
      </c>
      <c r="K22" s="179" t="s">
        <v>31</v>
      </c>
      <c r="L22" s="179">
        <v>85138</v>
      </c>
      <c r="M22" s="179" t="s">
        <v>32</v>
      </c>
      <c r="N22" s="119"/>
      <c r="O22" s="179" t="s">
        <v>160</v>
      </c>
      <c r="P22" s="1" t="s">
        <v>161</v>
      </c>
      <c r="Q22" s="255" t="s">
        <v>162</v>
      </c>
      <c r="R22" s="1">
        <v>103975</v>
      </c>
      <c r="V22" s="4" t="s">
        <v>36</v>
      </c>
      <c r="W22" s="4" t="s">
        <v>37</v>
      </c>
      <c r="X22" s="4" t="s">
        <v>38</v>
      </c>
      <c r="Y22" s="235" t="s">
        <v>39</v>
      </c>
    </row>
    <row r="23" spans="1:26" ht="15" customHeight="1">
      <c r="A23" s="163" t="s">
        <v>25</v>
      </c>
      <c r="B23" s="15" t="s">
        <v>157</v>
      </c>
      <c r="C23" s="4" t="s">
        <v>163</v>
      </c>
      <c r="D23" s="130">
        <v>45813</v>
      </c>
      <c r="E23" s="232">
        <v>46014</v>
      </c>
      <c r="F23" s="232">
        <f>E23+14</f>
        <v>46028</v>
      </c>
      <c r="G23" s="232" t="s">
        <v>28</v>
      </c>
      <c r="H23" s="42">
        <v>460</v>
      </c>
      <c r="I23" s="179" t="s">
        <v>164</v>
      </c>
      <c r="J23" s="179" t="s">
        <v>49</v>
      </c>
      <c r="K23" s="179" t="s">
        <v>31</v>
      </c>
      <c r="L23" s="179"/>
      <c r="M23" s="179" t="s">
        <v>32</v>
      </c>
      <c r="N23" s="119"/>
      <c r="O23" s="179" t="s">
        <v>165</v>
      </c>
      <c r="P23" s="1" t="s">
        <v>166</v>
      </c>
      <c r="Q23" s="98" t="s">
        <v>167</v>
      </c>
      <c r="R23" s="31">
        <v>112835</v>
      </c>
      <c r="V23" s="4" t="s">
        <v>36</v>
      </c>
      <c r="W23" s="4" t="s">
        <v>37</v>
      </c>
      <c r="X23" s="4" t="s">
        <v>38</v>
      </c>
      <c r="Y23" s="235" t="s">
        <v>39</v>
      </c>
    </row>
    <row r="24" spans="1:26" ht="16.5" customHeight="1">
      <c r="A24" s="163" t="s">
        <v>25</v>
      </c>
      <c r="B24" s="70" t="s">
        <v>168</v>
      </c>
      <c r="C24" s="4" t="s">
        <v>169</v>
      </c>
      <c r="D24" s="130">
        <v>45884</v>
      </c>
      <c r="E24" s="2">
        <v>46013</v>
      </c>
      <c r="F24" s="232">
        <f>E24+14</f>
        <v>46027</v>
      </c>
      <c r="G24" s="232" t="s">
        <v>42</v>
      </c>
      <c r="H24" s="42">
        <v>5610</v>
      </c>
      <c r="I24" s="179" t="s">
        <v>170</v>
      </c>
      <c r="J24" s="179" t="s">
        <v>171</v>
      </c>
      <c r="K24" s="179" t="s">
        <v>31</v>
      </c>
      <c r="L24" s="179">
        <v>85131</v>
      </c>
      <c r="M24" s="179" t="s">
        <v>32</v>
      </c>
      <c r="N24" s="119"/>
      <c r="O24" s="179" t="s">
        <v>172</v>
      </c>
      <c r="P24" s="1" t="s">
        <v>173</v>
      </c>
      <c r="Q24" s="1" t="s">
        <v>174</v>
      </c>
      <c r="R24" s="31">
        <v>110821</v>
      </c>
      <c r="V24" s="4" t="s">
        <v>36</v>
      </c>
      <c r="W24" s="17" t="s">
        <v>37</v>
      </c>
      <c r="X24" s="17" t="s">
        <v>38</v>
      </c>
      <c r="Y24" s="302" t="s">
        <v>39</v>
      </c>
    </row>
    <row r="25" spans="1:26" ht="18.75" customHeight="1">
      <c r="A25" s="163" t="s">
        <v>25</v>
      </c>
      <c r="B25" s="29" t="s">
        <v>175</v>
      </c>
      <c r="C25" s="4" t="s">
        <v>176</v>
      </c>
      <c r="E25" s="2">
        <v>46022</v>
      </c>
      <c r="F25" s="232">
        <f>E25+28</f>
        <v>46050</v>
      </c>
      <c r="G25" s="332" t="s">
        <v>42</v>
      </c>
      <c r="H25" s="42"/>
      <c r="I25" s="179" t="s">
        <v>177</v>
      </c>
      <c r="J25" s="179" t="s">
        <v>178</v>
      </c>
      <c r="K25" s="179" t="s">
        <v>31</v>
      </c>
      <c r="L25" s="179"/>
      <c r="M25" s="179" t="s">
        <v>32</v>
      </c>
      <c r="N25" s="119"/>
      <c r="O25" s="179" t="s">
        <v>179</v>
      </c>
      <c r="P25" s="1" t="s">
        <v>180</v>
      </c>
      <c r="Q25" s="129" t="s">
        <v>181</v>
      </c>
      <c r="R25" s="31" t="s">
        <v>156</v>
      </c>
      <c r="V25" s="4" t="s">
        <v>36</v>
      </c>
      <c r="W25" s="4" t="s">
        <v>37</v>
      </c>
      <c r="X25" s="4" t="s">
        <v>38</v>
      </c>
      <c r="Y25" s="235" t="s">
        <v>39</v>
      </c>
    </row>
    <row r="26" spans="1:26" ht="14.25" customHeight="1">
      <c r="A26" s="163" t="s">
        <v>25</v>
      </c>
      <c r="B26" s="15" t="s">
        <v>182</v>
      </c>
      <c r="C26" s="29" t="s">
        <v>183</v>
      </c>
      <c r="D26" s="26">
        <v>45533</v>
      </c>
      <c r="E26" s="2">
        <v>46013</v>
      </c>
      <c r="F26" s="2">
        <f>E26+14</f>
        <v>46027</v>
      </c>
      <c r="G26" s="42" t="s">
        <v>42</v>
      </c>
      <c r="H26" s="1" t="s">
        <v>184</v>
      </c>
      <c r="I26" s="1" t="s">
        <v>185</v>
      </c>
      <c r="J26" s="1" t="s">
        <v>30</v>
      </c>
      <c r="K26" s="1" t="s">
        <v>31</v>
      </c>
      <c r="L26" s="1">
        <v>85122</v>
      </c>
      <c r="M26" s="1" t="s">
        <v>32</v>
      </c>
      <c r="O26" s="1" t="s">
        <v>186</v>
      </c>
      <c r="P26" s="1" t="s">
        <v>187</v>
      </c>
      <c r="Q26" s="173"/>
      <c r="R26" s="1">
        <v>111654</v>
      </c>
      <c r="V26" s="4" t="s">
        <v>36</v>
      </c>
      <c r="W26" s="4" t="s">
        <v>37</v>
      </c>
      <c r="X26" s="4" t="s">
        <v>38</v>
      </c>
      <c r="Y26" s="235" t="s">
        <v>39</v>
      </c>
    </row>
    <row r="27" spans="1:26" ht="15" customHeight="1">
      <c r="A27" s="163" t="s">
        <v>25</v>
      </c>
      <c r="B27" s="233" t="s">
        <v>182</v>
      </c>
      <c r="C27" s="119" t="s">
        <v>188</v>
      </c>
      <c r="D27" s="231">
        <v>45642</v>
      </c>
      <c r="E27" s="232">
        <v>46008</v>
      </c>
      <c r="F27" s="232">
        <f>E27+28</f>
        <v>46036</v>
      </c>
      <c r="G27" s="332" t="s">
        <v>42</v>
      </c>
      <c r="H27" s="42">
        <v>6500</v>
      </c>
      <c r="I27" s="179" t="s">
        <v>189</v>
      </c>
      <c r="J27" s="179" t="s">
        <v>190</v>
      </c>
      <c r="K27" s="179" t="s">
        <v>31</v>
      </c>
      <c r="L27" s="179">
        <v>86314</v>
      </c>
      <c r="M27" s="179" t="s">
        <v>76</v>
      </c>
      <c r="N27" s="119"/>
      <c r="O27" s="179" t="s">
        <v>191</v>
      </c>
      <c r="P27" s="179" t="s">
        <v>192</v>
      </c>
      <c r="Q27" s="87" t="s">
        <v>193</v>
      </c>
      <c r="R27" s="31">
        <v>111595</v>
      </c>
      <c r="V27" s="4" t="s">
        <v>36</v>
      </c>
      <c r="W27" s="4" t="s">
        <v>37</v>
      </c>
      <c r="X27" s="1" t="s">
        <v>59</v>
      </c>
      <c r="Y27" s="167" t="s">
        <v>39</v>
      </c>
    </row>
    <row r="28" spans="1:26">
      <c r="A28" s="163" t="s">
        <v>25</v>
      </c>
      <c r="B28" s="118" t="s">
        <v>194</v>
      </c>
      <c r="C28" s="119" t="s">
        <v>195</v>
      </c>
      <c r="D28" s="231"/>
      <c r="E28" s="2">
        <v>46016</v>
      </c>
      <c r="F28" s="232">
        <f>E28+14</f>
        <v>46030</v>
      </c>
      <c r="G28" s="332" t="s">
        <v>28</v>
      </c>
      <c r="H28" s="42">
        <v>3856</v>
      </c>
      <c r="I28" s="179" t="s">
        <v>196</v>
      </c>
      <c r="J28" s="179" t="s">
        <v>63</v>
      </c>
      <c r="K28" s="179" t="s">
        <v>31</v>
      </c>
      <c r="L28" s="179">
        <v>85212</v>
      </c>
      <c r="M28" s="179" t="s">
        <v>32</v>
      </c>
      <c r="N28" s="119"/>
      <c r="O28" s="179" t="s">
        <v>197</v>
      </c>
      <c r="P28" s="179" t="s">
        <v>198</v>
      </c>
      <c r="Q28" s="87" t="s">
        <v>199</v>
      </c>
      <c r="R28" s="31">
        <v>113552</v>
      </c>
      <c r="V28" s="4" t="s">
        <v>36</v>
      </c>
      <c r="W28" s="4" t="s">
        <v>37</v>
      </c>
      <c r="X28" s="1" t="s">
        <v>59</v>
      </c>
      <c r="Y28" s="167" t="s">
        <v>39</v>
      </c>
    </row>
    <row r="29" spans="1:26">
      <c r="A29" s="163" t="s">
        <v>25</v>
      </c>
      <c r="B29" s="118" t="s">
        <v>194</v>
      </c>
      <c r="C29" s="119" t="s">
        <v>200</v>
      </c>
      <c r="D29" s="231"/>
      <c r="E29" s="2">
        <v>46016</v>
      </c>
      <c r="F29" s="232">
        <f>E29+14</f>
        <v>46030</v>
      </c>
      <c r="G29" s="332" t="s">
        <v>28</v>
      </c>
      <c r="H29" s="42"/>
      <c r="I29" s="179" t="s">
        <v>201</v>
      </c>
      <c r="J29" s="179" t="s">
        <v>63</v>
      </c>
      <c r="K29" s="179" t="s">
        <v>31</v>
      </c>
      <c r="L29" s="179"/>
      <c r="M29" s="179" t="s">
        <v>32</v>
      </c>
      <c r="N29" s="119"/>
      <c r="O29" s="179" t="s">
        <v>202</v>
      </c>
      <c r="P29" s="179" t="s">
        <v>203</v>
      </c>
      <c r="Q29" s="87" t="s">
        <v>204</v>
      </c>
      <c r="R29" s="31">
        <v>113553</v>
      </c>
      <c r="V29" s="4" t="s">
        <v>36</v>
      </c>
      <c r="W29" s="4" t="s">
        <v>37</v>
      </c>
      <c r="X29" s="1" t="s">
        <v>59</v>
      </c>
      <c r="Y29" s="167" t="s">
        <v>39</v>
      </c>
    </row>
    <row r="30" spans="1:26">
      <c r="A30" s="163" t="s">
        <v>25</v>
      </c>
      <c r="B30" s="118" t="s">
        <v>194</v>
      </c>
      <c r="C30" s="119" t="s">
        <v>205</v>
      </c>
      <c r="D30" s="231"/>
      <c r="E30" s="2">
        <v>46023</v>
      </c>
      <c r="F30" s="232">
        <f>E30+14</f>
        <v>46037</v>
      </c>
      <c r="G30" s="332" t="s">
        <v>28</v>
      </c>
      <c r="H30" s="42">
        <v>2455</v>
      </c>
      <c r="I30" s="179" t="s">
        <v>206</v>
      </c>
      <c r="J30" s="179" t="s">
        <v>207</v>
      </c>
      <c r="K30" s="179" t="s">
        <v>31</v>
      </c>
      <c r="L30" s="179">
        <v>85286</v>
      </c>
      <c r="M30" s="179" t="s">
        <v>32</v>
      </c>
      <c r="N30" s="119"/>
      <c r="O30" s="179" t="s">
        <v>208</v>
      </c>
      <c r="P30" s="179" t="s">
        <v>209</v>
      </c>
      <c r="Q30" s="87" t="s">
        <v>210</v>
      </c>
      <c r="R30" s="31">
        <v>94928</v>
      </c>
      <c r="V30" s="4" t="s">
        <v>36</v>
      </c>
      <c r="W30" s="4" t="s">
        <v>37</v>
      </c>
      <c r="X30" s="1" t="s">
        <v>59</v>
      </c>
      <c r="Y30" s="167" t="s">
        <v>39</v>
      </c>
      <c r="Z30" s="168"/>
    </row>
    <row r="31" spans="1:26" ht="15" customHeight="1">
      <c r="A31" s="163" t="s">
        <v>25</v>
      </c>
      <c r="B31" s="118" t="s">
        <v>194</v>
      </c>
      <c r="C31" s="119" t="s">
        <v>211</v>
      </c>
      <c r="D31" s="231"/>
      <c r="E31" s="2">
        <v>46023</v>
      </c>
      <c r="F31" s="232">
        <f>E31+14</f>
        <v>46037</v>
      </c>
      <c r="G31" s="332" t="s">
        <v>28</v>
      </c>
      <c r="H31" s="42">
        <v>2455</v>
      </c>
      <c r="I31" s="179" t="s">
        <v>206</v>
      </c>
      <c r="J31" s="179" t="s">
        <v>69</v>
      </c>
      <c r="K31" s="179" t="s">
        <v>31</v>
      </c>
      <c r="L31" s="179">
        <v>85286</v>
      </c>
      <c r="M31" s="179" t="s">
        <v>76</v>
      </c>
      <c r="N31" s="119"/>
      <c r="O31" s="179" t="s">
        <v>212</v>
      </c>
      <c r="P31" s="179" t="s">
        <v>213</v>
      </c>
      <c r="Q31" s="25" t="s">
        <v>214</v>
      </c>
      <c r="R31" s="31">
        <v>100039</v>
      </c>
      <c r="V31" s="4" t="s">
        <v>36</v>
      </c>
      <c r="W31" s="4" t="s">
        <v>37</v>
      </c>
      <c r="X31" s="1" t="s">
        <v>59</v>
      </c>
      <c r="Y31" s="167" t="s">
        <v>39</v>
      </c>
    </row>
    <row r="32" spans="1:26">
      <c r="A32" s="163" t="s">
        <v>25</v>
      </c>
      <c r="B32" s="118" t="s">
        <v>215</v>
      </c>
      <c r="C32" s="119" t="s">
        <v>216</v>
      </c>
      <c r="D32" s="231">
        <v>45979</v>
      </c>
      <c r="E32" s="2">
        <v>46015</v>
      </c>
      <c r="F32" s="232">
        <f>E32+14</f>
        <v>46029</v>
      </c>
      <c r="G32" s="232" t="s">
        <v>28</v>
      </c>
      <c r="H32" s="42" t="s">
        <v>184</v>
      </c>
      <c r="I32" s="179" t="s">
        <v>217</v>
      </c>
      <c r="J32" s="179" t="s">
        <v>69</v>
      </c>
      <c r="K32" s="179" t="s">
        <v>31</v>
      </c>
      <c r="L32" s="179">
        <v>85286</v>
      </c>
      <c r="M32" s="179" t="s">
        <v>32</v>
      </c>
      <c r="N32" s="119"/>
      <c r="O32" s="179" t="s">
        <v>218</v>
      </c>
      <c r="P32" s="179" t="s">
        <v>219</v>
      </c>
      <c r="Q32" s="87" t="s">
        <v>220</v>
      </c>
      <c r="R32" s="31">
        <v>111624</v>
      </c>
      <c r="V32" s="4" t="s">
        <v>36</v>
      </c>
      <c r="W32" s="4" t="s">
        <v>37</v>
      </c>
      <c r="X32" s="1" t="s">
        <v>59</v>
      </c>
      <c r="Y32" s="167" t="s">
        <v>39</v>
      </c>
    </row>
    <row r="33" spans="1:26" ht="14.25" customHeight="1">
      <c r="A33" s="163" t="s">
        <v>25</v>
      </c>
      <c r="B33" s="118" t="s">
        <v>221</v>
      </c>
      <c r="C33" s="119" t="s">
        <v>222</v>
      </c>
      <c r="D33" s="231">
        <v>45911</v>
      </c>
      <c r="E33" s="2">
        <v>46015</v>
      </c>
      <c r="F33" s="232">
        <f>E33+14</f>
        <v>46029</v>
      </c>
      <c r="G33" s="232" t="s">
        <v>28</v>
      </c>
      <c r="H33" s="42">
        <v>24211</v>
      </c>
      <c r="I33" s="179" t="s">
        <v>223</v>
      </c>
      <c r="J33" s="179" t="s">
        <v>69</v>
      </c>
      <c r="K33" s="179" t="s">
        <v>31</v>
      </c>
      <c r="L33" s="179">
        <v>85249</v>
      </c>
      <c r="M33" s="179" t="s">
        <v>32</v>
      </c>
      <c r="N33" s="119"/>
      <c r="O33" s="179" t="s">
        <v>224</v>
      </c>
      <c r="P33" s="179" t="s">
        <v>225</v>
      </c>
      <c r="V33" s="4" t="s">
        <v>36</v>
      </c>
      <c r="W33" s="4" t="s">
        <v>37</v>
      </c>
      <c r="X33" s="4" t="s">
        <v>38</v>
      </c>
      <c r="Y33" s="235" t="s">
        <v>39</v>
      </c>
    </row>
    <row r="34" spans="1:26" ht="18" customHeight="1">
      <c r="A34" s="163" t="s">
        <v>25</v>
      </c>
      <c r="B34" s="29" t="s">
        <v>226</v>
      </c>
      <c r="C34" s="4" t="s">
        <v>227</v>
      </c>
      <c r="E34" s="2">
        <v>46020</v>
      </c>
      <c r="F34" s="2">
        <f>E34+14</f>
        <v>46034</v>
      </c>
      <c r="G34" s="232" t="s">
        <v>42</v>
      </c>
      <c r="H34" s="41">
        <v>7839</v>
      </c>
      <c r="I34" s="1" t="s">
        <v>62</v>
      </c>
      <c r="J34" s="1" t="s">
        <v>63</v>
      </c>
      <c r="K34" s="1" t="s">
        <v>31</v>
      </c>
      <c r="L34" s="1">
        <v>85212</v>
      </c>
      <c r="M34" s="1" t="s">
        <v>32</v>
      </c>
      <c r="O34" s="1" t="s">
        <v>228</v>
      </c>
      <c r="P34" s="1" t="s">
        <v>229</v>
      </c>
      <c r="Q34" s="87" t="s">
        <v>230</v>
      </c>
      <c r="R34" s="31">
        <v>111920</v>
      </c>
      <c r="V34" s="4" t="s">
        <v>36</v>
      </c>
      <c r="W34" s="4" t="s">
        <v>37</v>
      </c>
      <c r="X34" s="4" t="s">
        <v>38</v>
      </c>
      <c r="Y34" s="235" t="s">
        <v>39</v>
      </c>
    </row>
    <row r="35" spans="1:26" ht="15" customHeight="1">
      <c r="A35" s="163" t="s">
        <v>25</v>
      </c>
      <c r="B35" s="29" t="s">
        <v>226</v>
      </c>
      <c r="C35" s="4" t="s">
        <v>231</v>
      </c>
      <c r="E35" s="2">
        <v>46021</v>
      </c>
      <c r="F35" s="2">
        <f>E35+14</f>
        <v>46035</v>
      </c>
      <c r="G35" s="232" t="s">
        <v>42</v>
      </c>
      <c r="H35" s="41">
        <v>9504</v>
      </c>
      <c r="I35" s="1" t="s">
        <v>232</v>
      </c>
      <c r="J35" s="1" t="s">
        <v>63</v>
      </c>
      <c r="K35" s="1" t="s">
        <v>31</v>
      </c>
      <c r="L35" s="1">
        <v>85212</v>
      </c>
      <c r="M35" s="1" t="s">
        <v>32</v>
      </c>
      <c r="O35" s="1" t="s">
        <v>233</v>
      </c>
      <c r="P35" s="1" t="s">
        <v>234</v>
      </c>
      <c r="Q35" s="87" t="s">
        <v>235</v>
      </c>
      <c r="R35" s="31">
        <v>111953</v>
      </c>
      <c r="V35" s="4" t="s">
        <v>36</v>
      </c>
      <c r="W35" s="4" t="s">
        <v>37</v>
      </c>
      <c r="X35" s="4" t="s">
        <v>38</v>
      </c>
      <c r="Y35" s="235" t="s">
        <v>39</v>
      </c>
    </row>
    <row r="36" spans="1:26" ht="16.5" customHeight="1">
      <c r="A36" s="163" t="s">
        <v>25</v>
      </c>
      <c r="B36" s="29" t="s">
        <v>236</v>
      </c>
      <c r="C36" s="4" t="s">
        <v>237</v>
      </c>
      <c r="E36" s="232">
        <v>46014</v>
      </c>
      <c r="F36" s="60">
        <f>E36+14</f>
        <v>46028</v>
      </c>
      <c r="G36" s="232" t="s">
        <v>42</v>
      </c>
      <c r="H36" s="41">
        <v>466</v>
      </c>
      <c r="I36" s="1" t="s">
        <v>238</v>
      </c>
      <c r="J36" s="1" t="s">
        <v>49</v>
      </c>
      <c r="K36" s="1" t="s">
        <v>31</v>
      </c>
      <c r="L36" s="1">
        <v>85233</v>
      </c>
      <c r="M36" s="1" t="s">
        <v>32</v>
      </c>
      <c r="O36" s="1" t="s">
        <v>239</v>
      </c>
      <c r="P36" s="1" t="s">
        <v>240</v>
      </c>
      <c r="Q36" s="87" t="s">
        <v>241</v>
      </c>
      <c r="R36" s="31">
        <v>110844</v>
      </c>
      <c r="V36" s="4" t="s">
        <v>36</v>
      </c>
      <c r="W36" s="4" t="s">
        <v>37</v>
      </c>
      <c r="X36" s="4" t="s">
        <v>38</v>
      </c>
      <c r="Y36" s="235" t="s">
        <v>39</v>
      </c>
    </row>
    <row r="37" spans="1:26" ht="15" customHeight="1">
      <c r="A37" s="163" t="s">
        <v>25</v>
      </c>
      <c r="B37" s="29" t="s">
        <v>236</v>
      </c>
      <c r="C37" s="4" t="s">
        <v>242</v>
      </c>
      <c r="D37" s="130">
        <v>45915</v>
      </c>
      <c r="E37" s="2">
        <v>46015</v>
      </c>
      <c r="F37" s="2">
        <f>E37+14</f>
        <v>46029</v>
      </c>
      <c r="G37" s="232" t="s">
        <v>42</v>
      </c>
      <c r="H37" s="41">
        <v>407</v>
      </c>
      <c r="I37" s="1" t="s">
        <v>243</v>
      </c>
      <c r="J37" s="1" t="s">
        <v>49</v>
      </c>
      <c r="K37" s="1" t="s">
        <v>31</v>
      </c>
      <c r="L37" s="1">
        <v>82333</v>
      </c>
      <c r="M37" s="1" t="s">
        <v>32</v>
      </c>
      <c r="O37" s="1" t="s">
        <v>244</v>
      </c>
      <c r="P37" s="25" t="s">
        <v>245</v>
      </c>
      <c r="Q37" s="98" t="s">
        <v>246</v>
      </c>
      <c r="V37" s="4" t="s">
        <v>36</v>
      </c>
      <c r="W37" s="4" t="s">
        <v>37</v>
      </c>
      <c r="X37" s="4" t="s">
        <v>38</v>
      </c>
      <c r="Y37" s="235" t="s">
        <v>39</v>
      </c>
    </row>
    <row r="38" spans="1:26" ht="18" customHeight="1">
      <c r="A38" s="163" t="s">
        <v>25</v>
      </c>
      <c r="B38" s="29" t="s">
        <v>236</v>
      </c>
      <c r="C38" s="4" t="s">
        <v>247</v>
      </c>
      <c r="D38" s="130">
        <v>45846</v>
      </c>
      <c r="E38" s="2">
        <v>46020</v>
      </c>
      <c r="F38" s="2">
        <f>E38+14</f>
        <v>46034</v>
      </c>
      <c r="G38" s="232" t="s">
        <v>42</v>
      </c>
      <c r="H38" s="41" t="s">
        <v>43</v>
      </c>
      <c r="I38" s="1" t="s">
        <v>248</v>
      </c>
      <c r="J38" s="1" t="s">
        <v>129</v>
      </c>
      <c r="K38" s="1" t="s">
        <v>31</v>
      </c>
      <c r="L38" s="1">
        <v>85142</v>
      </c>
      <c r="M38" s="1" t="s">
        <v>32</v>
      </c>
      <c r="O38" s="1" t="s">
        <v>249</v>
      </c>
      <c r="P38" s="1" t="s">
        <v>250</v>
      </c>
      <c r="Q38" s="87" t="s">
        <v>251</v>
      </c>
      <c r="R38" s="31">
        <v>110021</v>
      </c>
      <c r="V38" s="4" t="s">
        <v>36</v>
      </c>
      <c r="W38" s="4" t="s">
        <v>37</v>
      </c>
      <c r="X38" s="1" t="s">
        <v>59</v>
      </c>
      <c r="Y38" s="167" t="s">
        <v>39</v>
      </c>
    </row>
    <row r="39" spans="1:26" ht="18" customHeight="1">
      <c r="A39" s="163" t="s">
        <v>25</v>
      </c>
      <c r="B39" s="29" t="s">
        <v>252</v>
      </c>
      <c r="C39" s="29" t="s">
        <v>253</v>
      </c>
      <c r="D39" s="4"/>
      <c r="E39" s="2">
        <v>46021</v>
      </c>
      <c r="F39" s="2">
        <f>E39+14</f>
        <v>46035</v>
      </c>
      <c r="G39" s="41" t="s">
        <v>28</v>
      </c>
      <c r="H39" s="1">
        <v>3230</v>
      </c>
      <c r="I39" s="1" t="s">
        <v>254</v>
      </c>
      <c r="J39" s="1" t="s">
        <v>69</v>
      </c>
      <c r="K39" s="1" t="s">
        <v>31</v>
      </c>
      <c r="L39" s="1">
        <v>85248</v>
      </c>
      <c r="M39" s="1" t="s">
        <v>32</v>
      </c>
      <c r="O39" s="1" t="s">
        <v>255</v>
      </c>
      <c r="P39" s="1" t="s">
        <v>256</v>
      </c>
      <c r="Q39" s="129" t="s">
        <v>257</v>
      </c>
      <c r="R39" s="1">
        <v>104051</v>
      </c>
      <c r="V39" s="4" t="s">
        <v>36</v>
      </c>
      <c r="W39" s="4" t="s">
        <v>37</v>
      </c>
      <c r="X39" s="4" t="s">
        <v>38</v>
      </c>
      <c r="Y39" s="235" t="s">
        <v>39</v>
      </c>
      <c r="Z39" s="168"/>
    </row>
    <row r="40" spans="1:26" ht="17.25" customHeight="1">
      <c r="A40" s="163" t="s">
        <v>25</v>
      </c>
      <c r="B40" s="29" t="s">
        <v>258</v>
      </c>
      <c r="C40" s="4" t="s">
        <v>259</v>
      </c>
      <c r="E40" s="2">
        <v>46021</v>
      </c>
      <c r="F40" s="2">
        <f>E40+14</f>
        <v>46035</v>
      </c>
      <c r="G40" s="331" t="s">
        <v>42</v>
      </c>
      <c r="H40" s="41">
        <v>7961</v>
      </c>
      <c r="I40" s="1" t="s">
        <v>113</v>
      </c>
      <c r="J40" s="1" t="s">
        <v>63</v>
      </c>
      <c r="K40" s="1" t="s">
        <v>31</v>
      </c>
      <c r="L40" s="1">
        <v>85212</v>
      </c>
      <c r="M40" s="1" t="s">
        <v>32</v>
      </c>
      <c r="O40" s="1" t="s">
        <v>260</v>
      </c>
      <c r="P40" s="1" t="s">
        <v>261</v>
      </c>
      <c r="Q40" s="87" t="s">
        <v>262</v>
      </c>
      <c r="R40" s="31">
        <v>93795</v>
      </c>
      <c r="V40" s="4" t="s">
        <v>36</v>
      </c>
      <c r="W40" s="4" t="s">
        <v>37</v>
      </c>
      <c r="X40" s="1" t="s">
        <v>59</v>
      </c>
      <c r="Y40" s="167" t="s">
        <v>39</v>
      </c>
    </row>
    <row r="41" spans="1:26" ht="21" customHeight="1">
      <c r="A41" s="163" t="s">
        <v>25</v>
      </c>
      <c r="B41" s="29" t="s">
        <v>263</v>
      </c>
      <c r="C41" s="4" t="s">
        <v>264</v>
      </c>
      <c r="E41" s="2">
        <v>46022</v>
      </c>
      <c r="F41" s="2">
        <f>E41+14</f>
        <v>46036</v>
      </c>
      <c r="G41" s="2" t="s">
        <v>28</v>
      </c>
      <c r="H41" s="41">
        <v>2971</v>
      </c>
      <c r="I41" s="1" t="s">
        <v>265</v>
      </c>
      <c r="J41" s="1" t="s">
        <v>266</v>
      </c>
      <c r="K41" s="1" t="s">
        <v>31</v>
      </c>
      <c r="L41" s="1">
        <v>86301</v>
      </c>
      <c r="M41" s="1" t="s">
        <v>32</v>
      </c>
      <c r="O41" s="1" t="s">
        <v>267</v>
      </c>
      <c r="P41" s="1" t="s">
        <v>268</v>
      </c>
      <c r="Q41" s="87" t="s">
        <v>269</v>
      </c>
      <c r="R41" s="31">
        <v>113013</v>
      </c>
      <c r="V41" s="4" t="s">
        <v>36</v>
      </c>
      <c r="W41" s="4" t="s">
        <v>37</v>
      </c>
      <c r="X41" s="1" t="s">
        <v>59</v>
      </c>
      <c r="Y41" s="167" t="s">
        <v>39</v>
      </c>
    </row>
    <row r="42" spans="1:26" ht="17.25" customHeight="1">
      <c r="A42" s="163" t="s">
        <v>25</v>
      </c>
      <c r="B42" s="29" t="s">
        <v>270</v>
      </c>
      <c r="C42" s="4" t="s">
        <v>271</v>
      </c>
      <c r="E42" s="2">
        <v>46020</v>
      </c>
      <c r="F42" s="2">
        <f>E42+14</f>
        <v>46034</v>
      </c>
      <c r="G42" s="232" t="s">
        <v>42</v>
      </c>
      <c r="H42" s="41">
        <v>7360</v>
      </c>
      <c r="I42" s="1" t="s">
        <v>272</v>
      </c>
      <c r="J42" s="1" t="s">
        <v>63</v>
      </c>
      <c r="K42" s="1" t="s">
        <v>31</v>
      </c>
      <c r="L42" s="1">
        <v>85212</v>
      </c>
      <c r="M42" s="1" t="s">
        <v>32</v>
      </c>
      <c r="O42" s="1" t="s">
        <v>273</v>
      </c>
      <c r="P42" s="1" t="s">
        <v>274</v>
      </c>
      <c r="Q42" s="87" t="s">
        <v>275</v>
      </c>
      <c r="R42" s="31">
        <v>112911</v>
      </c>
      <c r="V42" s="4" t="s">
        <v>36</v>
      </c>
      <c r="W42" s="4" t="s">
        <v>37</v>
      </c>
      <c r="X42" s="12" t="s">
        <v>59</v>
      </c>
      <c r="Y42" s="303" t="s">
        <v>39</v>
      </c>
    </row>
    <row r="43" spans="1:26" ht="20.25" customHeight="1">
      <c r="A43" s="163" t="s">
        <v>25</v>
      </c>
      <c r="B43" s="29" t="s">
        <v>276</v>
      </c>
      <c r="C43" s="4" t="s">
        <v>277</v>
      </c>
      <c r="D43" s="130">
        <v>45755</v>
      </c>
      <c r="E43" s="2">
        <v>46020</v>
      </c>
      <c r="F43" s="2">
        <f>E43+14</f>
        <v>46034</v>
      </c>
      <c r="G43" s="332" t="s">
        <v>42</v>
      </c>
      <c r="H43" s="41">
        <v>5341</v>
      </c>
      <c r="I43" s="1" t="s">
        <v>278</v>
      </c>
      <c r="J43" s="1" t="s">
        <v>63</v>
      </c>
      <c r="K43" s="1" t="s">
        <v>31</v>
      </c>
      <c r="M43" s="1" t="s">
        <v>32</v>
      </c>
      <c r="O43" s="1" t="s">
        <v>279</v>
      </c>
      <c r="P43" s="1" t="s">
        <v>280</v>
      </c>
      <c r="Q43" s="239" t="s">
        <v>281</v>
      </c>
      <c r="R43" s="31">
        <v>108322</v>
      </c>
      <c r="V43" s="4" t="s">
        <v>36</v>
      </c>
      <c r="W43" s="4" t="s">
        <v>37</v>
      </c>
      <c r="X43" s="17" t="s">
        <v>38</v>
      </c>
      <c r="Y43" s="302" t="s">
        <v>39</v>
      </c>
    </row>
    <row r="44" spans="1:26" ht="16.5" customHeight="1">
      <c r="A44" s="163" t="s">
        <v>25</v>
      </c>
      <c r="B44" s="29" t="s">
        <v>282</v>
      </c>
      <c r="C44" s="29" t="s">
        <v>283</v>
      </c>
      <c r="D44" s="4"/>
      <c r="E44" s="2">
        <v>46021</v>
      </c>
      <c r="F44" s="2">
        <f>E44+14</f>
        <v>46035</v>
      </c>
      <c r="G44" s="42" t="s">
        <v>28</v>
      </c>
      <c r="H44" s="1">
        <v>1801</v>
      </c>
      <c r="I44" s="1" t="s">
        <v>284</v>
      </c>
      <c r="J44" s="1" t="s">
        <v>49</v>
      </c>
      <c r="K44" s="1" t="s">
        <v>31</v>
      </c>
      <c r="M44" s="1" t="s">
        <v>76</v>
      </c>
      <c r="O44" s="1" t="s">
        <v>285</v>
      </c>
      <c r="P44" s="1" t="s">
        <v>286</v>
      </c>
      <c r="Q44" s="87" t="s">
        <v>287</v>
      </c>
      <c r="R44" s="1">
        <v>111900</v>
      </c>
      <c r="V44" s="4" t="s">
        <v>36</v>
      </c>
      <c r="W44" s="4" t="s">
        <v>37</v>
      </c>
      <c r="X44" s="17" t="s">
        <v>38</v>
      </c>
      <c r="Y44" s="302" t="s">
        <v>39</v>
      </c>
    </row>
    <row r="45" spans="1:26" ht="21" customHeight="1">
      <c r="A45" s="163" t="s">
        <v>25</v>
      </c>
      <c r="B45" s="29" t="s">
        <v>288</v>
      </c>
      <c r="C45" s="4" t="s">
        <v>289</v>
      </c>
      <c r="E45" s="232">
        <v>46014</v>
      </c>
      <c r="F45" s="2">
        <f>E45+14</f>
        <v>46028</v>
      </c>
      <c r="G45" s="332" t="s">
        <v>28</v>
      </c>
      <c r="H45" s="41">
        <v>1535</v>
      </c>
      <c r="I45" s="1" t="s">
        <v>290</v>
      </c>
      <c r="J45" s="1" t="s">
        <v>291</v>
      </c>
      <c r="K45" s="1" t="s">
        <v>31</v>
      </c>
      <c r="L45" s="1">
        <v>85224</v>
      </c>
      <c r="M45" s="1" t="s">
        <v>32</v>
      </c>
      <c r="O45" s="1" t="s">
        <v>292</v>
      </c>
      <c r="P45" s="1" t="s">
        <v>293</v>
      </c>
      <c r="Q45" s="129" t="s">
        <v>294</v>
      </c>
      <c r="R45" s="31">
        <v>108673</v>
      </c>
      <c r="V45" s="4" t="s">
        <v>36</v>
      </c>
      <c r="W45" s="4" t="s">
        <v>37</v>
      </c>
      <c r="X45" s="12" t="s">
        <v>59</v>
      </c>
      <c r="Y45" s="303" t="s">
        <v>39</v>
      </c>
    </row>
    <row r="46" spans="1:26" ht="18" customHeight="1">
      <c r="A46" s="163" t="s">
        <v>25</v>
      </c>
      <c r="B46" s="29" t="s">
        <v>295</v>
      </c>
      <c r="C46" s="4" t="s">
        <v>296</v>
      </c>
      <c r="E46" s="2">
        <v>46013</v>
      </c>
      <c r="F46" s="2">
        <f>E46+14</f>
        <v>46027</v>
      </c>
      <c r="G46" s="232" t="s">
        <v>28</v>
      </c>
      <c r="H46" s="41">
        <v>2952</v>
      </c>
      <c r="I46" s="1" t="s">
        <v>297</v>
      </c>
      <c r="J46" s="1" t="s">
        <v>298</v>
      </c>
      <c r="K46" s="1" t="s">
        <v>31</v>
      </c>
      <c r="M46" s="1" t="s">
        <v>32</v>
      </c>
      <c r="O46" s="1" t="s">
        <v>299</v>
      </c>
      <c r="P46" s="1" t="s">
        <v>300</v>
      </c>
      <c r="Q46" s="407" t="s">
        <v>301</v>
      </c>
      <c r="R46" s="178">
        <v>112164</v>
      </c>
      <c r="V46" s="4" t="s">
        <v>36</v>
      </c>
      <c r="W46" s="4" t="s">
        <v>37</v>
      </c>
      <c r="X46" s="12" t="s">
        <v>59</v>
      </c>
      <c r="Y46" s="303" t="s">
        <v>39</v>
      </c>
    </row>
    <row r="47" spans="1:26" ht="18" customHeight="1">
      <c r="A47" s="163" t="s">
        <v>25</v>
      </c>
      <c r="B47" s="29" t="s">
        <v>302</v>
      </c>
      <c r="C47" s="4" t="s">
        <v>303</v>
      </c>
      <c r="D47" s="130">
        <v>45742</v>
      </c>
      <c r="E47" s="2">
        <v>46016</v>
      </c>
      <c r="F47" s="2">
        <f>E47+14</f>
        <v>46030</v>
      </c>
      <c r="G47" s="332" t="s">
        <v>42</v>
      </c>
      <c r="H47" s="41" t="s">
        <v>184</v>
      </c>
      <c r="I47" s="1" t="s">
        <v>304</v>
      </c>
      <c r="J47" s="1" t="s">
        <v>63</v>
      </c>
      <c r="K47" s="1" t="s">
        <v>31</v>
      </c>
      <c r="L47" s="1">
        <v>85212</v>
      </c>
      <c r="M47" s="1" t="s">
        <v>32</v>
      </c>
      <c r="O47" s="1" t="s">
        <v>305</v>
      </c>
      <c r="P47" s="1" t="s">
        <v>306</v>
      </c>
      <c r="Q47" s="98" t="s">
        <v>307</v>
      </c>
      <c r="R47" s="31">
        <v>107366</v>
      </c>
      <c r="V47" s="4" t="s">
        <v>36</v>
      </c>
      <c r="W47" s="4" t="s">
        <v>37</v>
      </c>
      <c r="X47" s="12" t="s">
        <v>59</v>
      </c>
      <c r="Y47" s="303" t="s">
        <v>39</v>
      </c>
    </row>
    <row r="48" spans="1:26" ht="15.75" customHeight="1">
      <c r="A48" s="163" t="s">
        <v>25</v>
      </c>
      <c r="B48" s="15" t="s">
        <v>308</v>
      </c>
      <c r="C48" s="4" t="s">
        <v>309</v>
      </c>
      <c r="E48" s="2">
        <v>46013</v>
      </c>
      <c r="F48" s="2">
        <f>E48+14</f>
        <v>46027</v>
      </c>
      <c r="G48" s="332" t="s">
        <v>42</v>
      </c>
      <c r="H48" s="41">
        <v>1449</v>
      </c>
      <c r="I48" s="1" t="s">
        <v>310</v>
      </c>
      <c r="J48" s="1" t="s">
        <v>30</v>
      </c>
      <c r="K48" s="1" t="s">
        <v>31</v>
      </c>
      <c r="M48" s="1" t="s">
        <v>32</v>
      </c>
      <c r="O48" s="1" t="s">
        <v>311</v>
      </c>
      <c r="P48" s="1" t="s">
        <v>312</v>
      </c>
      <c r="Q48" s="87" t="s">
        <v>313</v>
      </c>
      <c r="R48" s="124" t="s">
        <v>314</v>
      </c>
      <c r="V48" s="4" t="s">
        <v>36</v>
      </c>
      <c r="W48" s="4" t="s">
        <v>37</v>
      </c>
      <c r="X48" s="17" t="s">
        <v>38</v>
      </c>
      <c r="Y48" s="302" t="s">
        <v>39</v>
      </c>
    </row>
    <row r="49" spans="1:26" ht="16.5" customHeight="1">
      <c r="A49" s="163" t="s">
        <v>25</v>
      </c>
      <c r="B49" s="15" t="s">
        <v>308</v>
      </c>
      <c r="C49" s="29" t="s">
        <v>315</v>
      </c>
      <c r="D49" s="4"/>
      <c r="E49" s="2">
        <v>46013</v>
      </c>
      <c r="F49" s="2">
        <f>E49+14</f>
        <v>46027</v>
      </c>
      <c r="G49" s="41" t="s">
        <v>42</v>
      </c>
      <c r="H49" s="1">
        <v>1715</v>
      </c>
      <c r="I49" s="1" t="s">
        <v>316</v>
      </c>
      <c r="J49" s="1" t="s">
        <v>30</v>
      </c>
      <c r="K49" s="1" t="s">
        <v>31</v>
      </c>
      <c r="M49" s="1" t="s">
        <v>76</v>
      </c>
      <c r="O49" s="1" t="s">
        <v>311</v>
      </c>
      <c r="P49" s="1" t="s">
        <v>317</v>
      </c>
      <c r="Q49" s="98" t="s">
        <v>313</v>
      </c>
      <c r="R49" s="125" t="s">
        <v>318</v>
      </c>
      <c r="V49" s="4" t="s">
        <v>36</v>
      </c>
      <c r="W49" s="4" t="s">
        <v>37</v>
      </c>
      <c r="X49" s="17" t="s">
        <v>38</v>
      </c>
      <c r="Y49" s="302" t="s">
        <v>39</v>
      </c>
    </row>
    <row r="50" spans="1:26" ht="16.5" customHeight="1">
      <c r="A50" s="163" t="s">
        <v>25</v>
      </c>
      <c r="B50" s="15" t="s">
        <v>308</v>
      </c>
      <c r="C50" s="4" t="s">
        <v>319</v>
      </c>
      <c r="E50" s="2">
        <v>46013</v>
      </c>
      <c r="F50" s="2">
        <f>E50+14</f>
        <v>46027</v>
      </c>
      <c r="G50" s="331" t="s">
        <v>42</v>
      </c>
      <c r="H50" s="41">
        <v>42584</v>
      </c>
      <c r="I50" s="1" t="s">
        <v>29</v>
      </c>
      <c r="J50" s="1" t="s">
        <v>45</v>
      </c>
      <c r="K50" s="1" t="s">
        <v>31</v>
      </c>
      <c r="L50" s="1">
        <v>85139</v>
      </c>
      <c r="M50" s="1" t="s">
        <v>32</v>
      </c>
      <c r="O50" s="1" t="s">
        <v>320</v>
      </c>
      <c r="P50" s="1" t="s">
        <v>321</v>
      </c>
      <c r="Q50" s="87" t="s">
        <v>322</v>
      </c>
      <c r="R50" s="31" t="s">
        <v>35</v>
      </c>
      <c r="V50" s="4" t="s">
        <v>36</v>
      </c>
      <c r="W50" s="4" t="s">
        <v>37</v>
      </c>
      <c r="X50" s="17" t="s">
        <v>38</v>
      </c>
      <c r="Y50" s="302" t="s">
        <v>39</v>
      </c>
    </row>
    <row r="51" spans="1:26" ht="15" customHeight="1">
      <c r="A51" s="163" t="s">
        <v>25</v>
      </c>
      <c r="B51" s="29" t="s">
        <v>323</v>
      </c>
      <c r="C51" s="4" t="s">
        <v>324</v>
      </c>
      <c r="D51" s="130">
        <v>45688</v>
      </c>
      <c r="E51" s="2">
        <v>46013</v>
      </c>
      <c r="F51" s="2">
        <f>E51+14</f>
        <v>46027</v>
      </c>
      <c r="G51" s="332" t="s">
        <v>42</v>
      </c>
      <c r="H51" s="41">
        <v>6955</v>
      </c>
      <c r="I51" s="1" t="s">
        <v>325</v>
      </c>
      <c r="J51" s="1" t="s">
        <v>69</v>
      </c>
      <c r="K51" s="1" t="s">
        <v>31</v>
      </c>
      <c r="L51" s="1">
        <v>85226</v>
      </c>
      <c r="M51" s="1" t="s">
        <v>32</v>
      </c>
      <c r="O51" s="1" t="s">
        <v>326</v>
      </c>
      <c r="P51" s="1" t="s">
        <v>327</v>
      </c>
      <c r="Q51" s="87" t="s">
        <v>328</v>
      </c>
      <c r="R51" s="31">
        <v>110895</v>
      </c>
      <c r="V51" s="4" t="s">
        <v>36</v>
      </c>
      <c r="W51" s="4" t="s">
        <v>37</v>
      </c>
      <c r="X51" s="17" t="s">
        <v>38</v>
      </c>
      <c r="Y51" s="302" t="s">
        <v>39</v>
      </c>
    </row>
    <row r="52" spans="1:26" ht="18" customHeight="1">
      <c r="A52" s="163" t="s">
        <v>25</v>
      </c>
      <c r="B52" s="29" t="s">
        <v>323</v>
      </c>
      <c r="C52" s="4" t="s">
        <v>329</v>
      </c>
      <c r="D52" s="130">
        <v>45736</v>
      </c>
      <c r="E52" s="2">
        <v>46021</v>
      </c>
      <c r="F52" s="2">
        <f>E52+14</f>
        <v>46035</v>
      </c>
      <c r="G52" s="332" t="s">
        <v>42</v>
      </c>
      <c r="H52" s="41">
        <v>10464</v>
      </c>
      <c r="I52" s="1" t="s">
        <v>330</v>
      </c>
      <c r="J52" s="1" t="s">
        <v>63</v>
      </c>
      <c r="K52" s="1" t="s">
        <v>31</v>
      </c>
      <c r="L52" s="1">
        <v>85212</v>
      </c>
      <c r="M52" s="1" t="s">
        <v>32</v>
      </c>
      <c r="O52" s="1" t="s">
        <v>331</v>
      </c>
      <c r="P52" s="1" t="s">
        <v>332</v>
      </c>
      <c r="Q52" s="129" t="s">
        <v>333</v>
      </c>
      <c r="R52" s="31">
        <v>110900</v>
      </c>
      <c r="V52" s="4" t="s">
        <v>36</v>
      </c>
      <c r="W52" s="4" t="s">
        <v>37</v>
      </c>
      <c r="X52" s="17" t="s">
        <v>38</v>
      </c>
      <c r="Y52" s="302" t="s">
        <v>39</v>
      </c>
    </row>
    <row r="53" spans="1:26" ht="18.75" customHeight="1">
      <c r="A53" s="163" t="s">
        <v>25</v>
      </c>
      <c r="B53" s="29" t="s">
        <v>334</v>
      </c>
      <c r="C53" s="4" t="s">
        <v>335</v>
      </c>
      <c r="E53" s="2">
        <v>46022</v>
      </c>
      <c r="F53" s="2">
        <f>E53+14</f>
        <v>46036</v>
      </c>
      <c r="G53" s="404" t="s">
        <v>28</v>
      </c>
      <c r="I53" s="1" t="s">
        <v>336</v>
      </c>
      <c r="J53" s="1" t="s">
        <v>63</v>
      </c>
      <c r="K53" s="1" t="s">
        <v>31</v>
      </c>
      <c r="L53" s="1">
        <v>85204</v>
      </c>
      <c r="M53" s="1" t="s">
        <v>32</v>
      </c>
      <c r="O53" s="1" t="s">
        <v>337</v>
      </c>
      <c r="P53" s="1" t="s">
        <v>338</v>
      </c>
      <c r="Q53" s="239" t="s">
        <v>339</v>
      </c>
      <c r="R53" s="174"/>
      <c r="V53" s="4" t="s">
        <v>36</v>
      </c>
      <c r="W53" s="4" t="s">
        <v>37</v>
      </c>
      <c r="X53" s="12" t="s">
        <v>59</v>
      </c>
      <c r="Y53" s="303" t="s">
        <v>39</v>
      </c>
    </row>
    <row r="54" spans="1:26" ht="15" customHeight="1">
      <c r="A54" s="163" t="s">
        <v>25</v>
      </c>
      <c r="B54" s="29" t="s">
        <v>340</v>
      </c>
      <c r="C54" s="4" t="s">
        <v>341</v>
      </c>
      <c r="D54" s="130">
        <v>45882</v>
      </c>
      <c r="E54" s="2">
        <v>46015</v>
      </c>
      <c r="F54" s="2">
        <f>E54+14</f>
        <v>46029</v>
      </c>
      <c r="G54" s="2" t="s">
        <v>28</v>
      </c>
      <c r="H54" s="41">
        <v>1820</v>
      </c>
      <c r="I54" s="1" t="s">
        <v>342</v>
      </c>
      <c r="J54" s="1" t="s">
        <v>63</v>
      </c>
      <c r="K54" s="1" t="s">
        <v>31</v>
      </c>
      <c r="L54" s="1">
        <v>85204</v>
      </c>
      <c r="M54" s="1" t="s">
        <v>32</v>
      </c>
      <c r="O54" s="1" t="s">
        <v>337</v>
      </c>
      <c r="P54" s="1" t="s">
        <v>343</v>
      </c>
      <c r="Q54" s="173"/>
      <c r="R54" s="31">
        <v>110222</v>
      </c>
      <c r="V54" s="4" t="s">
        <v>36</v>
      </c>
      <c r="W54" s="4" t="s">
        <v>37</v>
      </c>
      <c r="X54" s="12" t="s">
        <v>59</v>
      </c>
      <c r="Y54" s="303" t="s">
        <v>39</v>
      </c>
    </row>
    <row r="55" spans="1:26" ht="18" customHeight="1">
      <c r="A55" s="163" t="s">
        <v>25</v>
      </c>
      <c r="B55" s="70" t="s">
        <v>344</v>
      </c>
      <c r="C55" s="56" t="s">
        <v>345</v>
      </c>
      <c r="D55" s="60"/>
      <c r="E55" s="2">
        <v>46021</v>
      </c>
      <c r="F55" s="2">
        <f>E55+14</f>
        <v>46035</v>
      </c>
      <c r="G55" s="331" t="s">
        <v>28</v>
      </c>
      <c r="H55" s="54" t="s">
        <v>346</v>
      </c>
      <c r="I55" s="55" t="s">
        <v>135</v>
      </c>
      <c r="J55" s="55" t="s">
        <v>63</v>
      </c>
      <c r="K55" s="55" t="s">
        <v>31</v>
      </c>
      <c r="L55" s="55" t="s">
        <v>347</v>
      </c>
      <c r="M55" s="88" t="s">
        <v>32</v>
      </c>
      <c r="N55" s="56"/>
      <c r="O55" s="55" t="s">
        <v>348</v>
      </c>
      <c r="P55" s="55" t="s">
        <v>349</v>
      </c>
      <c r="Q55" s="240" t="s">
        <v>350</v>
      </c>
      <c r="R55" s="57">
        <v>88798</v>
      </c>
      <c r="V55" s="4" t="s">
        <v>36</v>
      </c>
      <c r="W55" s="4" t="s">
        <v>37</v>
      </c>
      <c r="X55" s="12" t="s">
        <v>59</v>
      </c>
      <c r="Y55" s="303" t="s">
        <v>39</v>
      </c>
      <c r="Z55" s="168"/>
    </row>
    <row r="56" spans="1:26" ht="18" customHeight="1">
      <c r="A56" s="163" t="s">
        <v>25</v>
      </c>
      <c r="B56" s="29" t="s">
        <v>351</v>
      </c>
      <c r="C56" s="4" t="s">
        <v>352</v>
      </c>
      <c r="D56" s="130">
        <v>45758</v>
      </c>
      <c r="E56" s="2">
        <v>46016</v>
      </c>
      <c r="F56" s="2">
        <f>E56+14</f>
        <v>46030</v>
      </c>
      <c r="G56" s="332" t="s">
        <v>42</v>
      </c>
      <c r="H56" s="41">
        <v>1325</v>
      </c>
      <c r="I56" s="1" t="s">
        <v>353</v>
      </c>
      <c r="J56" s="1" t="s">
        <v>63</v>
      </c>
      <c r="K56" s="1" t="s">
        <v>31</v>
      </c>
      <c r="M56" s="1" t="s">
        <v>32</v>
      </c>
      <c r="O56" s="3" t="s">
        <v>354</v>
      </c>
      <c r="P56" s="3" t="s">
        <v>355</v>
      </c>
      <c r="Q56" s="255" t="s">
        <v>356</v>
      </c>
      <c r="R56" s="124">
        <v>109618</v>
      </c>
      <c r="V56" s="4" t="s">
        <v>36</v>
      </c>
      <c r="W56" s="4" t="s">
        <v>37</v>
      </c>
      <c r="X56" s="12" t="s">
        <v>59</v>
      </c>
      <c r="Y56" s="303" t="s">
        <v>39</v>
      </c>
    </row>
    <row r="57" spans="1:26" ht="16.5" customHeight="1">
      <c r="A57" s="163" t="s">
        <v>25</v>
      </c>
      <c r="B57" s="29" t="s">
        <v>357</v>
      </c>
      <c r="C57" s="4" t="s">
        <v>358</v>
      </c>
      <c r="E57" s="2">
        <v>46008</v>
      </c>
      <c r="F57" s="2">
        <f>E57+28</f>
        <v>46036</v>
      </c>
      <c r="G57" s="331" t="s">
        <v>42</v>
      </c>
      <c r="I57" s="1" t="s">
        <v>359</v>
      </c>
      <c r="J57" s="1" t="s">
        <v>360</v>
      </c>
      <c r="K57" s="1" t="s">
        <v>31</v>
      </c>
      <c r="M57" s="1" t="s">
        <v>32</v>
      </c>
      <c r="O57" s="1" t="s">
        <v>361</v>
      </c>
      <c r="P57" s="1" t="s">
        <v>362</v>
      </c>
      <c r="Q57" s="87" t="s">
        <v>363</v>
      </c>
      <c r="R57" s="31" t="s">
        <v>364</v>
      </c>
      <c r="V57" s="4" t="s">
        <v>36</v>
      </c>
      <c r="W57" s="4" t="s">
        <v>37</v>
      </c>
      <c r="X57" s="12" t="s">
        <v>59</v>
      </c>
      <c r="Y57" s="303" t="s">
        <v>39</v>
      </c>
      <c r="Z57" s="168"/>
    </row>
    <row r="58" spans="1:26" ht="15.75" customHeight="1">
      <c r="A58" s="163" t="s">
        <v>25</v>
      </c>
      <c r="B58" s="15" t="s">
        <v>365</v>
      </c>
      <c r="C58" s="29" t="s">
        <v>366</v>
      </c>
      <c r="D58" s="4" t="s">
        <v>364</v>
      </c>
      <c r="E58" s="2">
        <v>46022</v>
      </c>
      <c r="F58" s="2">
        <f>E58+28</f>
        <v>46050</v>
      </c>
      <c r="G58" s="42" t="s">
        <v>28</v>
      </c>
      <c r="H58" s="1">
        <v>105585</v>
      </c>
      <c r="I58" s="1" t="s">
        <v>367</v>
      </c>
      <c r="J58" s="1" t="s">
        <v>368</v>
      </c>
      <c r="K58" s="1" t="s">
        <v>31</v>
      </c>
      <c r="L58" s="1">
        <v>86004</v>
      </c>
      <c r="M58" s="1" t="s">
        <v>32</v>
      </c>
      <c r="O58" s="1" t="s">
        <v>369</v>
      </c>
      <c r="P58" s="1" t="s">
        <v>370</v>
      </c>
      <c r="Q58" s="360" t="s">
        <v>371</v>
      </c>
      <c r="R58" s="1">
        <v>105585</v>
      </c>
      <c r="V58" s="4" t="s">
        <v>36</v>
      </c>
      <c r="W58" s="4" t="s">
        <v>37</v>
      </c>
      <c r="X58" s="17" t="s">
        <v>38</v>
      </c>
      <c r="Y58" s="302" t="s">
        <v>39</v>
      </c>
    </row>
    <row r="59" spans="1:26">
      <c r="A59" s="163" t="s">
        <v>25</v>
      </c>
      <c r="B59" s="118" t="s">
        <v>372</v>
      </c>
      <c r="C59" s="4" t="s">
        <v>373</v>
      </c>
      <c r="E59" s="2">
        <v>46020</v>
      </c>
      <c r="F59" s="2">
        <f>E59+14</f>
        <v>46034</v>
      </c>
      <c r="G59" s="332" t="s">
        <v>42</v>
      </c>
      <c r="H59" s="41">
        <v>6901</v>
      </c>
      <c r="I59" s="1" t="s">
        <v>374</v>
      </c>
      <c r="J59" s="1" t="s">
        <v>63</v>
      </c>
      <c r="K59" s="1" t="s">
        <v>31</v>
      </c>
      <c r="L59" s="1">
        <v>85207</v>
      </c>
      <c r="M59" s="1" t="s">
        <v>32</v>
      </c>
      <c r="O59" s="1" t="s">
        <v>375</v>
      </c>
      <c r="P59" s="1" t="s">
        <v>376</v>
      </c>
      <c r="Q59" s="87" t="s">
        <v>377</v>
      </c>
      <c r="R59" s="31">
        <v>106628</v>
      </c>
      <c r="V59" s="4" t="s">
        <v>36</v>
      </c>
      <c r="W59" s="4" t="s">
        <v>37</v>
      </c>
      <c r="X59" s="12" t="s">
        <v>59</v>
      </c>
      <c r="Y59" s="303" t="s">
        <v>39</v>
      </c>
    </row>
    <row r="60" spans="1:26" ht="18" customHeight="1">
      <c r="A60" s="163" t="s">
        <v>25</v>
      </c>
      <c r="B60" s="29" t="s">
        <v>372</v>
      </c>
      <c r="C60" s="4" t="s">
        <v>378</v>
      </c>
      <c r="D60" s="130">
        <v>45730</v>
      </c>
      <c r="E60" s="2">
        <v>46021</v>
      </c>
      <c r="F60" s="2">
        <f>E60+14</f>
        <v>46035</v>
      </c>
      <c r="G60" s="331" t="s">
        <v>42</v>
      </c>
      <c r="H60" s="41" t="s">
        <v>379</v>
      </c>
      <c r="I60" s="1" t="s">
        <v>380</v>
      </c>
      <c r="J60" s="1" t="s">
        <v>63</v>
      </c>
      <c r="K60" s="1" t="s">
        <v>31</v>
      </c>
      <c r="M60" s="1" t="s">
        <v>32</v>
      </c>
      <c r="O60" s="3" t="s">
        <v>381</v>
      </c>
      <c r="P60" s="3" t="s">
        <v>382</v>
      </c>
      <c r="Q60" s="98" t="s">
        <v>383</v>
      </c>
      <c r="R60" s="31">
        <v>112216</v>
      </c>
      <c r="V60" s="4" t="s">
        <v>36</v>
      </c>
      <c r="W60" s="4" t="s">
        <v>37</v>
      </c>
      <c r="X60" s="12" t="s">
        <v>59</v>
      </c>
      <c r="Y60" s="303" t="s">
        <v>39</v>
      </c>
    </row>
    <row r="61" spans="1:26" ht="18" customHeight="1">
      <c r="A61" s="163" t="s">
        <v>25</v>
      </c>
      <c r="B61" s="118" t="s">
        <v>372</v>
      </c>
      <c r="C61" s="4" t="s">
        <v>384</v>
      </c>
      <c r="E61" s="2">
        <v>46022</v>
      </c>
      <c r="F61" s="2">
        <f>E61+14</f>
        <v>46036</v>
      </c>
      <c r="G61" s="232" t="s">
        <v>42</v>
      </c>
      <c r="J61" s="1" t="s">
        <v>385</v>
      </c>
      <c r="K61" s="1" t="s">
        <v>31</v>
      </c>
      <c r="L61" s="1">
        <v>85542</v>
      </c>
      <c r="M61" s="1" t="s">
        <v>32</v>
      </c>
      <c r="O61" s="1" t="s">
        <v>386</v>
      </c>
      <c r="P61" s="1" t="s">
        <v>387</v>
      </c>
      <c r="V61" s="4" t="s">
        <v>36</v>
      </c>
      <c r="W61" s="4" t="s">
        <v>37</v>
      </c>
      <c r="X61" s="12" t="s">
        <v>59</v>
      </c>
      <c r="Y61" s="303" t="s">
        <v>39</v>
      </c>
    </row>
    <row r="62" spans="1:26" ht="15.75" customHeight="1">
      <c r="A62" s="163" t="s">
        <v>25</v>
      </c>
      <c r="B62" s="29" t="s">
        <v>388</v>
      </c>
      <c r="C62" s="4" t="s">
        <v>389</v>
      </c>
      <c r="E62" s="2">
        <v>46013</v>
      </c>
      <c r="F62" s="2">
        <f>E62+14</f>
        <v>46027</v>
      </c>
      <c r="G62" s="232" t="s">
        <v>28</v>
      </c>
      <c r="H62" s="41" t="s">
        <v>390</v>
      </c>
      <c r="I62" s="1" t="s">
        <v>391</v>
      </c>
      <c r="J62" s="1" t="s">
        <v>298</v>
      </c>
      <c r="K62" s="1" t="s">
        <v>31</v>
      </c>
      <c r="L62" s="1">
        <v>85120</v>
      </c>
      <c r="M62" s="1" t="s">
        <v>32</v>
      </c>
      <c r="O62" s="1" t="s">
        <v>392</v>
      </c>
      <c r="P62" s="1" t="s">
        <v>393</v>
      </c>
      <c r="V62" s="4" t="s">
        <v>36</v>
      </c>
      <c r="W62" s="4" t="s">
        <v>37</v>
      </c>
      <c r="X62" s="12" t="s">
        <v>59</v>
      </c>
      <c r="Y62" s="303" t="s">
        <v>39</v>
      </c>
    </row>
    <row r="63" spans="1:26" ht="18.75" customHeight="1">
      <c r="A63" s="358" t="s">
        <v>394</v>
      </c>
      <c r="B63" s="29" t="s">
        <v>395</v>
      </c>
      <c r="C63" s="4" t="s">
        <v>396</v>
      </c>
      <c r="E63" s="2">
        <v>46001</v>
      </c>
      <c r="F63" s="2">
        <f>E63+14</f>
        <v>46015</v>
      </c>
      <c r="G63" s="331" t="s">
        <v>42</v>
      </c>
      <c r="H63" s="41">
        <v>7077</v>
      </c>
      <c r="I63" s="1" t="s">
        <v>397</v>
      </c>
      <c r="J63" s="1" t="s">
        <v>398</v>
      </c>
      <c r="K63" s="1" t="s">
        <v>31</v>
      </c>
      <c r="L63" s="1">
        <v>85254</v>
      </c>
      <c r="M63" s="1" t="s">
        <v>32</v>
      </c>
      <c r="O63" s="1" t="s">
        <v>399</v>
      </c>
      <c r="P63" s="1" t="s">
        <v>400</v>
      </c>
      <c r="Q63" s="87" t="s">
        <v>401</v>
      </c>
      <c r="R63" s="31">
        <v>101071</v>
      </c>
      <c r="V63" s="4" t="s">
        <v>36</v>
      </c>
      <c r="W63" s="4" t="s">
        <v>37</v>
      </c>
      <c r="X63" s="17" t="s">
        <v>98</v>
      </c>
      <c r="Y63" s="302" t="s">
        <v>99</v>
      </c>
      <c r="Z63" s="167" t="s">
        <v>364</v>
      </c>
    </row>
    <row r="64" spans="1:26" ht="15" customHeight="1">
      <c r="A64" s="358" t="s">
        <v>394</v>
      </c>
      <c r="B64" s="29" t="s">
        <v>402</v>
      </c>
      <c r="C64" s="4" t="s">
        <v>403</v>
      </c>
      <c r="E64" s="2">
        <v>46001</v>
      </c>
      <c r="F64" s="2">
        <f>E64+14</f>
        <v>46015</v>
      </c>
      <c r="G64" s="2" t="s">
        <v>404</v>
      </c>
      <c r="H64" s="41">
        <v>7390</v>
      </c>
      <c r="I64" s="1" t="s">
        <v>405</v>
      </c>
      <c r="J64" s="1" t="s">
        <v>398</v>
      </c>
      <c r="K64" s="1" t="s">
        <v>31</v>
      </c>
      <c r="L64" s="1">
        <v>85255</v>
      </c>
      <c r="M64" s="1" t="s">
        <v>32</v>
      </c>
      <c r="O64" s="1" t="s">
        <v>406</v>
      </c>
      <c r="P64" s="1" t="s">
        <v>407</v>
      </c>
      <c r="Q64" s="87" t="s">
        <v>408</v>
      </c>
      <c r="R64" s="379">
        <v>110741</v>
      </c>
      <c r="V64" s="4" t="s">
        <v>36</v>
      </c>
      <c r="W64" s="4" t="s">
        <v>37</v>
      </c>
      <c r="X64" s="17" t="s">
        <v>98</v>
      </c>
      <c r="Y64" s="302" t="s">
        <v>99</v>
      </c>
    </row>
    <row r="65" spans="1:34" ht="20.25" customHeight="1">
      <c r="A65" s="358" t="s">
        <v>394</v>
      </c>
      <c r="B65" s="29" t="s">
        <v>402</v>
      </c>
      <c r="C65" s="4" t="s">
        <v>409</v>
      </c>
      <c r="E65" s="2">
        <v>46001</v>
      </c>
      <c r="F65" s="2">
        <f>E65+14</f>
        <v>46015</v>
      </c>
      <c r="G65" s="2" t="s">
        <v>404</v>
      </c>
      <c r="H65" s="41">
        <v>7390</v>
      </c>
      <c r="I65" s="1" t="s">
        <v>405</v>
      </c>
      <c r="J65" s="1" t="s">
        <v>398</v>
      </c>
      <c r="K65" s="1" t="s">
        <v>31</v>
      </c>
      <c r="L65" s="1">
        <v>85255</v>
      </c>
      <c r="M65" s="1" t="s">
        <v>32</v>
      </c>
      <c r="O65" s="1" t="s">
        <v>410</v>
      </c>
      <c r="P65" s="25" t="s">
        <v>411</v>
      </c>
      <c r="Q65" s="87" t="s">
        <v>408</v>
      </c>
      <c r="R65" s="379">
        <v>110742</v>
      </c>
      <c r="V65" s="4" t="s">
        <v>36</v>
      </c>
      <c r="W65" s="4" t="s">
        <v>37</v>
      </c>
      <c r="X65" s="17" t="s">
        <v>98</v>
      </c>
      <c r="Y65" s="302" t="s">
        <v>99</v>
      </c>
    </row>
    <row r="66" spans="1:34">
      <c r="A66" s="358" t="s">
        <v>394</v>
      </c>
      <c r="B66" s="29" t="s">
        <v>412</v>
      </c>
      <c r="C66" s="4" t="s">
        <v>413</v>
      </c>
      <c r="E66" s="2">
        <v>46003</v>
      </c>
      <c r="F66" s="2">
        <f>E66+14</f>
        <v>46017</v>
      </c>
      <c r="G66" s="332" t="s">
        <v>28</v>
      </c>
      <c r="H66" s="41">
        <v>1031</v>
      </c>
      <c r="I66" s="1" t="s">
        <v>414</v>
      </c>
      <c r="J66" s="1" t="s">
        <v>415</v>
      </c>
      <c r="K66" s="1" t="s">
        <v>31</v>
      </c>
      <c r="L66" s="1">
        <v>85281</v>
      </c>
      <c r="M66" s="1" t="s">
        <v>32</v>
      </c>
      <c r="O66" s="1" t="s">
        <v>416</v>
      </c>
      <c r="P66" s="1" t="s">
        <v>417</v>
      </c>
      <c r="Q66" s="87" t="s">
        <v>418</v>
      </c>
      <c r="R66" s="31">
        <v>102293</v>
      </c>
      <c r="V66" s="4" t="s">
        <v>36</v>
      </c>
      <c r="W66" s="4" t="s">
        <v>37</v>
      </c>
      <c r="X66" s="17" t="s">
        <v>98</v>
      </c>
      <c r="Y66" s="302" t="s">
        <v>99</v>
      </c>
    </row>
    <row r="67" spans="1:34" ht="18" customHeight="1">
      <c r="A67" s="358" t="s">
        <v>394</v>
      </c>
      <c r="B67" s="29" t="s">
        <v>412</v>
      </c>
      <c r="C67" s="4" t="s">
        <v>419</v>
      </c>
      <c r="E67" s="2">
        <v>46010</v>
      </c>
      <c r="F67" s="2">
        <f>E67+14</f>
        <v>46024</v>
      </c>
      <c r="G67" s="332" t="s">
        <v>42</v>
      </c>
      <c r="H67" s="41">
        <v>1490</v>
      </c>
      <c r="I67" s="1" t="s">
        <v>420</v>
      </c>
      <c r="J67" s="1" t="s">
        <v>398</v>
      </c>
      <c r="K67" s="1" t="s">
        <v>31</v>
      </c>
      <c r="L67" s="1">
        <v>85257</v>
      </c>
      <c r="M67" s="1" t="s">
        <v>32</v>
      </c>
      <c r="O67" s="1" t="s">
        <v>421</v>
      </c>
      <c r="P67" s="1" t="s">
        <v>422</v>
      </c>
      <c r="Q67" s="239" t="s">
        <v>423</v>
      </c>
      <c r="R67" s="379">
        <v>113144</v>
      </c>
      <c r="V67" s="4" t="s">
        <v>36</v>
      </c>
      <c r="W67" s="4" t="s">
        <v>37</v>
      </c>
      <c r="X67" s="17" t="s">
        <v>98</v>
      </c>
      <c r="Y67" s="302" t="s">
        <v>99</v>
      </c>
    </row>
    <row r="68" spans="1:34" ht="19.5" customHeight="1">
      <c r="A68" s="358" t="s">
        <v>394</v>
      </c>
      <c r="B68" s="15" t="s">
        <v>424</v>
      </c>
      <c r="C68" s="29" t="s">
        <v>425</v>
      </c>
      <c r="D68" s="1"/>
      <c r="E68" s="2">
        <v>46001</v>
      </c>
      <c r="F68" s="2">
        <f>E68+14</f>
        <v>46015</v>
      </c>
      <c r="G68" s="42" t="s">
        <v>42</v>
      </c>
      <c r="H68" s="1"/>
      <c r="I68" s="1" t="s">
        <v>426</v>
      </c>
      <c r="J68" s="1" t="s">
        <v>427</v>
      </c>
      <c r="K68" s="1" t="s">
        <v>31</v>
      </c>
      <c r="M68" s="1" t="s">
        <v>32</v>
      </c>
      <c r="O68" s="1" t="s">
        <v>428</v>
      </c>
      <c r="P68" s="1" t="s">
        <v>429</v>
      </c>
      <c r="Q68" s="98" t="s">
        <v>430</v>
      </c>
      <c r="R68" s="1">
        <v>90861</v>
      </c>
      <c r="V68" s="4" t="s">
        <v>36</v>
      </c>
      <c r="W68" s="4" t="s">
        <v>37</v>
      </c>
      <c r="X68" s="17" t="s">
        <v>98</v>
      </c>
      <c r="Y68" s="302" t="s">
        <v>99</v>
      </c>
      <c r="Z68" s="168"/>
    </row>
    <row r="69" spans="1:34">
      <c r="A69" s="358" t="s">
        <v>394</v>
      </c>
      <c r="B69" s="70" t="s">
        <v>431</v>
      </c>
      <c r="C69" s="56" t="s">
        <v>432</v>
      </c>
      <c r="D69" s="60"/>
      <c r="E69" s="232">
        <v>46009</v>
      </c>
      <c r="F69" s="2">
        <f>E69+14</f>
        <v>46023</v>
      </c>
      <c r="G69" s="332" t="s">
        <v>28</v>
      </c>
      <c r="H69" s="41">
        <v>2701</v>
      </c>
      <c r="I69" s="55" t="s">
        <v>433</v>
      </c>
      <c r="J69" s="55" t="s">
        <v>434</v>
      </c>
      <c r="K69" s="55" t="s">
        <v>31</v>
      </c>
      <c r="L69" s="1">
        <v>85009</v>
      </c>
      <c r="M69" s="55" t="s">
        <v>32</v>
      </c>
      <c r="N69" s="56"/>
      <c r="O69" s="1" t="s">
        <v>435</v>
      </c>
      <c r="P69" s="1" t="s">
        <v>436</v>
      </c>
      <c r="Q69" s="98" t="s">
        <v>437</v>
      </c>
      <c r="R69" s="389">
        <v>111652</v>
      </c>
      <c r="V69" s="4" t="s">
        <v>36</v>
      </c>
      <c r="W69" s="4" t="s">
        <v>37</v>
      </c>
      <c r="X69" s="17" t="s">
        <v>98</v>
      </c>
      <c r="Y69" s="302" t="s">
        <v>99</v>
      </c>
      <c r="Z69" s="167" t="s">
        <v>364</v>
      </c>
    </row>
    <row r="70" spans="1:34" ht="16.5" customHeight="1">
      <c r="A70" s="358" t="s">
        <v>394</v>
      </c>
      <c r="B70" s="141" t="s">
        <v>87</v>
      </c>
      <c r="C70" s="17" t="s">
        <v>438</v>
      </c>
      <c r="D70" s="298"/>
      <c r="E70" s="2">
        <v>46003</v>
      </c>
      <c r="F70" s="298">
        <f>E70+14</f>
        <v>46017</v>
      </c>
      <c r="G70" s="328" t="s">
        <v>28</v>
      </c>
      <c r="H70" s="12">
        <v>4861</v>
      </c>
      <c r="I70" s="299" t="s">
        <v>439</v>
      </c>
      <c r="J70" s="12" t="s">
        <v>63</v>
      </c>
      <c r="K70" s="12" t="s">
        <v>31</v>
      </c>
      <c r="L70" s="12">
        <v>85215</v>
      </c>
      <c r="M70" s="12" t="s">
        <v>32</v>
      </c>
      <c r="N70" s="17"/>
      <c r="O70" s="12" t="s">
        <v>440</v>
      </c>
      <c r="P70" s="12" t="s">
        <v>441</v>
      </c>
      <c r="Q70" s="301" t="s">
        <v>442</v>
      </c>
      <c r="R70" s="397">
        <v>111226</v>
      </c>
      <c r="S70" s="17"/>
      <c r="T70" s="17"/>
      <c r="U70" s="17"/>
      <c r="V70" s="17" t="s">
        <v>443</v>
      </c>
      <c r="W70" s="17" t="s">
        <v>37</v>
      </c>
      <c r="X70" s="17" t="s">
        <v>98</v>
      </c>
      <c r="Y70" s="302" t="s">
        <v>99</v>
      </c>
      <c r="Z70" s="413"/>
      <c r="AA70" s="17"/>
      <c r="AB70" s="17"/>
      <c r="AC70" s="17"/>
      <c r="AD70" s="17"/>
      <c r="AE70" s="17"/>
      <c r="AF70" s="17"/>
      <c r="AG70" s="17"/>
      <c r="AH70" s="17"/>
    </row>
    <row r="71" spans="1:34">
      <c r="A71" s="358" t="s">
        <v>394</v>
      </c>
      <c r="B71" s="15" t="s">
        <v>87</v>
      </c>
      <c r="C71" s="4" t="s">
        <v>444</v>
      </c>
      <c r="D71" s="2">
        <v>45894</v>
      </c>
      <c r="E71" s="232">
        <v>46006</v>
      </c>
      <c r="F71" s="2">
        <f>E71+14</f>
        <v>46020</v>
      </c>
      <c r="G71" s="232" t="s">
        <v>42</v>
      </c>
      <c r="H71" s="1">
        <v>4568</v>
      </c>
      <c r="I71" s="41" t="s">
        <v>445</v>
      </c>
      <c r="J71" s="1" t="s">
        <v>434</v>
      </c>
      <c r="K71" s="1" t="s">
        <v>31</v>
      </c>
      <c r="L71" s="1">
        <v>85032</v>
      </c>
      <c r="M71" s="1" t="s">
        <v>32</v>
      </c>
      <c r="O71" s="1" t="s">
        <v>446</v>
      </c>
      <c r="P71" s="1" t="s">
        <v>447</v>
      </c>
      <c r="Q71" s="98" t="s">
        <v>448</v>
      </c>
      <c r="R71" s="258">
        <v>10437</v>
      </c>
      <c r="V71" s="4" t="s">
        <v>443</v>
      </c>
      <c r="W71" s="4" t="s">
        <v>37</v>
      </c>
      <c r="X71" s="17" t="s">
        <v>98</v>
      </c>
      <c r="Y71" s="302" t="s">
        <v>99</v>
      </c>
      <c r="Z71" s="168"/>
    </row>
    <row r="72" spans="1:34">
      <c r="A72" s="358" t="s">
        <v>394</v>
      </c>
      <c r="B72" s="15" t="s">
        <v>87</v>
      </c>
      <c r="C72" s="4" t="s">
        <v>449</v>
      </c>
      <c r="D72" s="2"/>
      <c r="E72" s="232">
        <v>46006</v>
      </c>
      <c r="F72" s="2">
        <f>E72+14</f>
        <v>46020</v>
      </c>
      <c r="G72" s="232" t="s">
        <v>42</v>
      </c>
      <c r="H72" s="1">
        <v>4590</v>
      </c>
      <c r="I72" s="41" t="s">
        <v>445</v>
      </c>
      <c r="J72" s="1" t="s">
        <v>434</v>
      </c>
      <c r="K72" s="1" t="s">
        <v>31</v>
      </c>
      <c r="L72" s="1">
        <v>85032</v>
      </c>
      <c r="M72" s="1" t="s">
        <v>32</v>
      </c>
      <c r="O72" s="1" t="s">
        <v>446</v>
      </c>
      <c r="P72" s="1" t="s">
        <v>447</v>
      </c>
      <c r="Q72" s="87" t="s">
        <v>450</v>
      </c>
      <c r="R72" s="258">
        <v>112279</v>
      </c>
      <c r="V72" s="4" t="s">
        <v>443</v>
      </c>
      <c r="W72" s="4" t="s">
        <v>37</v>
      </c>
      <c r="X72" s="17" t="s">
        <v>98</v>
      </c>
      <c r="Y72" s="302" t="s">
        <v>99</v>
      </c>
      <c r="Z72" s="168"/>
    </row>
    <row r="73" spans="1:34" ht="20.25" customHeight="1">
      <c r="A73" s="358" t="s">
        <v>394</v>
      </c>
      <c r="B73" s="29" t="s">
        <v>93</v>
      </c>
      <c r="C73" s="4" t="s">
        <v>451</v>
      </c>
      <c r="D73" s="130">
        <v>45884</v>
      </c>
      <c r="E73" s="2">
        <v>46003</v>
      </c>
      <c r="F73" s="2">
        <f>E73+14</f>
        <v>46017</v>
      </c>
      <c r="G73" s="232" t="s">
        <v>42</v>
      </c>
      <c r="H73" s="41">
        <v>7000</v>
      </c>
      <c r="I73" s="1" t="s">
        <v>452</v>
      </c>
      <c r="J73" s="1" t="s">
        <v>398</v>
      </c>
      <c r="K73" s="1" t="s">
        <v>31</v>
      </c>
      <c r="L73" s="1">
        <v>85254</v>
      </c>
      <c r="M73" s="1" t="s">
        <v>32</v>
      </c>
      <c r="O73" s="25" t="s">
        <v>453</v>
      </c>
      <c r="P73" s="1" t="s">
        <v>454</v>
      </c>
      <c r="Q73" s="87" t="s">
        <v>455</v>
      </c>
      <c r="R73" s="379">
        <v>110430</v>
      </c>
      <c r="V73" s="4" t="s">
        <v>36</v>
      </c>
      <c r="W73" s="4" t="s">
        <v>37</v>
      </c>
      <c r="X73" s="17" t="s">
        <v>98</v>
      </c>
      <c r="Y73" s="302" t="s">
        <v>99</v>
      </c>
    </row>
    <row r="74" spans="1:34">
      <c r="A74" s="358" t="s">
        <v>394</v>
      </c>
      <c r="B74" s="29" t="s">
        <v>111</v>
      </c>
      <c r="C74" s="4" t="s">
        <v>456</v>
      </c>
      <c r="E74" s="232">
        <v>46008</v>
      </c>
      <c r="F74" s="2">
        <f>E74+14</f>
        <v>46022</v>
      </c>
      <c r="G74" s="332" t="s">
        <v>28</v>
      </c>
      <c r="H74" s="41">
        <v>51</v>
      </c>
      <c r="I74" s="1" t="s">
        <v>457</v>
      </c>
      <c r="J74" s="1" t="s">
        <v>415</v>
      </c>
      <c r="K74" s="1" t="s">
        <v>31</v>
      </c>
      <c r="L74" s="1">
        <v>85283</v>
      </c>
      <c r="M74" s="1" t="s">
        <v>32</v>
      </c>
      <c r="O74" s="1" t="s">
        <v>458</v>
      </c>
      <c r="P74" s="1" t="s">
        <v>459</v>
      </c>
      <c r="Q74" s="184" t="s">
        <v>460</v>
      </c>
      <c r="R74" s="402"/>
      <c r="V74" s="4" t="s">
        <v>443</v>
      </c>
      <c r="W74" s="4" t="s">
        <v>37</v>
      </c>
      <c r="X74" s="17" t="s">
        <v>98</v>
      </c>
      <c r="Y74" s="302" t="s">
        <v>99</v>
      </c>
    </row>
    <row r="75" spans="1:34">
      <c r="A75" s="358" t="s">
        <v>394</v>
      </c>
      <c r="B75" s="15" t="s">
        <v>461</v>
      </c>
      <c r="C75" s="29" t="s">
        <v>462</v>
      </c>
      <c r="D75" s="4"/>
      <c r="E75" s="232">
        <v>45999</v>
      </c>
      <c r="F75" s="2">
        <f>E75+14</f>
        <v>46013</v>
      </c>
      <c r="G75" s="42" t="s">
        <v>42</v>
      </c>
      <c r="H75" s="1">
        <v>2950</v>
      </c>
      <c r="I75" s="1" t="s">
        <v>463</v>
      </c>
      <c r="J75" s="1" t="s">
        <v>434</v>
      </c>
      <c r="K75" s="1" t="s">
        <v>31</v>
      </c>
      <c r="L75" s="1">
        <v>85016</v>
      </c>
      <c r="M75" s="1" t="s">
        <v>32</v>
      </c>
      <c r="O75" s="1" t="s">
        <v>464</v>
      </c>
      <c r="P75" s="1" t="s">
        <v>465</v>
      </c>
      <c r="Q75" s="184" t="s">
        <v>466</v>
      </c>
      <c r="R75" s="179">
        <v>104806</v>
      </c>
      <c r="V75" s="4" t="s">
        <v>443</v>
      </c>
      <c r="W75" s="4" t="s">
        <v>37</v>
      </c>
      <c r="X75" s="17" t="s">
        <v>98</v>
      </c>
      <c r="Y75" s="302" t="s">
        <v>99</v>
      </c>
      <c r="Z75" s="167" t="s">
        <v>364</v>
      </c>
    </row>
    <row r="76" spans="1:34" ht="15.75" customHeight="1">
      <c r="A76" s="358" t="s">
        <v>394</v>
      </c>
      <c r="B76" s="29" t="s">
        <v>467</v>
      </c>
      <c r="C76" s="4" t="s">
        <v>468</v>
      </c>
      <c r="E76" s="2">
        <v>46007</v>
      </c>
      <c r="F76" s="2">
        <f>E76+14</f>
        <v>46021</v>
      </c>
      <c r="G76" s="332" t="s">
        <v>42</v>
      </c>
      <c r="H76" s="41">
        <v>32000</v>
      </c>
      <c r="I76" s="1" t="s">
        <v>469</v>
      </c>
      <c r="J76" s="1" t="s">
        <v>434</v>
      </c>
      <c r="K76" s="1" t="s">
        <v>31</v>
      </c>
      <c r="M76" s="1" t="s">
        <v>32</v>
      </c>
      <c r="O76" s="1" t="s">
        <v>470</v>
      </c>
      <c r="P76" s="1" t="s">
        <v>471</v>
      </c>
      <c r="Q76" s="184" t="s">
        <v>472</v>
      </c>
      <c r="R76" s="174"/>
      <c r="V76" s="119" t="s">
        <v>36</v>
      </c>
      <c r="W76" s="4" t="s">
        <v>37</v>
      </c>
      <c r="X76" s="17" t="s">
        <v>98</v>
      </c>
      <c r="Y76" s="302" t="s">
        <v>99</v>
      </c>
    </row>
    <row r="77" spans="1:34">
      <c r="A77" s="358" t="s">
        <v>394</v>
      </c>
      <c r="B77" s="29" t="s">
        <v>126</v>
      </c>
      <c r="C77" s="4" t="s">
        <v>473</v>
      </c>
      <c r="D77" s="2"/>
      <c r="E77" s="2">
        <v>46010</v>
      </c>
      <c r="F77" s="2">
        <f>E77+14</f>
        <v>46024</v>
      </c>
      <c r="G77" s="232" t="s">
        <v>42</v>
      </c>
      <c r="H77" s="41">
        <v>8102</v>
      </c>
      <c r="I77" s="1" t="s">
        <v>474</v>
      </c>
      <c r="J77" s="1" t="s">
        <v>398</v>
      </c>
      <c r="K77" s="1" t="s">
        <v>31</v>
      </c>
      <c r="L77" s="1">
        <v>85251</v>
      </c>
      <c r="M77" s="1" t="s">
        <v>32</v>
      </c>
      <c r="O77" s="1" t="s">
        <v>475</v>
      </c>
      <c r="P77" s="1" t="s">
        <v>476</v>
      </c>
      <c r="Q77" s="98" t="s">
        <v>477</v>
      </c>
      <c r="R77" s="178">
        <v>85210</v>
      </c>
      <c r="V77" s="4" t="s">
        <v>36</v>
      </c>
      <c r="W77" s="4" t="s">
        <v>37</v>
      </c>
      <c r="X77" s="17" t="s">
        <v>98</v>
      </c>
      <c r="Y77" s="302" t="s">
        <v>99</v>
      </c>
      <c r="Z77" s="168"/>
    </row>
    <row r="78" spans="1:34">
      <c r="A78" s="358" t="s">
        <v>394</v>
      </c>
      <c r="B78" s="29" t="s">
        <v>478</v>
      </c>
      <c r="C78" s="4" t="s">
        <v>479</v>
      </c>
      <c r="D78" s="130" t="s">
        <v>364</v>
      </c>
      <c r="E78" s="2">
        <v>46001</v>
      </c>
      <c r="F78" s="2">
        <f>E78+14</f>
        <v>46015</v>
      </c>
      <c r="G78" s="232" t="s">
        <v>42</v>
      </c>
      <c r="H78" s="41">
        <v>3001</v>
      </c>
      <c r="I78" s="1" t="s">
        <v>480</v>
      </c>
      <c r="J78" s="1" t="s">
        <v>481</v>
      </c>
      <c r="K78" s="1" t="s">
        <v>31</v>
      </c>
      <c r="L78" s="1">
        <v>85253</v>
      </c>
      <c r="M78" s="1" t="s">
        <v>32</v>
      </c>
      <c r="O78" s="1" t="s">
        <v>482</v>
      </c>
      <c r="P78" s="1" t="s">
        <v>483</v>
      </c>
      <c r="Q78" s="99" t="s">
        <v>484</v>
      </c>
      <c r="R78" s="31">
        <v>103723</v>
      </c>
      <c r="V78" s="4" t="s">
        <v>36</v>
      </c>
      <c r="W78" s="4" t="s">
        <v>37</v>
      </c>
      <c r="X78" s="17" t="s">
        <v>98</v>
      </c>
      <c r="Y78" s="302" t="s">
        <v>99</v>
      </c>
    </row>
    <row r="79" spans="1:34">
      <c r="A79" s="358" t="s">
        <v>394</v>
      </c>
      <c r="B79" s="29" t="s">
        <v>478</v>
      </c>
      <c r="C79" s="4" t="s">
        <v>485</v>
      </c>
      <c r="E79" s="232">
        <v>46008</v>
      </c>
      <c r="F79" s="2">
        <f>E79+14</f>
        <v>46022</v>
      </c>
      <c r="G79" s="332" t="s">
        <v>42</v>
      </c>
      <c r="H79" s="41">
        <v>6720</v>
      </c>
      <c r="I79" s="1" t="s">
        <v>486</v>
      </c>
      <c r="J79" s="1" t="s">
        <v>398</v>
      </c>
      <c r="K79" s="1" t="s">
        <v>31</v>
      </c>
      <c r="L79" s="1">
        <v>5257</v>
      </c>
      <c r="M79" s="1" t="s">
        <v>32</v>
      </c>
      <c r="O79" s="1" t="s">
        <v>487</v>
      </c>
      <c r="P79" s="1" t="s">
        <v>488</v>
      </c>
      <c r="Q79" s="87" t="s">
        <v>489</v>
      </c>
      <c r="R79" s="379">
        <v>110171</v>
      </c>
      <c r="V79" s="4" t="s">
        <v>36</v>
      </c>
      <c r="W79" s="4" t="s">
        <v>37</v>
      </c>
      <c r="X79" s="17" t="s">
        <v>98</v>
      </c>
      <c r="Y79" s="302" t="s">
        <v>99</v>
      </c>
      <c r="Z79" s="167" t="s">
        <v>364</v>
      </c>
    </row>
    <row r="80" spans="1:34" ht="18.75" customHeight="1">
      <c r="A80" s="358" t="s">
        <v>394</v>
      </c>
      <c r="B80" s="29" t="s">
        <v>490</v>
      </c>
      <c r="C80" s="4" t="s">
        <v>491</v>
      </c>
      <c r="E80" s="232">
        <v>46008</v>
      </c>
      <c r="F80" s="232">
        <f>E80+14</f>
        <v>46022</v>
      </c>
      <c r="G80" s="232" t="s">
        <v>42</v>
      </c>
      <c r="H80" s="41">
        <v>200</v>
      </c>
      <c r="I80" s="1" t="s">
        <v>492</v>
      </c>
      <c r="J80" s="1" t="s">
        <v>415</v>
      </c>
      <c r="K80" s="1" t="s">
        <v>31</v>
      </c>
      <c r="L80" s="1">
        <v>85281</v>
      </c>
      <c r="M80" s="1" t="s">
        <v>32</v>
      </c>
      <c r="O80" s="1" t="s">
        <v>493</v>
      </c>
      <c r="P80" s="1" t="s">
        <v>494</v>
      </c>
      <c r="Q80" s="87" t="s">
        <v>495</v>
      </c>
      <c r="R80" s="379">
        <v>110810</v>
      </c>
      <c r="V80" s="4" t="s">
        <v>36</v>
      </c>
      <c r="W80" s="4" t="s">
        <v>37</v>
      </c>
      <c r="X80" s="17" t="s">
        <v>98</v>
      </c>
      <c r="Y80" s="302" t="s">
        <v>99</v>
      </c>
    </row>
    <row r="81" spans="1:34" ht="20.25" customHeight="1">
      <c r="A81" s="358" t="s">
        <v>394</v>
      </c>
      <c r="B81" s="29" t="s">
        <v>139</v>
      </c>
      <c r="C81" s="4" t="s">
        <v>496</v>
      </c>
      <c r="E81" s="232">
        <v>46006</v>
      </c>
      <c r="F81" s="2">
        <f>E81+14</f>
        <v>46020</v>
      </c>
      <c r="G81" s="332" t="s">
        <v>42</v>
      </c>
      <c r="H81" s="41">
        <v>4568</v>
      </c>
      <c r="I81" s="1" t="s">
        <v>497</v>
      </c>
      <c r="J81" s="1" t="s">
        <v>434</v>
      </c>
      <c r="K81" s="1" t="s">
        <v>31</v>
      </c>
      <c r="L81" s="1">
        <v>85032</v>
      </c>
      <c r="M81" s="1" t="s">
        <v>32</v>
      </c>
      <c r="O81" s="173"/>
      <c r="P81" s="1" t="s">
        <v>498</v>
      </c>
      <c r="Q81" s="239" t="s">
        <v>499</v>
      </c>
      <c r="R81" s="379">
        <v>112471</v>
      </c>
      <c r="V81" s="4" t="s">
        <v>36</v>
      </c>
      <c r="W81" s="4" t="s">
        <v>37</v>
      </c>
      <c r="X81" s="17" t="s">
        <v>98</v>
      </c>
      <c r="Y81" s="302" t="s">
        <v>99</v>
      </c>
    </row>
    <row r="82" spans="1:34" ht="21.75" customHeight="1">
      <c r="A82" s="358" t="s">
        <v>394</v>
      </c>
      <c r="B82" s="29" t="s">
        <v>139</v>
      </c>
      <c r="C82" s="4" t="s">
        <v>500</v>
      </c>
      <c r="E82" s="2">
        <v>46009</v>
      </c>
      <c r="F82" s="2">
        <f>E82+14</f>
        <v>46023</v>
      </c>
      <c r="G82" s="331" t="s">
        <v>42</v>
      </c>
      <c r="H82" s="41">
        <v>1310</v>
      </c>
      <c r="I82" s="1" t="s">
        <v>501</v>
      </c>
      <c r="J82" s="1" t="s">
        <v>415</v>
      </c>
      <c r="K82" s="1" t="s">
        <v>31</v>
      </c>
      <c r="L82" s="1">
        <v>85281</v>
      </c>
      <c r="M82" s="1" t="s">
        <v>32</v>
      </c>
      <c r="O82" s="1" t="s">
        <v>502</v>
      </c>
      <c r="P82" s="1" t="s">
        <v>503</v>
      </c>
      <c r="Q82" s="98" t="s">
        <v>504</v>
      </c>
      <c r="R82" s="31">
        <v>97498</v>
      </c>
      <c r="V82" s="4" t="s">
        <v>36</v>
      </c>
      <c r="W82" s="4" t="s">
        <v>37</v>
      </c>
      <c r="X82" s="17" t="s">
        <v>98</v>
      </c>
      <c r="Y82" s="302" t="s">
        <v>99</v>
      </c>
    </row>
    <row r="83" spans="1:34" ht="15.75" customHeight="1">
      <c r="A83" s="358" t="s">
        <v>394</v>
      </c>
      <c r="B83" s="29" t="s">
        <v>157</v>
      </c>
      <c r="C83" s="4" t="s">
        <v>505</v>
      </c>
      <c r="D83" s="2"/>
      <c r="E83" s="232">
        <v>46006</v>
      </c>
      <c r="F83" s="2">
        <f>E83+14</f>
        <v>46020</v>
      </c>
      <c r="G83" s="331" t="s">
        <v>28</v>
      </c>
      <c r="H83" s="41">
        <v>20400</v>
      </c>
      <c r="I83" s="1" t="s">
        <v>506</v>
      </c>
      <c r="J83" s="1" t="s">
        <v>434</v>
      </c>
      <c r="K83" s="1" t="s">
        <v>31</v>
      </c>
      <c r="L83" s="1">
        <v>85054</v>
      </c>
      <c r="M83" s="1" t="s">
        <v>32</v>
      </c>
      <c r="O83" s="1" t="s">
        <v>507</v>
      </c>
      <c r="P83" s="1" t="s">
        <v>508</v>
      </c>
      <c r="Q83" s="99" t="s">
        <v>509</v>
      </c>
      <c r="R83" s="379">
        <v>112286</v>
      </c>
      <c r="V83" s="4" t="s">
        <v>443</v>
      </c>
      <c r="W83" s="4" t="s">
        <v>37</v>
      </c>
      <c r="X83" s="17" t="s">
        <v>98</v>
      </c>
      <c r="Y83" s="302" t="s">
        <v>99</v>
      </c>
      <c r="Z83" s="167" t="s">
        <v>364</v>
      </c>
    </row>
    <row r="84" spans="1:34" ht="15" customHeight="1">
      <c r="A84" s="358" t="s">
        <v>394</v>
      </c>
      <c r="B84" s="29" t="s">
        <v>157</v>
      </c>
      <c r="C84" s="4" t="s">
        <v>510</v>
      </c>
      <c r="D84" s="2"/>
      <c r="E84" s="232">
        <v>46006</v>
      </c>
      <c r="F84" s="2">
        <f>E84+14</f>
        <v>46020</v>
      </c>
      <c r="G84" s="331" t="s">
        <v>28</v>
      </c>
      <c r="H84" s="41">
        <v>20345</v>
      </c>
      <c r="I84" s="1" t="s">
        <v>506</v>
      </c>
      <c r="J84" s="1" t="s">
        <v>434</v>
      </c>
      <c r="K84" s="1" t="s">
        <v>31</v>
      </c>
      <c r="L84" s="1">
        <v>85054</v>
      </c>
      <c r="M84" s="1" t="s">
        <v>32</v>
      </c>
      <c r="O84" s="1" t="s">
        <v>511</v>
      </c>
      <c r="P84" s="1" t="s">
        <v>512</v>
      </c>
      <c r="Q84" s="99" t="s">
        <v>513</v>
      </c>
      <c r="R84" s="379">
        <v>112288</v>
      </c>
      <c r="V84" s="4" t="s">
        <v>443</v>
      </c>
      <c r="W84" s="4" t="s">
        <v>37</v>
      </c>
      <c r="X84" s="17" t="s">
        <v>98</v>
      </c>
      <c r="Y84" s="302" t="s">
        <v>99</v>
      </c>
      <c r="Z84" s="167" t="s">
        <v>364</v>
      </c>
    </row>
    <row r="85" spans="1:34">
      <c r="A85" s="358" t="s">
        <v>394</v>
      </c>
      <c r="B85" s="29" t="s">
        <v>514</v>
      </c>
      <c r="C85" s="4" t="s">
        <v>515</v>
      </c>
      <c r="D85" s="130" t="s">
        <v>516</v>
      </c>
      <c r="E85" s="232">
        <v>45986</v>
      </c>
      <c r="F85" s="2">
        <f>E85+28</f>
        <v>46014</v>
      </c>
      <c r="G85" s="331" t="s">
        <v>42</v>
      </c>
      <c r="H85" s="41">
        <v>300</v>
      </c>
      <c r="I85" s="1" t="s">
        <v>517</v>
      </c>
      <c r="J85" s="1" t="s">
        <v>434</v>
      </c>
      <c r="K85" s="1" t="s">
        <v>31</v>
      </c>
      <c r="L85" s="1">
        <v>85042</v>
      </c>
      <c r="M85" s="1" t="s">
        <v>32</v>
      </c>
      <c r="O85" s="1" t="s">
        <v>518</v>
      </c>
      <c r="P85" s="1" t="s">
        <v>519</v>
      </c>
      <c r="Q85" s="184" t="s">
        <v>520</v>
      </c>
      <c r="R85" s="412">
        <v>110713</v>
      </c>
      <c r="V85" s="4" t="s">
        <v>443</v>
      </c>
      <c r="W85" s="4" t="s">
        <v>37</v>
      </c>
      <c r="X85" s="17" t="s">
        <v>98</v>
      </c>
      <c r="Y85" s="302" t="s">
        <v>99</v>
      </c>
    </row>
    <row r="86" spans="1:34">
      <c r="A86" s="358" t="s">
        <v>394</v>
      </c>
      <c r="B86" s="29" t="s">
        <v>521</v>
      </c>
      <c r="C86" s="4" t="s">
        <v>522</v>
      </c>
      <c r="E86" s="2">
        <v>46010</v>
      </c>
      <c r="F86" s="2">
        <f>E86+14</f>
        <v>46024</v>
      </c>
      <c r="G86" s="332" t="s">
        <v>42</v>
      </c>
      <c r="H86" s="41">
        <v>1010</v>
      </c>
      <c r="I86" s="1" t="s">
        <v>523</v>
      </c>
      <c r="J86" s="1" t="s">
        <v>434</v>
      </c>
      <c r="K86" s="1" t="s">
        <v>31</v>
      </c>
      <c r="M86" s="1" t="s">
        <v>32</v>
      </c>
      <c r="O86" s="1" t="s">
        <v>524</v>
      </c>
      <c r="P86" s="1" t="s">
        <v>525</v>
      </c>
      <c r="Q86" s="416"/>
      <c r="R86" s="174"/>
      <c r="V86" s="119" t="s">
        <v>36</v>
      </c>
      <c r="W86" s="4" t="s">
        <v>37</v>
      </c>
      <c r="X86" s="17" t="s">
        <v>98</v>
      </c>
      <c r="Y86" s="302" t="s">
        <v>99</v>
      </c>
    </row>
    <row r="87" spans="1:34">
      <c r="A87" s="358" t="s">
        <v>394</v>
      </c>
      <c r="B87" s="102" t="s">
        <v>526</v>
      </c>
      <c r="C87" s="17" t="s">
        <v>527</v>
      </c>
      <c r="D87" s="312" t="s">
        <v>516</v>
      </c>
      <c r="E87" s="232">
        <v>45992</v>
      </c>
      <c r="F87" s="298">
        <f>E87+28</f>
        <v>46020</v>
      </c>
      <c r="G87" s="334" t="s">
        <v>28</v>
      </c>
      <c r="H87" s="299" t="s">
        <v>528</v>
      </c>
      <c r="I87" s="12" t="s">
        <v>529</v>
      </c>
      <c r="J87" s="12" t="s">
        <v>530</v>
      </c>
      <c r="K87" s="12" t="s">
        <v>31</v>
      </c>
      <c r="L87" s="12">
        <v>85087</v>
      </c>
      <c r="M87" s="12" t="s">
        <v>32</v>
      </c>
      <c r="N87" s="410"/>
      <c r="O87" s="12" t="s">
        <v>531</v>
      </c>
      <c r="P87" s="12" t="s">
        <v>532</v>
      </c>
      <c r="Q87" s="396" t="s">
        <v>533</v>
      </c>
      <c r="R87" s="315">
        <v>92886</v>
      </c>
      <c r="S87" s="17"/>
      <c r="T87" s="17"/>
      <c r="U87" s="17"/>
      <c r="V87" s="17" t="s">
        <v>36</v>
      </c>
      <c r="W87" s="17" t="s">
        <v>37</v>
      </c>
      <c r="X87" s="17" t="s">
        <v>98</v>
      </c>
      <c r="Y87" s="302" t="s">
        <v>99</v>
      </c>
      <c r="Z87" s="303" t="s">
        <v>364</v>
      </c>
      <c r="AA87" s="17"/>
      <c r="AB87" s="17"/>
      <c r="AC87" s="17"/>
      <c r="AD87" s="17"/>
      <c r="AE87" s="17"/>
      <c r="AF87" s="17"/>
      <c r="AG87" s="17"/>
      <c r="AH87" s="17"/>
    </row>
    <row r="88" spans="1:34">
      <c r="A88" s="358" t="s">
        <v>394</v>
      </c>
      <c r="B88" s="15" t="s">
        <v>534</v>
      </c>
      <c r="C88" s="4" t="s">
        <v>535</v>
      </c>
      <c r="D88" s="60"/>
      <c r="E88" s="232">
        <v>46007</v>
      </c>
      <c r="F88" s="60">
        <f>E88+14</f>
        <v>46021</v>
      </c>
      <c r="G88" s="333" t="s">
        <v>28</v>
      </c>
      <c r="H88" s="76">
        <v>108</v>
      </c>
      <c r="I88" s="55" t="s">
        <v>536</v>
      </c>
      <c r="J88" s="55" t="s">
        <v>415</v>
      </c>
      <c r="K88" s="55" t="s">
        <v>31</v>
      </c>
      <c r="L88" s="55" t="s">
        <v>537</v>
      </c>
      <c r="M88" s="55" t="s">
        <v>32</v>
      </c>
      <c r="N88" s="56"/>
      <c r="O88" s="55" t="s">
        <v>538</v>
      </c>
      <c r="P88" s="55" t="s">
        <v>539</v>
      </c>
      <c r="Q88" s="377" t="s">
        <v>540</v>
      </c>
      <c r="R88" s="175"/>
      <c r="V88" s="4" t="s">
        <v>443</v>
      </c>
      <c r="W88" s="4" t="s">
        <v>37</v>
      </c>
      <c r="X88" s="17" t="s">
        <v>98</v>
      </c>
      <c r="Y88" s="302" t="s">
        <v>99</v>
      </c>
      <c r="Z88" s="167" t="s">
        <v>364</v>
      </c>
    </row>
    <row r="89" spans="1:34">
      <c r="A89" s="358" t="s">
        <v>394</v>
      </c>
      <c r="B89" s="29" t="s">
        <v>541</v>
      </c>
      <c r="C89" s="4" t="s">
        <v>542</v>
      </c>
      <c r="D89" s="2">
        <v>45141</v>
      </c>
      <c r="E89" s="232">
        <v>46006</v>
      </c>
      <c r="F89" s="2">
        <f>E89+14</f>
        <v>46020</v>
      </c>
      <c r="G89" s="331" t="s">
        <v>42</v>
      </c>
      <c r="I89" s="1" t="s">
        <v>543</v>
      </c>
      <c r="J89" s="1" t="s">
        <v>398</v>
      </c>
      <c r="K89" s="1" t="s">
        <v>31</v>
      </c>
      <c r="L89" s="1">
        <v>85050</v>
      </c>
      <c r="M89" s="1" t="s">
        <v>32</v>
      </c>
      <c r="O89" s="1" t="s">
        <v>544</v>
      </c>
      <c r="P89" s="1" t="s">
        <v>545</v>
      </c>
      <c r="Q89" s="87" t="s">
        <v>546</v>
      </c>
      <c r="R89" s="379">
        <v>111231</v>
      </c>
      <c r="V89" s="4" t="s">
        <v>443</v>
      </c>
      <c r="W89" s="4" t="s">
        <v>37</v>
      </c>
      <c r="X89" s="17" t="s">
        <v>98</v>
      </c>
      <c r="Y89" s="302" t="s">
        <v>99</v>
      </c>
      <c r="Z89" s="167" t="s">
        <v>364</v>
      </c>
    </row>
    <row r="90" spans="1:34" ht="30.75">
      <c r="A90" s="358" t="s">
        <v>394</v>
      </c>
      <c r="B90" s="29" t="s">
        <v>547</v>
      </c>
      <c r="C90" s="4" t="s">
        <v>548</v>
      </c>
      <c r="D90" s="130" t="s">
        <v>516</v>
      </c>
      <c r="E90" s="232">
        <v>45993</v>
      </c>
      <c r="F90" s="2">
        <f>E90+28</f>
        <v>46021</v>
      </c>
      <c r="G90" s="332" t="s">
        <v>42</v>
      </c>
      <c r="H90" s="41">
        <v>34000</v>
      </c>
      <c r="I90" s="1" t="s">
        <v>549</v>
      </c>
      <c r="J90" s="1" t="s">
        <v>434</v>
      </c>
      <c r="K90" s="1" t="s">
        <v>31</v>
      </c>
      <c r="L90" s="1">
        <v>85085</v>
      </c>
      <c r="M90" s="1" t="s">
        <v>32</v>
      </c>
      <c r="N90" s="187"/>
      <c r="O90" s="1" t="s">
        <v>550</v>
      </c>
      <c r="P90" s="1" t="s">
        <v>551</v>
      </c>
      <c r="Q90" s="256" t="s">
        <v>552</v>
      </c>
      <c r="R90" s="31">
        <v>107308</v>
      </c>
      <c r="V90" s="4" t="s">
        <v>36</v>
      </c>
      <c r="W90" s="4" t="s">
        <v>37</v>
      </c>
      <c r="X90" s="17" t="s">
        <v>98</v>
      </c>
      <c r="Y90" s="302" t="s">
        <v>99</v>
      </c>
      <c r="Z90" s="167" t="s">
        <v>364</v>
      </c>
    </row>
    <row r="91" spans="1:34">
      <c r="A91" s="358" t="s">
        <v>394</v>
      </c>
      <c r="B91" s="158" t="s">
        <v>547</v>
      </c>
      <c r="C91" s="158" t="s">
        <v>553</v>
      </c>
      <c r="D91" s="158" t="s">
        <v>554</v>
      </c>
      <c r="E91" s="2">
        <v>46010</v>
      </c>
      <c r="F91" s="2">
        <f>E91+14</f>
        <v>46024</v>
      </c>
      <c r="G91" s="313" t="s">
        <v>42</v>
      </c>
      <c r="H91" s="297">
        <v>3033</v>
      </c>
      <c r="I91" s="297" t="s">
        <v>555</v>
      </c>
      <c r="J91" s="297" t="s">
        <v>69</v>
      </c>
      <c r="K91" s="297" t="s">
        <v>31</v>
      </c>
      <c r="L91" s="158">
        <v>85225</v>
      </c>
      <c r="M91" s="158" t="s">
        <v>32</v>
      </c>
      <c r="N91" s="158" t="s">
        <v>556</v>
      </c>
      <c r="O91" s="158" t="s">
        <v>556</v>
      </c>
      <c r="P91" s="297" t="s">
        <v>557</v>
      </c>
      <c r="Q91" s="129" t="s">
        <v>558</v>
      </c>
      <c r="R91" s="403">
        <v>112540</v>
      </c>
      <c r="S91" s="158" t="s">
        <v>37</v>
      </c>
      <c r="T91" s="158" t="s">
        <v>59</v>
      </c>
      <c r="U91" s="304" t="s">
        <v>39</v>
      </c>
      <c r="V91" s="4" t="s">
        <v>36</v>
      </c>
      <c r="W91" s="4" t="s">
        <v>37</v>
      </c>
      <c r="X91" s="4" t="s">
        <v>98</v>
      </c>
      <c r="Y91" s="235" t="s">
        <v>99</v>
      </c>
      <c r="Z91" s="158" t="s">
        <v>554</v>
      </c>
      <c r="AA91" s="158" t="s">
        <v>554</v>
      </c>
      <c r="AB91" s="158" t="s">
        <v>554</v>
      </c>
      <c r="AC91" s="158" t="s">
        <v>554</v>
      </c>
      <c r="AD91" s="158" t="s">
        <v>554</v>
      </c>
      <c r="AE91" s="158" t="s">
        <v>554</v>
      </c>
      <c r="AF91" s="158" t="s">
        <v>554</v>
      </c>
      <c r="AG91" s="158" t="s">
        <v>554</v>
      </c>
      <c r="AH91" s="158" t="s">
        <v>554</v>
      </c>
    </row>
    <row r="92" spans="1:34">
      <c r="A92" s="358" t="s">
        <v>394</v>
      </c>
      <c r="B92" s="15" t="s">
        <v>559</v>
      </c>
      <c r="C92" s="4" t="s">
        <v>560</v>
      </c>
      <c r="E92" s="2">
        <v>46003</v>
      </c>
      <c r="F92" s="60">
        <f>E92+14</f>
        <v>46017</v>
      </c>
      <c r="G92" s="332" t="s">
        <v>42</v>
      </c>
      <c r="H92" s="41">
        <v>4433</v>
      </c>
      <c r="I92" s="1" t="s">
        <v>561</v>
      </c>
      <c r="J92" s="1" t="s">
        <v>63</v>
      </c>
      <c r="K92" s="1" t="s">
        <v>31</v>
      </c>
      <c r="L92" s="1">
        <v>85218</v>
      </c>
      <c r="M92" s="1" t="s">
        <v>32</v>
      </c>
      <c r="O92" s="1" t="s">
        <v>562</v>
      </c>
      <c r="P92" s="1" t="s">
        <v>563</v>
      </c>
      <c r="Q92" s="87" t="s">
        <v>564</v>
      </c>
      <c r="R92" s="31">
        <v>108299</v>
      </c>
      <c r="V92" s="4" t="s">
        <v>36</v>
      </c>
      <c r="W92" s="4" t="s">
        <v>37</v>
      </c>
      <c r="X92" s="4" t="s">
        <v>98</v>
      </c>
      <c r="Y92" s="235" t="s">
        <v>99</v>
      </c>
    </row>
    <row r="93" spans="1:34">
      <c r="A93" s="358" t="s">
        <v>394</v>
      </c>
      <c r="B93" s="15" t="s">
        <v>565</v>
      </c>
      <c r="C93" s="29" t="s">
        <v>566</v>
      </c>
      <c r="D93" s="2"/>
      <c r="E93" s="232">
        <v>45999</v>
      </c>
      <c r="F93" s="2">
        <f>E93+14</f>
        <v>46013</v>
      </c>
      <c r="G93" s="331" t="s">
        <v>42</v>
      </c>
      <c r="H93" s="1">
        <v>1100</v>
      </c>
      <c r="I93" s="1" t="s">
        <v>567</v>
      </c>
      <c r="J93" s="1" t="s">
        <v>434</v>
      </c>
      <c r="K93" s="1" t="s">
        <v>31</v>
      </c>
      <c r="L93" s="1">
        <v>850344</v>
      </c>
      <c r="M93" s="1" t="s">
        <v>32</v>
      </c>
      <c r="O93" s="1" t="s">
        <v>568</v>
      </c>
      <c r="P93" s="1" t="s">
        <v>569</v>
      </c>
      <c r="Q93" s="129" t="s">
        <v>570</v>
      </c>
      <c r="R93" s="1">
        <v>95016</v>
      </c>
      <c r="V93" s="4" t="s">
        <v>443</v>
      </c>
      <c r="W93" s="4" t="s">
        <v>37</v>
      </c>
      <c r="X93" s="4" t="s">
        <v>98</v>
      </c>
      <c r="Y93" s="235" t="s">
        <v>99</v>
      </c>
      <c r="Z93" s="167" t="s">
        <v>364</v>
      </c>
    </row>
    <row r="94" spans="1:34" ht="18" customHeight="1">
      <c r="A94" s="358" t="s">
        <v>394</v>
      </c>
      <c r="B94" s="29" t="s">
        <v>571</v>
      </c>
      <c r="C94" s="4" t="s">
        <v>572</v>
      </c>
      <c r="E94" s="232">
        <v>45999</v>
      </c>
      <c r="F94" s="2">
        <f>E94+14</f>
        <v>46013</v>
      </c>
      <c r="G94" s="332" t="s">
        <v>42</v>
      </c>
      <c r="H94" s="41">
        <v>7500</v>
      </c>
      <c r="I94" s="1" t="s">
        <v>573</v>
      </c>
      <c r="J94" s="1" t="s">
        <v>434</v>
      </c>
      <c r="K94" s="1" t="s">
        <v>31</v>
      </c>
      <c r="L94" s="1">
        <v>85040</v>
      </c>
      <c r="M94" s="1" t="s">
        <v>32</v>
      </c>
      <c r="O94" s="1" t="s">
        <v>574</v>
      </c>
      <c r="P94" s="1" t="s">
        <v>575</v>
      </c>
      <c r="Q94" s="87" t="s">
        <v>576</v>
      </c>
      <c r="R94" s="178">
        <v>93260</v>
      </c>
      <c r="V94" s="4" t="s">
        <v>443</v>
      </c>
      <c r="W94" s="4" t="s">
        <v>37</v>
      </c>
      <c r="X94" s="4" t="s">
        <v>98</v>
      </c>
      <c r="Y94" s="235" t="s">
        <v>99</v>
      </c>
      <c r="Z94" s="167" t="s">
        <v>364</v>
      </c>
    </row>
    <row r="95" spans="1:34" ht="15.75" customHeight="1">
      <c r="A95" s="358" t="s">
        <v>394</v>
      </c>
      <c r="B95" s="15" t="s">
        <v>577</v>
      </c>
      <c r="C95" s="29" t="s">
        <v>578</v>
      </c>
      <c r="D95" s="26"/>
      <c r="E95" s="2">
        <v>46003</v>
      </c>
      <c r="F95" s="2">
        <f>E95+14</f>
        <v>46017</v>
      </c>
      <c r="G95" s="42" t="s">
        <v>42</v>
      </c>
      <c r="H95" s="1">
        <v>810</v>
      </c>
      <c r="I95" s="1" t="s">
        <v>579</v>
      </c>
      <c r="J95" s="1" t="s">
        <v>580</v>
      </c>
      <c r="K95" s="1" t="s">
        <v>31</v>
      </c>
      <c r="L95" s="1">
        <v>85210</v>
      </c>
      <c r="M95" s="1" t="s">
        <v>76</v>
      </c>
      <c r="O95" s="1" t="s">
        <v>581</v>
      </c>
      <c r="P95" s="1" t="s">
        <v>582</v>
      </c>
      <c r="Q95" s="255" t="s">
        <v>583</v>
      </c>
      <c r="R95" s="258">
        <v>112779</v>
      </c>
      <c r="V95" s="4" t="s">
        <v>36</v>
      </c>
      <c r="W95" s="4" t="s">
        <v>37</v>
      </c>
      <c r="X95" s="4" t="s">
        <v>98</v>
      </c>
      <c r="Y95" s="235" t="s">
        <v>99</v>
      </c>
    </row>
    <row r="96" spans="1:34">
      <c r="A96" s="358" t="s">
        <v>394</v>
      </c>
      <c r="B96" s="29" t="s">
        <v>194</v>
      </c>
      <c r="C96" s="4" t="s">
        <v>584</v>
      </c>
      <c r="E96" s="232">
        <v>46000</v>
      </c>
      <c r="F96" s="2">
        <f>E96+14</f>
        <v>46014</v>
      </c>
      <c r="G96" s="332" t="s">
        <v>42</v>
      </c>
      <c r="H96" s="41">
        <v>19400</v>
      </c>
      <c r="I96" s="1" t="s">
        <v>585</v>
      </c>
      <c r="J96" s="1" t="s">
        <v>434</v>
      </c>
      <c r="K96" s="1" t="s">
        <v>31</v>
      </c>
      <c r="L96" s="1">
        <v>85054</v>
      </c>
      <c r="M96" s="1" t="s">
        <v>32</v>
      </c>
      <c r="O96" s="1" t="s">
        <v>586</v>
      </c>
      <c r="P96" s="1" t="s">
        <v>587</v>
      </c>
      <c r="Q96" s="360" t="s">
        <v>588</v>
      </c>
      <c r="R96" s="379">
        <v>111073</v>
      </c>
      <c r="V96" s="4" t="s">
        <v>36</v>
      </c>
      <c r="W96" s="4" t="s">
        <v>37</v>
      </c>
      <c r="X96" s="4" t="s">
        <v>98</v>
      </c>
      <c r="Y96" s="235" t="s">
        <v>99</v>
      </c>
    </row>
    <row r="97" spans="1:26" ht="18" customHeight="1">
      <c r="A97" s="358" t="s">
        <v>394</v>
      </c>
      <c r="B97" s="349" t="s">
        <v>589</v>
      </c>
      <c r="C97" s="348" t="s">
        <v>590</v>
      </c>
      <c r="D97" s="312"/>
      <c r="E97" s="2">
        <v>46009</v>
      </c>
      <c r="F97" s="2">
        <f>E97+14</f>
        <v>46023</v>
      </c>
      <c r="G97" s="232" t="s">
        <v>42</v>
      </c>
      <c r="H97" s="41">
        <v>3435</v>
      </c>
      <c r="I97" s="25" t="s">
        <v>591</v>
      </c>
      <c r="J97" s="1" t="s">
        <v>434</v>
      </c>
      <c r="K97" s="1" t="s">
        <v>31</v>
      </c>
      <c r="L97" s="1">
        <v>85041</v>
      </c>
      <c r="M97" s="1" t="s">
        <v>32</v>
      </c>
      <c r="O97" s="1" t="s">
        <v>592</v>
      </c>
      <c r="P97" s="1" t="s">
        <v>593</v>
      </c>
      <c r="Q97" s="173"/>
      <c r="R97" s="174"/>
      <c r="S97" s="271"/>
      <c r="T97" s="271"/>
      <c r="U97" s="271"/>
      <c r="V97" s="4" t="s">
        <v>36</v>
      </c>
      <c r="W97" s="4" t="s">
        <v>37</v>
      </c>
      <c r="X97" s="4" t="s">
        <v>98</v>
      </c>
      <c r="Y97" s="235" t="s">
        <v>99</v>
      </c>
    </row>
    <row r="98" spans="1:26">
      <c r="A98" s="358" t="s">
        <v>394</v>
      </c>
      <c r="B98" s="29" t="s">
        <v>594</v>
      </c>
      <c r="C98" s="4" t="s">
        <v>595</v>
      </c>
      <c r="E98" s="2">
        <v>46000</v>
      </c>
      <c r="F98" s="2">
        <f>E98+14</f>
        <v>46014</v>
      </c>
      <c r="G98" s="332" t="s">
        <v>28</v>
      </c>
      <c r="H98" s="41">
        <v>6464</v>
      </c>
      <c r="I98" s="1" t="s">
        <v>596</v>
      </c>
      <c r="J98" s="1" t="s">
        <v>434</v>
      </c>
      <c r="K98" s="1" t="s">
        <v>31</v>
      </c>
      <c r="L98" s="1">
        <v>85054</v>
      </c>
      <c r="M98" s="1" t="s">
        <v>32</v>
      </c>
      <c r="O98" s="25" t="s">
        <v>597</v>
      </c>
      <c r="P98" s="1" t="s">
        <v>598</v>
      </c>
      <c r="Q98" s="87" t="s">
        <v>599</v>
      </c>
      <c r="R98" s="379">
        <v>112194</v>
      </c>
      <c r="V98" s="4" t="s">
        <v>36</v>
      </c>
      <c r="W98" s="4" t="s">
        <v>37</v>
      </c>
      <c r="X98" s="4" t="s">
        <v>98</v>
      </c>
      <c r="Y98" s="235" t="s">
        <v>99</v>
      </c>
    </row>
    <row r="99" spans="1:26" ht="19.5" customHeight="1">
      <c r="A99" s="358" t="s">
        <v>394</v>
      </c>
      <c r="B99" s="15" t="s">
        <v>226</v>
      </c>
      <c r="C99" s="29" t="s">
        <v>600</v>
      </c>
      <c r="D99" s="26">
        <v>45554</v>
      </c>
      <c r="E99" s="232">
        <v>45999</v>
      </c>
      <c r="F99" s="2">
        <f>E99+14</f>
        <v>46013</v>
      </c>
      <c r="G99" s="41" t="s">
        <v>42</v>
      </c>
      <c r="H99" s="1">
        <v>1480</v>
      </c>
      <c r="I99" s="1" t="s">
        <v>601</v>
      </c>
      <c r="J99" s="1" t="s">
        <v>415</v>
      </c>
      <c r="K99" s="1" t="s">
        <v>31</v>
      </c>
      <c r="L99" s="1">
        <v>85288</v>
      </c>
      <c r="M99" s="1" t="s">
        <v>32</v>
      </c>
      <c r="O99" s="1" t="s">
        <v>602</v>
      </c>
      <c r="P99" s="1" t="s">
        <v>603</v>
      </c>
      <c r="Q99" s="184" t="s">
        <v>604</v>
      </c>
      <c r="R99" s="258">
        <v>112516</v>
      </c>
      <c r="V99" s="4" t="s">
        <v>36</v>
      </c>
      <c r="W99" s="4" t="s">
        <v>37</v>
      </c>
      <c r="X99" s="4" t="s">
        <v>98</v>
      </c>
      <c r="Y99" s="235" t="s">
        <v>99</v>
      </c>
    </row>
    <row r="100" spans="1:26">
      <c r="A100" s="358" t="s">
        <v>394</v>
      </c>
      <c r="B100" s="29" t="s">
        <v>226</v>
      </c>
      <c r="C100" s="4" t="s">
        <v>605</v>
      </c>
      <c r="D100" s="2"/>
      <c r="E100" s="232">
        <v>45999</v>
      </c>
      <c r="F100" s="2">
        <f>E100+14</f>
        <v>46013</v>
      </c>
      <c r="G100" s="332" t="s">
        <v>28</v>
      </c>
      <c r="H100" s="41" t="s">
        <v>379</v>
      </c>
      <c r="I100" s="1" t="s">
        <v>606</v>
      </c>
      <c r="J100" s="1" t="s">
        <v>434</v>
      </c>
      <c r="K100" s="1" t="s">
        <v>31</v>
      </c>
      <c r="L100" s="1">
        <v>85016</v>
      </c>
      <c r="M100" s="1" t="s">
        <v>32</v>
      </c>
      <c r="O100" s="1" t="s">
        <v>607</v>
      </c>
      <c r="P100" s="1" t="s">
        <v>608</v>
      </c>
      <c r="Q100" s="87" t="s">
        <v>609</v>
      </c>
      <c r="R100" s="379">
        <v>111716</v>
      </c>
      <c r="V100" s="4" t="s">
        <v>443</v>
      </c>
      <c r="W100" s="4" t="s">
        <v>37</v>
      </c>
      <c r="X100" s="17" t="s">
        <v>98</v>
      </c>
      <c r="Y100" s="302" t="s">
        <v>99</v>
      </c>
      <c r="Z100" s="167"/>
    </row>
    <row r="101" spans="1:26" ht="16.5" customHeight="1">
      <c r="A101" s="361" t="s">
        <v>394</v>
      </c>
      <c r="B101" s="29" t="s">
        <v>226</v>
      </c>
      <c r="C101" s="342" t="s">
        <v>610</v>
      </c>
      <c r="D101" s="2"/>
      <c r="E101" s="232">
        <v>46006</v>
      </c>
      <c r="F101" s="341">
        <f>E101+7</f>
        <v>46013</v>
      </c>
      <c r="G101" s="332" t="s">
        <v>28</v>
      </c>
      <c r="H101" s="41">
        <v>17408</v>
      </c>
      <c r="I101" s="1" t="s">
        <v>611</v>
      </c>
      <c r="J101" s="1" t="s">
        <v>612</v>
      </c>
      <c r="K101" s="1" t="s">
        <v>31</v>
      </c>
      <c r="L101" s="1">
        <v>85340</v>
      </c>
      <c r="M101" s="1" t="s">
        <v>32</v>
      </c>
      <c r="O101" s="1" t="s">
        <v>613</v>
      </c>
      <c r="P101" s="1" t="s">
        <v>614</v>
      </c>
      <c r="Q101" s="98" t="s">
        <v>615</v>
      </c>
      <c r="R101" s="379">
        <v>112982</v>
      </c>
      <c r="V101" s="4" t="s">
        <v>443</v>
      </c>
      <c r="W101" s="4" t="s">
        <v>37</v>
      </c>
      <c r="X101" s="4" t="s">
        <v>616</v>
      </c>
      <c r="Y101" s="235" t="s">
        <v>617</v>
      </c>
      <c r="Z101" s="167" t="s">
        <v>364</v>
      </c>
    </row>
    <row r="102" spans="1:26">
      <c r="A102" s="358" t="s">
        <v>394</v>
      </c>
      <c r="B102" s="102" t="s">
        <v>618</v>
      </c>
      <c r="C102" s="17" t="s">
        <v>619</v>
      </c>
      <c r="D102" s="312"/>
      <c r="E102" s="2">
        <v>46009</v>
      </c>
      <c r="F102" s="298">
        <f>E102+14</f>
        <v>46023</v>
      </c>
      <c r="G102" s="328" t="s">
        <v>42</v>
      </c>
      <c r="H102" s="299">
        <v>217</v>
      </c>
      <c r="I102" s="12" t="s">
        <v>620</v>
      </c>
      <c r="J102" s="12" t="s">
        <v>415</v>
      </c>
      <c r="K102" s="12" t="s">
        <v>31</v>
      </c>
      <c r="L102" s="12"/>
      <c r="M102" s="12" t="s">
        <v>32</v>
      </c>
      <c r="N102" s="17"/>
      <c r="O102" s="306" t="s">
        <v>621</v>
      </c>
      <c r="P102" s="306" t="s">
        <v>622</v>
      </c>
      <c r="Q102" s="317" t="s">
        <v>623</v>
      </c>
      <c r="R102" s="319">
        <v>108688</v>
      </c>
      <c r="S102" s="17"/>
      <c r="T102" s="17"/>
      <c r="U102" s="17"/>
      <c r="V102" s="276" t="s">
        <v>36</v>
      </c>
      <c r="W102" s="276" t="s">
        <v>37</v>
      </c>
      <c r="X102" s="17" t="s">
        <v>98</v>
      </c>
      <c r="Y102" s="302" t="s">
        <v>99</v>
      </c>
      <c r="Z102" s="17"/>
    </row>
    <row r="103" spans="1:26">
      <c r="A103" s="358" t="s">
        <v>394</v>
      </c>
      <c r="B103" s="29" t="s">
        <v>236</v>
      </c>
      <c r="C103" s="4" t="s">
        <v>624</v>
      </c>
      <c r="E103" s="2">
        <v>46000</v>
      </c>
      <c r="F103" s="2">
        <f>E103+14</f>
        <v>46014</v>
      </c>
      <c r="G103" s="332" t="s">
        <v>42</v>
      </c>
      <c r="H103" s="41">
        <v>835</v>
      </c>
      <c r="I103" s="1" t="s">
        <v>625</v>
      </c>
      <c r="J103" s="1" t="s">
        <v>415</v>
      </c>
      <c r="K103" s="1" t="s">
        <v>31</v>
      </c>
      <c r="L103" s="1">
        <v>85284</v>
      </c>
      <c r="M103" s="1" t="s">
        <v>32</v>
      </c>
      <c r="O103" s="1" t="s">
        <v>626</v>
      </c>
      <c r="P103" s="1" t="s">
        <v>627</v>
      </c>
      <c r="Q103" s="129" t="s">
        <v>628</v>
      </c>
      <c r="R103" s="379">
        <v>110835</v>
      </c>
      <c r="V103" s="4" t="s">
        <v>36</v>
      </c>
      <c r="W103" s="4" t="s">
        <v>37</v>
      </c>
      <c r="X103" s="4" t="s">
        <v>98</v>
      </c>
      <c r="Y103" s="235" t="s">
        <v>99</v>
      </c>
    </row>
    <row r="104" spans="1:26">
      <c r="A104" s="358" t="s">
        <v>394</v>
      </c>
      <c r="B104" s="29" t="s">
        <v>236</v>
      </c>
      <c r="C104" s="4" t="s">
        <v>629</v>
      </c>
      <c r="E104" s="2">
        <v>46000</v>
      </c>
      <c r="F104" s="2">
        <f>E104+14</f>
        <v>46014</v>
      </c>
      <c r="G104" s="332" t="s">
        <v>42</v>
      </c>
      <c r="H104" s="41">
        <v>7600</v>
      </c>
      <c r="I104" s="1" t="s">
        <v>630</v>
      </c>
      <c r="J104" s="1" t="s">
        <v>398</v>
      </c>
      <c r="K104" s="1" t="s">
        <v>31</v>
      </c>
      <c r="L104" s="1">
        <v>85260</v>
      </c>
      <c r="M104" s="1" t="s">
        <v>32</v>
      </c>
      <c r="O104" s="1" t="s">
        <v>631</v>
      </c>
      <c r="P104" s="1" t="s">
        <v>632</v>
      </c>
      <c r="Q104" s="184" t="s">
        <v>633</v>
      </c>
      <c r="R104" s="174"/>
      <c r="V104" s="119" t="s">
        <v>36</v>
      </c>
      <c r="W104" s="4" t="s">
        <v>37</v>
      </c>
      <c r="X104" s="4" t="s">
        <v>98</v>
      </c>
      <c r="Y104" s="235" t="s">
        <v>99</v>
      </c>
    </row>
    <row r="105" spans="1:26" ht="16.5" customHeight="1">
      <c r="A105" s="358" t="s">
        <v>394</v>
      </c>
      <c r="B105" s="29" t="s">
        <v>236</v>
      </c>
      <c r="C105" s="4" t="s">
        <v>634</v>
      </c>
      <c r="D105" s="91" t="s">
        <v>364</v>
      </c>
      <c r="E105" s="2">
        <v>46001</v>
      </c>
      <c r="F105" s="2">
        <f>E105+14</f>
        <v>46015</v>
      </c>
      <c r="G105" s="332" t="s">
        <v>42</v>
      </c>
      <c r="H105" s="41">
        <v>17761</v>
      </c>
      <c r="I105" s="1" t="s">
        <v>635</v>
      </c>
      <c r="J105" s="1" t="s">
        <v>398</v>
      </c>
      <c r="K105" s="41" t="s">
        <v>31</v>
      </c>
      <c r="L105" s="41">
        <v>85255</v>
      </c>
      <c r="M105" s="41" t="s">
        <v>32</v>
      </c>
      <c r="O105" s="4" t="s">
        <v>636</v>
      </c>
      <c r="P105" s="1" t="s">
        <v>637</v>
      </c>
      <c r="Q105" s="87" t="s">
        <v>638</v>
      </c>
      <c r="R105" s="379">
        <v>106798</v>
      </c>
      <c r="V105" s="4" t="s">
        <v>36</v>
      </c>
      <c r="W105" s="4" t="s">
        <v>37</v>
      </c>
      <c r="X105" s="4" t="s">
        <v>98</v>
      </c>
      <c r="Y105" s="235" t="s">
        <v>99</v>
      </c>
    </row>
    <row r="106" spans="1:26">
      <c r="A106" s="358" t="s">
        <v>394</v>
      </c>
      <c r="B106" s="29" t="s">
        <v>236</v>
      </c>
      <c r="C106" s="4" t="s">
        <v>639</v>
      </c>
      <c r="D106" s="91" t="s">
        <v>364</v>
      </c>
      <c r="E106" s="2">
        <v>46007</v>
      </c>
      <c r="F106" s="2">
        <f>E106+14</f>
        <v>46021</v>
      </c>
      <c r="G106" s="332" t="s">
        <v>42</v>
      </c>
      <c r="H106" s="41">
        <v>7410</v>
      </c>
      <c r="I106" s="1" t="s">
        <v>640</v>
      </c>
      <c r="J106" s="1" t="s">
        <v>398</v>
      </c>
      <c r="K106" s="41" t="s">
        <v>31</v>
      </c>
      <c r="L106" s="41">
        <v>85260</v>
      </c>
      <c r="M106" s="41" t="s">
        <v>32</v>
      </c>
      <c r="O106" s="4" t="s">
        <v>641</v>
      </c>
      <c r="P106" s="1" t="s">
        <v>642</v>
      </c>
      <c r="Q106" s="263"/>
      <c r="R106" s="174"/>
      <c r="V106" s="4" t="s">
        <v>36</v>
      </c>
      <c r="W106" s="4" t="s">
        <v>37</v>
      </c>
      <c r="X106" s="4" t="s">
        <v>98</v>
      </c>
      <c r="Y106" s="235" t="s">
        <v>99</v>
      </c>
    </row>
    <row r="107" spans="1:26" ht="18" customHeight="1">
      <c r="A107" s="358" t="s">
        <v>394</v>
      </c>
      <c r="B107" s="29" t="s">
        <v>236</v>
      </c>
      <c r="C107" s="4" t="s">
        <v>643</v>
      </c>
      <c r="E107" s="2">
        <v>46009</v>
      </c>
      <c r="F107" s="2">
        <f>E107+14</f>
        <v>46023</v>
      </c>
      <c r="G107" s="332" t="s">
        <v>42</v>
      </c>
      <c r="H107" s="41">
        <v>1400</v>
      </c>
      <c r="I107" s="1" t="s">
        <v>644</v>
      </c>
      <c r="J107" s="1" t="s">
        <v>415</v>
      </c>
      <c r="K107" s="1" t="s">
        <v>31</v>
      </c>
      <c r="L107" s="1">
        <v>85281</v>
      </c>
      <c r="M107" s="1" t="s">
        <v>32</v>
      </c>
      <c r="O107" s="1" t="s">
        <v>645</v>
      </c>
      <c r="P107" s="1" t="s">
        <v>646</v>
      </c>
      <c r="Q107" s="184" t="s">
        <v>647</v>
      </c>
      <c r="R107" s="379">
        <v>110841</v>
      </c>
      <c r="V107" s="271" t="s">
        <v>36</v>
      </c>
      <c r="W107" s="4" t="s">
        <v>37</v>
      </c>
      <c r="X107" s="4" t="s">
        <v>98</v>
      </c>
      <c r="Y107" s="235" t="s">
        <v>99</v>
      </c>
    </row>
    <row r="108" spans="1:26">
      <c r="A108" s="358" t="s">
        <v>394</v>
      </c>
      <c r="B108" s="29" t="s">
        <v>236</v>
      </c>
      <c r="C108" s="350" t="s">
        <v>648</v>
      </c>
      <c r="E108" s="2">
        <v>46010</v>
      </c>
      <c r="F108" s="2">
        <f>E108+14</f>
        <v>46024</v>
      </c>
      <c r="G108" s="332" t="s">
        <v>649</v>
      </c>
      <c r="H108" s="41">
        <v>2615</v>
      </c>
      <c r="I108" s="1" t="s">
        <v>650</v>
      </c>
      <c r="J108" s="1" t="s">
        <v>434</v>
      </c>
      <c r="K108" s="1" t="s">
        <v>31</v>
      </c>
      <c r="L108" s="1">
        <v>85050</v>
      </c>
      <c r="M108" s="1" t="s">
        <v>32</v>
      </c>
      <c r="O108" s="1" t="s">
        <v>626</v>
      </c>
      <c r="P108" s="1" t="s">
        <v>651</v>
      </c>
      <c r="Q108" s="4"/>
      <c r="R108" s="174"/>
      <c r="V108" s="4" t="s">
        <v>36</v>
      </c>
      <c r="W108" s="4" t="s">
        <v>37</v>
      </c>
      <c r="X108" s="4" t="s">
        <v>98</v>
      </c>
      <c r="Y108" s="235" t="s">
        <v>99</v>
      </c>
    </row>
    <row r="109" spans="1:26">
      <c r="A109" s="358" t="s">
        <v>394</v>
      </c>
      <c r="B109" s="70" t="s">
        <v>258</v>
      </c>
      <c r="C109" t="s">
        <v>652</v>
      </c>
      <c r="E109" s="2">
        <v>46003</v>
      </c>
      <c r="F109" s="2">
        <f>E109+14</f>
        <v>46017</v>
      </c>
      <c r="G109" s="331" t="s">
        <v>42</v>
      </c>
      <c r="H109" s="41">
        <v>2055</v>
      </c>
      <c r="I109" s="25" t="s">
        <v>653</v>
      </c>
      <c r="J109" s="1" t="s">
        <v>63</v>
      </c>
      <c r="K109" s="1" t="s">
        <v>31</v>
      </c>
      <c r="L109" s="1">
        <v>85201</v>
      </c>
      <c r="M109" s="1" t="s">
        <v>32</v>
      </c>
      <c r="O109" s="1" t="s">
        <v>654</v>
      </c>
      <c r="P109" s="1" t="s">
        <v>655</v>
      </c>
      <c r="Q109" s="184" t="s">
        <v>656</v>
      </c>
      <c r="R109" s="31">
        <v>103314</v>
      </c>
      <c r="V109" s="4" t="s">
        <v>36</v>
      </c>
      <c r="W109" s="4" t="s">
        <v>37</v>
      </c>
      <c r="X109" s="17" t="s">
        <v>98</v>
      </c>
      <c r="Y109" s="302" t="s">
        <v>99</v>
      </c>
    </row>
    <row r="110" spans="1:26">
      <c r="A110" s="358" t="s">
        <v>394</v>
      </c>
      <c r="B110" s="29" t="s">
        <v>258</v>
      </c>
      <c r="C110" s="4" t="s">
        <v>657</v>
      </c>
      <c r="E110" s="232">
        <v>46006</v>
      </c>
      <c r="F110" s="2">
        <f>E110+14</f>
        <v>46020</v>
      </c>
      <c r="G110" s="331" t="s">
        <v>42</v>
      </c>
      <c r="H110" s="41">
        <v>1300</v>
      </c>
      <c r="I110" s="1" t="s">
        <v>658</v>
      </c>
      <c r="J110" s="1" t="s">
        <v>434</v>
      </c>
      <c r="K110" s="1" t="s">
        <v>31</v>
      </c>
      <c r="M110" s="1" t="s">
        <v>32</v>
      </c>
      <c r="O110" s="1" t="s">
        <v>659</v>
      </c>
      <c r="P110" s="1" t="s">
        <v>660</v>
      </c>
      <c r="Q110" s="87" t="s">
        <v>661</v>
      </c>
      <c r="R110" s="31">
        <v>104974</v>
      </c>
      <c r="V110" s="4" t="s">
        <v>36</v>
      </c>
      <c r="W110" s="4" t="s">
        <v>37</v>
      </c>
      <c r="X110" s="4" t="s">
        <v>98</v>
      </c>
      <c r="Y110" s="235" t="s">
        <v>99</v>
      </c>
    </row>
    <row r="111" spans="1:26">
      <c r="A111" s="358" t="s">
        <v>394</v>
      </c>
      <c r="B111" s="70" t="s">
        <v>258</v>
      </c>
      <c r="C111" s="4" t="s">
        <v>662</v>
      </c>
      <c r="D111" s="130">
        <v>45762</v>
      </c>
      <c r="E111" s="2">
        <v>46010</v>
      </c>
      <c r="F111" s="2">
        <f>E111+14</f>
        <v>46024</v>
      </c>
      <c r="G111" s="332" t="s">
        <v>42</v>
      </c>
      <c r="H111" s="41">
        <v>6824</v>
      </c>
      <c r="I111" s="1" t="s">
        <v>663</v>
      </c>
      <c r="J111" s="1" t="s">
        <v>398</v>
      </c>
      <c r="K111" s="1" t="s">
        <v>31</v>
      </c>
      <c r="L111" s="1">
        <v>85251</v>
      </c>
      <c r="M111" s="1" t="s">
        <v>32</v>
      </c>
      <c r="O111" s="1" t="s">
        <v>664</v>
      </c>
      <c r="P111" s="1" t="s">
        <v>665</v>
      </c>
      <c r="Q111" s="87" t="s">
        <v>666</v>
      </c>
      <c r="R111" s="31">
        <v>107130</v>
      </c>
      <c r="V111" s="4" t="s">
        <v>36</v>
      </c>
      <c r="W111" s="4" t="s">
        <v>37</v>
      </c>
      <c r="X111" s="4" t="s">
        <v>98</v>
      </c>
      <c r="Y111" s="235" t="s">
        <v>99</v>
      </c>
    </row>
    <row r="112" spans="1:26">
      <c r="A112" s="358" t="s">
        <v>394</v>
      </c>
      <c r="B112" s="29" t="s">
        <v>258</v>
      </c>
      <c r="C112" s="4" t="s">
        <v>667</v>
      </c>
      <c r="E112" s="2">
        <v>46010</v>
      </c>
      <c r="F112" s="2">
        <f>E112+14</f>
        <v>46024</v>
      </c>
      <c r="G112" s="332" t="s">
        <v>42</v>
      </c>
      <c r="H112" s="42" t="s">
        <v>528</v>
      </c>
      <c r="I112" s="1" t="s">
        <v>668</v>
      </c>
      <c r="J112" s="1" t="s">
        <v>63</v>
      </c>
      <c r="K112" s="1" t="s">
        <v>31</v>
      </c>
      <c r="L112" s="1">
        <v>85213</v>
      </c>
      <c r="M112" s="1" t="s">
        <v>32</v>
      </c>
      <c r="O112" s="1" t="s">
        <v>669</v>
      </c>
      <c r="P112" s="1" t="s">
        <v>670</v>
      </c>
      <c r="Q112" s="184" t="s">
        <v>671</v>
      </c>
      <c r="R112" s="174"/>
      <c r="V112" s="4" t="s">
        <v>36</v>
      </c>
      <c r="W112" s="4" t="s">
        <v>37</v>
      </c>
      <c r="X112" s="4" t="s">
        <v>98</v>
      </c>
      <c r="Y112" s="235" t="s">
        <v>99</v>
      </c>
    </row>
    <row r="113" spans="1:38">
      <c r="A113" s="358" t="s">
        <v>394</v>
      </c>
      <c r="B113" s="15" t="s">
        <v>672</v>
      </c>
      <c r="C113" s="4" t="s">
        <v>673</v>
      </c>
      <c r="D113" s="60"/>
      <c r="E113" s="232">
        <v>45999</v>
      </c>
      <c r="F113" s="60">
        <f>E113+14</f>
        <v>46013</v>
      </c>
      <c r="G113" s="335" t="s">
        <v>42</v>
      </c>
      <c r="H113" s="76">
        <v>4700</v>
      </c>
      <c r="I113" s="55" t="s">
        <v>674</v>
      </c>
      <c r="J113" s="55" t="s">
        <v>434</v>
      </c>
      <c r="K113" s="55" t="s">
        <v>31</v>
      </c>
      <c r="L113" s="55" t="s">
        <v>675</v>
      </c>
      <c r="M113" s="55" t="s">
        <v>32</v>
      </c>
      <c r="N113" s="56"/>
      <c r="O113" s="55" t="s">
        <v>676</v>
      </c>
      <c r="P113" s="55" t="s">
        <v>677</v>
      </c>
      <c r="Q113" s="89" t="s">
        <v>678</v>
      </c>
      <c r="R113" s="175"/>
      <c r="V113" s="4" t="s">
        <v>443</v>
      </c>
      <c r="W113" s="4" t="s">
        <v>37</v>
      </c>
      <c r="X113" s="4" t="s">
        <v>98</v>
      </c>
      <c r="Y113" s="235" t="s">
        <v>99</v>
      </c>
      <c r="Z113" s="167" t="s">
        <v>364</v>
      </c>
    </row>
    <row r="114" spans="1:38">
      <c r="A114" s="358" t="s">
        <v>394</v>
      </c>
      <c r="B114" s="15" t="s">
        <v>276</v>
      </c>
      <c r="C114" s="29" t="s">
        <v>679</v>
      </c>
      <c r="D114" s="232"/>
      <c r="E114" s="232">
        <v>46007</v>
      </c>
      <c r="F114" s="2">
        <f>E114+14</f>
        <v>46021</v>
      </c>
      <c r="G114" s="332" t="s">
        <v>42</v>
      </c>
      <c r="H114" s="1">
        <v>2225</v>
      </c>
      <c r="I114" s="1" t="s">
        <v>680</v>
      </c>
      <c r="J114" s="1" t="s">
        <v>434</v>
      </c>
      <c r="K114" s="1" t="s">
        <v>31</v>
      </c>
      <c r="L114" s="1">
        <v>85027</v>
      </c>
      <c r="M114" s="1" t="s">
        <v>32</v>
      </c>
      <c r="O114" s="1" t="s">
        <v>681</v>
      </c>
      <c r="P114" s="1" t="s">
        <v>682</v>
      </c>
      <c r="Q114" s="184" t="s">
        <v>683</v>
      </c>
      <c r="R114" s="173"/>
      <c r="V114" s="4" t="s">
        <v>443</v>
      </c>
      <c r="W114" s="4" t="s">
        <v>37</v>
      </c>
      <c r="X114" s="4" t="s">
        <v>98</v>
      </c>
      <c r="Y114" s="235" t="s">
        <v>99</v>
      </c>
      <c r="Z114" s="168"/>
    </row>
    <row r="115" spans="1:38">
      <c r="A115" s="358" t="s">
        <v>394</v>
      </c>
      <c r="B115" s="15" t="s">
        <v>684</v>
      </c>
      <c r="C115" s="29" t="s">
        <v>685</v>
      </c>
      <c r="D115" s="1"/>
      <c r="E115" s="2">
        <v>46000</v>
      </c>
      <c r="F115" s="2">
        <f>E115+14</f>
        <v>46014</v>
      </c>
      <c r="G115" s="41" t="s">
        <v>28</v>
      </c>
      <c r="H115" s="1">
        <v>4220</v>
      </c>
      <c r="I115" s="1" t="s">
        <v>686</v>
      </c>
      <c r="J115" s="1" t="s">
        <v>434</v>
      </c>
      <c r="K115" s="1" t="s">
        <v>31</v>
      </c>
      <c r="M115" s="1" t="s">
        <v>32</v>
      </c>
      <c r="O115" s="1" t="s">
        <v>687</v>
      </c>
      <c r="P115" s="1" t="s">
        <v>688</v>
      </c>
      <c r="Q115" s="87" t="s">
        <v>689</v>
      </c>
      <c r="R115" s="1">
        <v>92172</v>
      </c>
      <c r="V115" s="4" t="s">
        <v>443</v>
      </c>
      <c r="W115" s="4" t="s">
        <v>37</v>
      </c>
      <c r="X115" s="4" t="s">
        <v>98</v>
      </c>
      <c r="Y115" s="235" t="s">
        <v>99</v>
      </c>
      <c r="Z115" s="167" t="s">
        <v>364</v>
      </c>
    </row>
    <row r="116" spans="1:38">
      <c r="A116" s="358" t="s">
        <v>394</v>
      </c>
      <c r="B116" s="29" t="s">
        <v>690</v>
      </c>
      <c r="C116" s="4" t="s">
        <v>691</v>
      </c>
      <c r="D116" s="130">
        <v>45743</v>
      </c>
      <c r="E116" s="2">
        <v>45986</v>
      </c>
      <c r="F116" s="2">
        <f>E116+28</f>
        <v>46014</v>
      </c>
      <c r="G116" s="332" t="s">
        <v>42</v>
      </c>
      <c r="H116" s="41">
        <v>6001</v>
      </c>
      <c r="I116" s="1" t="s">
        <v>692</v>
      </c>
      <c r="J116" s="1" t="s">
        <v>398</v>
      </c>
      <c r="K116" s="1" t="s">
        <v>31</v>
      </c>
      <c r="L116" s="1">
        <v>85254</v>
      </c>
      <c r="M116" s="1" t="s">
        <v>32</v>
      </c>
      <c r="O116" s="1" t="s">
        <v>693</v>
      </c>
      <c r="P116" s="1" t="s">
        <v>694</v>
      </c>
      <c r="Q116" s="87" t="s">
        <v>695</v>
      </c>
      <c r="R116" s="379">
        <v>110737</v>
      </c>
      <c r="V116" s="4" t="s">
        <v>36</v>
      </c>
      <c r="W116" s="4" t="s">
        <v>37</v>
      </c>
      <c r="X116" s="4" t="s">
        <v>98</v>
      </c>
      <c r="Y116" s="235" t="s">
        <v>99</v>
      </c>
    </row>
    <row r="117" spans="1:38">
      <c r="A117" s="358" t="s">
        <v>394</v>
      </c>
      <c r="B117" s="29" t="s">
        <v>323</v>
      </c>
      <c r="C117" s="107" t="s">
        <v>696</v>
      </c>
      <c r="E117" s="232">
        <v>46006</v>
      </c>
      <c r="F117" s="2">
        <f>E117+14</f>
        <v>46020</v>
      </c>
      <c r="G117" s="332" t="s">
        <v>42</v>
      </c>
      <c r="H117" s="41">
        <v>2645</v>
      </c>
      <c r="I117" s="1" t="s">
        <v>697</v>
      </c>
      <c r="J117" s="1" t="s">
        <v>415</v>
      </c>
      <c r="K117" s="1" t="s">
        <v>31</v>
      </c>
      <c r="L117" s="1">
        <v>85282</v>
      </c>
      <c r="M117" s="1" t="s">
        <v>32</v>
      </c>
      <c r="O117" s="1" t="s">
        <v>698</v>
      </c>
      <c r="P117" s="1" t="s">
        <v>699</v>
      </c>
      <c r="Q117" s="184" t="s">
        <v>700</v>
      </c>
      <c r="R117" s="174"/>
      <c r="V117" s="4" t="s">
        <v>36</v>
      </c>
      <c r="W117" s="4" t="s">
        <v>37</v>
      </c>
      <c r="X117" s="4" t="s">
        <v>98</v>
      </c>
      <c r="Y117" s="235" t="s">
        <v>99</v>
      </c>
    </row>
    <row r="118" spans="1:38">
      <c r="A118" s="358" t="s">
        <v>394</v>
      </c>
      <c r="B118" s="376" t="s">
        <v>701</v>
      </c>
      <c r="C118" s="378" t="s">
        <v>702</v>
      </c>
      <c r="D118" s="12"/>
      <c r="E118" s="232">
        <v>46007</v>
      </c>
      <c r="F118" s="2">
        <f>E118+14</f>
        <v>46021</v>
      </c>
      <c r="G118" s="42" t="s">
        <v>42</v>
      </c>
      <c r="H118" s="1">
        <v>23636</v>
      </c>
      <c r="I118" s="1" t="s">
        <v>703</v>
      </c>
      <c r="J118" s="1" t="s">
        <v>434</v>
      </c>
      <c r="K118" s="1" t="s">
        <v>31</v>
      </c>
      <c r="L118" s="1">
        <v>85024</v>
      </c>
      <c r="M118" s="1" t="s">
        <v>32</v>
      </c>
      <c r="O118" s="1" t="s">
        <v>704</v>
      </c>
      <c r="P118" s="1" t="s">
        <v>705</v>
      </c>
      <c r="Q118" s="87" t="s">
        <v>706</v>
      </c>
      <c r="R118" s="173"/>
      <c r="V118" s="4" t="s">
        <v>443</v>
      </c>
      <c r="W118" s="4" t="s">
        <v>37</v>
      </c>
      <c r="X118" s="4" t="s">
        <v>98</v>
      </c>
      <c r="Y118" s="235" t="s">
        <v>99</v>
      </c>
      <c r="Z118" s="167" t="s">
        <v>364</v>
      </c>
    </row>
    <row r="119" spans="1:38">
      <c r="A119" s="358" t="s">
        <v>394</v>
      </c>
      <c r="B119" s="29" t="s">
        <v>707</v>
      </c>
      <c r="C119" s="350" t="s">
        <v>708</v>
      </c>
      <c r="E119" s="232">
        <v>46002</v>
      </c>
      <c r="F119" s="2">
        <f>E119+14</f>
        <v>46016</v>
      </c>
      <c r="G119" s="331" t="s">
        <v>28</v>
      </c>
      <c r="H119" s="41">
        <v>275</v>
      </c>
      <c r="I119" s="1" t="s">
        <v>709</v>
      </c>
      <c r="J119" s="1" t="s">
        <v>434</v>
      </c>
      <c r="K119" s="1" t="s">
        <v>31</v>
      </c>
      <c r="M119" s="1" t="s">
        <v>32</v>
      </c>
      <c r="O119" s="1" t="s">
        <v>710</v>
      </c>
      <c r="P119" s="1" t="s">
        <v>711</v>
      </c>
      <c r="Q119" s="87" t="s">
        <v>712</v>
      </c>
      <c r="R119" s="174"/>
      <c r="V119" s="4" t="s">
        <v>36</v>
      </c>
      <c r="W119" s="4" t="s">
        <v>37</v>
      </c>
      <c r="X119" s="4" t="s">
        <v>98</v>
      </c>
      <c r="Y119" s="235" t="s">
        <v>99</v>
      </c>
      <c r="Z119" s="167" t="s">
        <v>364</v>
      </c>
    </row>
    <row r="120" spans="1:38">
      <c r="A120" s="358" t="s">
        <v>394</v>
      </c>
      <c r="B120" s="29" t="s">
        <v>713</v>
      </c>
      <c r="C120" s="4" t="s">
        <v>714</v>
      </c>
      <c r="D120" s="130">
        <v>45735</v>
      </c>
      <c r="E120" s="232">
        <v>46007</v>
      </c>
      <c r="F120" s="2">
        <f>E120+14</f>
        <v>46021</v>
      </c>
      <c r="G120" s="332" t="s">
        <v>28</v>
      </c>
      <c r="H120" s="41" t="s">
        <v>715</v>
      </c>
      <c r="I120" s="1" t="s">
        <v>716</v>
      </c>
      <c r="J120" s="1" t="s">
        <v>434</v>
      </c>
      <c r="K120" s="1" t="s">
        <v>31</v>
      </c>
      <c r="L120" s="1">
        <v>85018</v>
      </c>
      <c r="M120" s="1" t="s">
        <v>32</v>
      </c>
      <c r="O120" s="1" t="s">
        <v>717</v>
      </c>
      <c r="P120" s="1" t="s">
        <v>718</v>
      </c>
      <c r="Q120" s="184" t="s">
        <v>719</v>
      </c>
      <c r="R120" s="31">
        <v>106029</v>
      </c>
      <c r="V120" s="4" t="s">
        <v>36</v>
      </c>
      <c r="W120" s="4" t="s">
        <v>37</v>
      </c>
      <c r="X120" s="4" t="s">
        <v>98</v>
      </c>
      <c r="Y120" s="235" t="s">
        <v>99</v>
      </c>
    </row>
    <row r="121" spans="1:38">
      <c r="A121" s="358" t="s">
        <v>394</v>
      </c>
      <c r="B121" s="270" t="s">
        <v>720</v>
      </c>
      <c r="C121" s="417" t="s">
        <v>721</v>
      </c>
      <c r="D121" s="173"/>
      <c r="E121" s="269">
        <v>46006</v>
      </c>
      <c r="F121" s="269">
        <f>E121+14</f>
        <v>46020</v>
      </c>
      <c r="G121" s="264" t="s">
        <v>722</v>
      </c>
      <c r="H121" s="179"/>
      <c r="I121" s="1" t="s">
        <v>723</v>
      </c>
      <c r="J121" s="1" t="s">
        <v>724</v>
      </c>
      <c r="K121" s="1" t="s">
        <v>31</v>
      </c>
      <c r="M121" s="1" t="s">
        <v>32</v>
      </c>
      <c r="O121" s="1" t="s">
        <v>704</v>
      </c>
      <c r="P121" s="1" t="s">
        <v>725</v>
      </c>
      <c r="Q121" s="87" t="s">
        <v>726</v>
      </c>
      <c r="R121" s="173"/>
      <c r="V121" s="4" t="s">
        <v>443</v>
      </c>
      <c r="W121" s="4" t="s">
        <v>37</v>
      </c>
      <c r="X121" s="4" t="s">
        <v>98</v>
      </c>
      <c r="Y121" s="235" t="s">
        <v>99</v>
      </c>
      <c r="Z121" s="167" t="s">
        <v>364</v>
      </c>
    </row>
    <row r="122" spans="1:38">
      <c r="A122" s="358" t="s">
        <v>394</v>
      </c>
      <c r="B122" s="29" t="s">
        <v>727</v>
      </c>
      <c r="C122" s="4" t="s">
        <v>728</v>
      </c>
      <c r="E122" s="232">
        <v>46002</v>
      </c>
      <c r="F122" s="2">
        <f>E122+14</f>
        <v>46016</v>
      </c>
      <c r="G122" s="331" t="s">
        <v>42</v>
      </c>
      <c r="I122" s="1" t="s">
        <v>729</v>
      </c>
      <c r="J122" s="1" t="s">
        <v>434</v>
      </c>
      <c r="K122" s="1" t="s">
        <v>31</v>
      </c>
      <c r="L122" s="1">
        <v>85003</v>
      </c>
      <c r="M122" s="1" t="s">
        <v>32</v>
      </c>
      <c r="O122" s="1" t="s">
        <v>730</v>
      </c>
      <c r="P122" s="1" t="s">
        <v>731</v>
      </c>
      <c r="Q122" s="87" t="s">
        <v>732</v>
      </c>
      <c r="R122" s="31">
        <v>96536</v>
      </c>
      <c r="V122" s="4" t="s">
        <v>443</v>
      </c>
      <c r="W122" s="4" t="s">
        <v>37</v>
      </c>
      <c r="X122" s="4" t="s">
        <v>98</v>
      </c>
      <c r="Y122" s="235" t="s">
        <v>99</v>
      </c>
      <c r="Z122" s="167" t="s">
        <v>364</v>
      </c>
    </row>
    <row r="123" spans="1:38">
      <c r="A123" s="358" t="s">
        <v>394</v>
      </c>
      <c r="B123" s="29" t="s">
        <v>351</v>
      </c>
      <c r="C123" t="s">
        <v>733</v>
      </c>
      <c r="D123" s="91"/>
      <c r="E123" s="2">
        <v>46001</v>
      </c>
      <c r="F123" s="2">
        <f>E123+14</f>
        <v>46015</v>
      </c>
      <c r="G123" s="331" t="s">
        <v>28</v>
      </c>
      <c r="H123" s="41">
        <v>7375</v>
      </c>
      <c r="I123" s="1" t="s">
        <v>734</v>
      </c>
      <c r="J123" s="1" t="s">
        <v>398</v>
      </c>
      <c r="K123" s="4" t="s">
        <v>31</v>
      </c>
      <c r="L123" s="4">
        <v>85255</v>
      </c>
      <c r="M123" s="4" t="s">
        <v>32</v>
      </c>
      <c r="O123" s="4" t="s">
        <v>735</v>
      </c>
      <c r="P123" s="1" t="s">
        <v>736</v>
      </c>
      <c r="Q123" s="98" t="s">
        <v>737</v>
      </c>
      <c r="R123" s="31">
        <v>98206</v>
      </c>
      <c r="V123" s="4" t="s">
        <v>36</v>
      </c>
      <c r="W123" s="4" t="s">
        <v>37</v>
      </c>
      <c r="X123" s="4" t="s">
        <v>98</v>
      </c>
      <c r="Y123" s="235" t="s">
        <v>99</v>
      </c>
    </row>
    <row r="124" spans="1:38" ht="17.25" customHeight="1">
      <c r="A124" s="358" t="s">
        <v>394</v>
      </c>
      <c r="B124" s="29" t="s">
        <v>351</v>
      </c>
      <c r="C124" s="4" t="s">
        <v>738</v>
      </c>
      <c r="D124" s="2"/>
      <c r="E124" s="232">
        <v>46008</v>
      </c>
      <c r="F124" s="2">
        <f>E124+14</f>
        <v>46022</v>
      </c>
      <c r="G124" s="332" t="s">
        <v>42</v>
      </c>
      <c r="H124" s="41">
        <v>5550</v>
      </c>
      <c r="I124" s="1" t="s">
        <v>739</v>
      </c>
      <c r="J124" s="1" t="s">
        <v>434</v>
      </c>
      <c r="K124" s="1" t="s">
        <v>31</v>
      </c>
      <c r="L124" s="1">
        <v>85054</v>
      </c>
      <c r="M124" s="1" t="s">
        <v>32</v>
      </c>
      <c r="O124" s="1" t="s">
        <v>740</v>
      </c>
      <c r="P124" s="1" t="s">
        <v>741</v>
      </c>
      <c r="Q124" s="99" t="s">
        <v>742</v>
      </c>
      <c r="R124" s="379"/>
      <c r="V124" s="4" t="s">
        <v>443</v>
      </c>
      <c r="W124" s="4" t="s">
        <v>37</v>
      </c>
      <c r="X124" s="4" t="s">
        <v>98</v>
      </c>
      <c r="Y124" s="235" t="s">
        <v>99</v>
      </c>
      <c r="Z124" s="167" t="s">
        <v>364</v>
      </c>
    </row>
    <row r="125" spans="1:38">
      <c r="A125" s="358" t="s">
        <v>394</v>
      </c>
      <c r="B125" s="29" t="s">
        <v>743</v>
      </c>
      <c r="C125" s="4" t="s">
        <v>744</v>
      </c>
      <c r="E125" s="232">
        <v>46008</v>
      </c>
      <c r="F125" s="2">
        <f>E125+14</f>
        <v>46022</v>
      </c>
      <c r="G125" s="332" t="s">
        <v>28</v>
      </c>
      <c r="H125" s="41">
        <v>26808</v>
      </c>
      <c r="I125" s="1" t="s">
        <v>745</v>
      </c>
      <c r="J125" s="1" t="s">
        <v>398</v>
      </c>
      <c r="K125" s="1" t="s">
        <v>31</v>
      </c>
      <c r="M125" s="1" t="s">
        <v>32</v>
      </c>
      <c r="O125" s="1" t="s">
        <v>746</v>
      </c>
      <c r="P125" s="1" t="s">
        <v>747</v>
      </c>
      <c r="Q125" s="184" t="s">
        <v>748</v>
      </c>
      <c r="R125" s="379">
        <v>112409</v>
      </c>
      <c r="V125" s="4" t="s">
        <v>36</v>
      </c>
      <c r="W125" s="4" t="s">
        <v>37</v>
      </c>
      <c r="X125" s="4" t="s">
        <v>98</v>
      </c>
      <c r="Y125" s="235" t="s">
        <v>99</v>
      </c>
      <c r="AI125" s="119"/>
      <c r="AJ125" s="119"/>
      <c r="AK125" s="119"/>
      <c r="AL125" s="119"/>
    </row>
    <row r="126" spans="1:38" ht="21.75" customHeight="1">
      <c r="A126" s="358" t="s">
        <v>394</v>
      </c>
      <c r="B126" s="29" t="s">
        <v>743</v>
      </c>
      <c r="C126" s="4" t="s">
        <v>749</v>
      </c>
      <c r="E126" s="2">
        <v>46010</v>
      </c>
      <c r="F126" s="2">
        <f>E126+14</f>
        <v>46024</v>
      </c>
      <c r="G126" s="332" t="s">
        <v>28</v>
      </c>
      <c r="H126" s="41">
        <v>16875</v>
      </c>
      <c r="I126" s="1" t="s">
        <v>750</v>
      </c>
      <c r="J126" s="1" t="s">
        <v>751</v>
      </c>
      <c r="K126" s="1" t="s">
        <v>31</v>
      </c>
      <c r="M126" s="1" t="s">
        <v>32</v>
      </c>
      <c r="O126" s="1" t="s">
        <v>752</v>
      </c>
      <c r="P126" s="1" t="s">
        <v>753</v>
      </c>
      <c r="Q126" s="184" t="s">
        <v>754</v>
      </c>
      <c r="R126" s="31">
        <v>108298</v>
      </c>
      <c r="V126" s="4" t="s">
        <v>36</v>
      </c>
      <c r="W126" s="4" t="s">
        <v>37</v>
      </c>
      <c r="X126" s="4" t="s">
        <v>98</v>
      </c>
      <c r="Y126" s="235" t="s">
        <v>99</v>
      </c>
    </row>
    <row r="127" spans="1:38">
      <c r="A127" s="358" t="s">
        <v>394</v>
      </c>
      <c r="B127" s="70" t="s">
        <v>755</v>
      </c>
      <c r="C127" s="56" t="s">
        <v>756</v>
      </c>
      <c r="D127" s="60"/>
      <c r="E127" s="2">
        <v>46000</v>
      </c>
      <c r="F127" s="60">
        <f>E127+14</f>
        <v>46014</v>
      </c>
      <c r="G127" s="335" t="s">
        <v>28</v>
      </c>
      <c r="H127" s="76">
        <v>3800</v>
      </c>
      <c r="I127" s="55" t="s">
        <v>757</v>
      </c>
      <c r="J127" s="55" t="s">
        <v>434</v>
      </c>
      <c r="K127" s="55" t="s">
        <v>31</v>
      </c>
      <c r="L127" s="55" t="s">
        <v>675</v>
      </c>
      <c r="M127" s="55" t="s">
        <v>32</v>
      </c>
      <c r="N127" s="56"/>
      <c r="O127" s="55" t="s">
        <v>758</v>
      </c>
      <c r="P127" s="55" t="s">
        <v>759</v>
      </c>
      <c r="Q127" s="247" t="s">
        <v>760</v>
      </c>
      <c r="R127" s="259">
        <v>103315</v>
      </c>
      <c r="V127" s="4" t="s">
        <v>443</v>
      </c>
      <c r="W127" s="4" t="s">
        <v>37</v>
      </c>
      <c r="X127" s="4" t="s">
        <v>98</v>
      </c>
      <c r="Y127" s="235" t="s">
        <v>99</v>
      </c>
      <c r="Z127" s="167" t="s">
        <v>364</v>
      </c>
    </row>
    <row r="128" spans="1:38">
      <c r="A128" s="358" t="s">
        <v>394</v>
      </c>
      <c r="B128" s="70" t="s">
        <v>761</v>
      </c>
      <c r="C128" s="56" t="s">
        <v>762</v>
      </c>
      <c r="D128" s="60"/>
      <c r="E128" s="2">
        <v>46010</v>
      </c>
      <c r="F128" s="60">
        <f>E128+14</f>
        <v>46024</v>
      </c>
      <c r="G128" s="333" t="s">
        <v>722</v>
      </c>
      <c r="H128" s="76">
        <v>4301</v>
      </c>
      <c r="I128" s="55" t="s">
        <v>763</v>
      </c>
      <c r="J128" s="55" t="s">
        <v>434</v>
      </c>
      <c r="K128" s="55" t="s">
        <v>31</v>
      </c>
      <c r="L128" s="55" t="s">
        <v>764</v>
      </c>
      <c r="M128" s="55" t="s">
        <v>32</v>
      </c>
      <c r="N128" s="56"/>
      <c r="O128" s="55" t="s">
        <v>765</v>
      </c>
      <c r="P128" s="55" t="s">
        <v>766</v>
      </c>
      <c r="Q128" s="377" t="s">
        <v>767</v>
      </c>
      <c r="R128" s="175"/>
      <c r="V128" s="4" t="s">
        <v>443</v>
      </c>
      <c r="W128" s="4" t="s">
        <v>37</v>
      </c>
      <c r="X128" s="4" t="s">
        <v>98</v>
      </c>
      <c r="Y128" s="235" t="s">
        <v>99</v>
      </c>
      <c r="Z128" s="167" t="s">
        <v>364</v>
      </c>
    </row>
    <row r="129" spans="1:38">
      <c r="A129" s="358" t="s">
        <v>394</v>
      </c>
      <c r="B129" s="15" t="s">
        <v>768</v>
      </c>
      <c r="C129" s="4" t="s">
        <v>769</v>
      </c>
      <c r="D129" s="60"/>
      <c r="E129" s="232">
        <v>46002</v>
      </c>
      <c r="F129" s="60">
        <f>E129+14</f>
        <v>46016</v>
      </c>
      <c r="G129" s="333" t="s">
        <v>42</v>
      </c>
      <c r="H129" s="76">
        <v>6819</v>
      </c>
      <c r="I129" s="55" t="s">
        <v>770</v>
      </c>
      <c r="J129" s="55" t="s">
        <v>434</v>
      </c>
      <c r="K129" s="55" t="s">
        <v>31</v>
      </c>
      <c r="L129" s="55" t="s">
        <v>771</v>
      </c>
      <c r="M129" s="55" t="s">
        <v>32</v>
      </c>
      <c r="N129" s="56"/>
      <c r="O129" s="55" t="s">
        <v>772</v>
      </c>
      <c r="P129" s="55" t="s">
        <v>773</v>
      </c>
      <c r="Q129" s="89" t="s">
        <v>774</v>
      </c>
      <c r="R129" s="57">
        <v>103778</v>
      </c>
      <c r="V129" s="4" t="s">
        <v>443</v>
      </c>
      <c r="W129" s="4" t="s">
        <v>37</v>
      </c>
      <c r="X129" s="4" t="s">
        <v>98</v>
      </c>
      <c r="Y129" s="235" t="s">
        <v>99</v>
      </c>
      <c r="Z129" s="167" t="s">
        <v>364</v>
      </c>
    </row>
    <row r="130" spans="1:38">
      <c r="A130" s="358" t="s">
        <v>394</v>
      </c>
      <c r="B130" s="15" t="s">
        <v>775</v>
      </c>
      <c r="C130" s="29" t="s">
        <v>776</v>
      </c>
      <c r="D130" s="4"/>
      <c r="E130" s="2">
        <v>46002</v>
      </c>
      <c r="F130" s="2">
        <f>E130+14</f>
        <v>46016</v>
      </c>
      <c r="G130" s="331" t="s">
        <v>28</v>
      </c>
      <c r="H130" s="1">
        <v>5100</v>
      </c>
      <c r="I130" s="1" t="s">
        <v>777</v>
      </c>
      <c r="J130" s="1" t="s">
        <v>434</v>
      </c>
      <c r="K130" s="1" t="s">
        <v>31</v>
      </c>
      <c r="L130" s="1">
        <v>85008</v>
      </c>
      <c r="M130" s="1" t="s">
        <v>32</v>
      </c>
      <c r="O130" s="1" t="s">
        <v>778</v>
      </c>
      <c r="P130" s="1" t="s">
        <v>779</v>
      </c>
      <c r="Q130" s="129" t="s">
        <v>780</v>
      </c>
      <c r="R130" s="258">
        <v>111426</v>
      </c>
      <c r="V130" s="4" t="s">
        <v>36</v>
      </c>
      <c r="W130" s="4" t="s">
        <v>37</v>
      </c>
      <c r="X130" s="4" t="s">
        <v>98</v>
      </c>
      <c r="Y130" s="235" t="s">
        <v>99</v>
      </c>
    </row>
    <row r="131" spans="1:38" ht="21.75" customHeight="1">
      <c r="A131" s="358" t="s">
        <v>394</v>
      </c>
      <c r="B131" s="29" t="s">
        <v>781</v>
      </c>
      <c r="C131" s="4" t="s">
        <v>782</v>
      </c>
      <c r="E131" s="2">
        <v>46001</v>
      </c>
      <c r="F131" s="2">
        <f>E131+14</f>
        <v>46015</v>
      </c>
      <c r="G131" s="332" t="s">
        <v>42</v>
      </c>
      <c r="H131" s="41">
        <v>10050</v>
      </c>
      <c r="I131" s="1" t="s">
        <v>783</v>
      </c>
      <c r="J131" s="1" t="s">
        <v>398</v>
      </c>
      <c r="K131" s="1" t="s">
        <v>31</v>
      </c>
      <c r="L131" s="1">
        <v>85253</v>
      </c>
      <c r="M131" s="1" t="s">
        <v>32</v>
      </c>
      <c r="O131" s="3" t="s">
        <v>784</v>
      </c>
      <c r="P131" s="256" t="s">
        <v>785</v>
      </c>
      <c r="Q131" s="87" t="s">
        <v>786</v>
      </c>
      <c r="R131" s="379">
        <v>111395</v>
      </c>
      <c r="V131" s="4" t="s">
        <v>36</v>
      </c>
      <c r="W131" s="4" t="s">
        <v>37</v>
      </c>
      <c r="X131" s="4" t="s">
        <v>38</v>
      </c>
      <c r="Y131" s="235" t="s">
        <v>39</v>
      </c>
    </row>
    <row r="132" spans="1:38" ht="21" customHeight="1">
      <c r="A132" s="358" t="s">
        <v>394</v>
      </c>
      <c r="B132" s="29" t="s">
        <v>781</v>
      </c>
      <c r="C132" s="4" t="s">
        <v>787</v>
      </c>
      <c r="D132" s="2"/>
      <c r="E132" s="232">
        <v>46006</v>
      </c>
      <c r="F132" s="2">
        <f>E132+14</f>
        <v>46020</v>
      </c>
      <c r="G132" s="332" t="s">
        <v>42</v>
      </c>
      <c r="H132" s="41" t="s">
        <v>379</v>
      </c>
      <c r="I132" s="1" t="s">
        <v>788</v>
      </c>
      <c r="J132" s="1" t="s">
        <v>434</v>
      </c>
      <c r="K132" s="1" t="s">
        <v>31</v>
      </c>
      <c r="L132" s="1">
        <v>85054</v>
      </c>
      <c r="M132" s="1" t="s">
        <v>32</v>
      </c>
      <c r="O132" s="1" t="s">
        <v>789</v>
      </c>
      <c r="P132" s="1" t="s">
        <v>790</v>
      </c>
      <c r="Q132" s="99" t="s">
        <v>791</v>
      </c>
      <c r="R132" s="31">
        <v>108406</v>
      </c>
      <c r="V132" s="4" t="s">
        <v>443</v>
      </c>
      <c r="W132" s="4" t="s">
        <v>37</v>
      </c>
      <c r="X132" s="4" t="s">
        <v>98</v>
      </c>
      <c r="Y132" s="235" t="s">
        <v>99</v>
      </c>
      <c r="Z132" s="167" t="s">
        <v>364</v>
      </c>
    </row>
    <row r="133" spans="1:38">
      <c r="A133" s="358" t="s">
        <v>394</v>
      </c>
      <c r="B133" s="29" t="s">
        <v>792</v>
      </c>
      <c r="C133" s="4" t="s">
        <v>793</v>
      </c>
      <c r="E133" s="232">
        <v>46007</v>
      </c>
      <c r="F133" s="2">
        <f>E133+14</f>
        <v>46021</v>
      </c>
      <c r="G133" s="332" t="s">
        <v>28</v>
      </c>
      <c r="H133" s="41" t="s">
        <v>794</v>
      </c>
      <c r="I133" s="1" t="s">
        <v>795</v>
      </c>
      <c r="J133" s="1" t="s">
        <v>398</v>
      </c>
      <c r="K133" s="1" t="s">
        <v>31</v>
      </c>
      <c r="M133" s="1" t="s">
        <v>32</v>
      </c>
      <c r="O133" s="1" t="s">
        <v>796</v>
      </c>
      <c r="P133" s="1" t="s">
        <v>797</v>
      </c>
      <c r="Q133" s="184" t="s">
        <v>798</v>
      </c>
      <c r="R133" s="31">
        <v>107146</v>
      </c>
      <c r="V133" s="4" t="s">
        <v>36</v>
      </c>
      <c r="W133" s="4" t="s">
        <v>37</v>
      </c>
      <c r="X133" s="4" t="s">
        <v>98</v>
      </c>
      <c r="Y133" s="235" t="s">
        <v>99</v>
      </c>
    </row>
    <row r="134" spans="1:38" ht="18.75" customHeight="1">
      <c r="A134" s="358" t="s">
        <v>394</v>
      </c>
      <c r="B134" s="70" t="s">
        <v>799</v>
      </c>
      <c r="C134" s="70" t="s">
        <v>800</v>
      </c>
      <c r="D134" s="60"/>
      <c r="E134" s="232">
        <v>46007</v>
      </c>
      <c r="F134" s="2">
        <f>E134+14</f>
        <v>46021</v>
      </c>
      <c r="G134" s="332" t="s">
        <v>28</v>
      </c>
      <c r="H134" s="76">
        <v>2725</v>
      </c>
      <c r="I134" s="55" t="s">
        <v>801</v>
      </c>
      <c r="J134" s="55" t="s">
        <v>434</v>
      </c>
      <c r="K134" s="55" t="s">
        <v>31</v>
      </c>
      <c r="L134" s="55" t="s">
        <v>802</v>
      </c>
      <c r="M134" s="55" t="s">
        <v>32</v>
      </c>
      <c r="N134" s="56"/>
      <c r="O134" s="1" t="s">
        <v>803</v>
      </c>
      <c r="P134" s="1" t="s">
        <v>804</v>
      </c>
      <c r="Q134" s="377" t="s">
        <v>805</v>
      </c>
      <c r="R134" s="259">
        <v>103254</v>
      </c>
      <c r="V134" s="4" t="s">
        <v>443</v>
      </c>
      <c r="W134" s="4" t="s">
        <v>37</v>
      </c>
      <c r="X134" s="4" t="s">
        <v>98</v>
      </c>
      <c r="Y134" s="235" t="s">
        <v>99</v>
      </c>
      <c r="Z134" s="168"/>
    </row>
    <row r="135" spans="1:38">
      <c r="A135" s="358" t="s">
        <v>394</v>
      </c>
      <c r="B135" s="29" t="s">
        <v>806</v>
      </c>
      <c r="C135" s="4" t="s">
        <v>807</v>
      </c>
      <c r="E135" s="2">
        <v>46002</v>
      </c>
      <c r="F135" s="2">
        <f>E135+14</f>
        <v>46016</v>
      </c>
      <c r="G135" s="332" t="s">
        <v>28</v>
      </c>
      <c r="I135" s="1" t="s">
        <v>808</v>
      </c>
      <c r="J135" s="1" t="s">
        <v>434</v>
      </c>
      <c r="K135" s="1" t="s">
        <v>31</v>
      </c>
      <c r="M135" s="1" t="s">
        <v>32</v>
      </c>
      <c r="O135" s="1" t="s">
        <v>809</v>
      </c>
      <c r="P135" s="1" t="s">
        <v>810</v>
      </c>
      <c r="Q135" s="184" t="s">
        <v>811</v>
      </c>
      <c r="R135" s="178">
        <v>104493</v>
      </c>
      <c r="V135" s="4" t="s">
        <v>36</v>
      </c>
      <c r="W135" s="4" t="s">
        <v>37</v>
      </c>
      <c r="X135" s="4" t="s">
        <v>98</v>
      </c>
      <c r="Y135" s="235" t="s">
        <v>99</v>
      </c>
    </row>
    <row r="136" spans="1:38" ht="17.25" customHeight="1">
      <c r="A136" s="164" t="s">
        <v>812</v>
      </c>
      <c r="B136" s="376" t="s">
        <v>813</v>
      </c>
      <c r="C136" s="348" t="s">
        <v>814</v>
      </c>
      <c r="D136" s="203"/>
      <c r="E136" s="232">
        <v>46008</v>
      </c>
      <c r="F136" s="2">
        <f>E136+14</f>
        <v>46022</v>
      </c>
      <c r="G136" s="332" t="s">
        <v>28</v>
      </c>
      <c r="H136" s="1">
        <v>5120</v>
      </c>
      <c r="I136" s="1" t="s">
        <v>591</v>
      </c>
      <c r="J136" s="1" t="s">
        <v>434</v>
      </c>
      <c r="K136" s="1" t="s">
        <v>31</v>
      </c>
      <c r="L136" s="1">
        <v>85339</v>
      </c>
      <c r="M136" s="1" t="s">
        <v>32</v>
      </c>
      <c r="O136" s="1" t="s">
        <v>815</v>
      </c>
      <c r="P136" s="1" t="s">
        <v>816</v>
      </c>
      <c r="Q136" s="184" t="s">
        <v>817</v>
      </c>
      <c r="R136" s="173"/>
      <c r="V136" s="4" t="s">
        <v>443</v>
      </c>
      <c r="W136" s="4" t="s">
        <v>37</v>
      </c>
      <c r="X136" s="4" t="s">
        <v>616</v>
      </c>
      <c r="Y136" s="235" t="s">
        <v>617</v>
      </c>
    </row>
    <row r="137" spans="1:38">
      <c r="A137" s="164" t="s">
        <v>812</v>
      </c>
      <c r="B137" s="15" t="s">
        <v>818</v>
      </c>
      <c r="C137" s="143" t="s">
        <v>819</v>
      </c>
      <c r="D137" s="60"/>
      <c r="E137" s="232">
        <v>46014</v>
      </c>
      <c r="F137" s="60">
        <f>E137+14</f>
        <v>46028</v>
      </c>
      <c r="G137" s="333" t="s">
        <v>42</v>
      </c>
      <c r="H137" s="54" t="s">
        <v>820</v>
      </c>
      <c r="I137" s="55" t="s">
        <v>821</v>
      </c>
      <c r="J137" s="55" t="s">
        <v>822</v>
      </c>
      <c r="K137" s="55" t="s">
        <v>31</v>
      </c>
      <c r="L137" s="55" t="s">
        <v>823</v>
      </c>
      <c r="M137" s="55" t="s">
        <v>32</v>
      </c>
      <c r="N137" s="56"/>
      <c r="O137" s="55" t="s">
        <v>824</v>
      </c>
      <c r="P137" s="55" t="s">
        <v>825</v>
      </c>
      <c r="Q137" s="247" t="s">
        <v>826</v>
      </c>
      <c r="R137" s="178"/>
      <c r="V137" s="4" t="s">
        <v>827</v>
      </c>
      <c r="W137" s="4" t="s">
        <v>37</v>
      </c>
      <c r="X137" s="4" t="s">
        <v>616</v>
      </c>
      <c r="Y137" s="235" t="s">
        <v>617</v>
      </c>
      <c r="Z137" s="167" t="s">
        <v>364</v>
      </c>
    </row>
    <row r="138" spans="1:38">
      <c r="A138" s="164" t="s">
        <v>812</v>
      </c>
      <c r="B138" s="409" t="s">
        <v>828</v>
      </c>
      <c r="C138" s="348" t="s">
        <v>829</v>
      </c>
      <c r="D138" s="298"/>
      <c r="E138" s="232">
        <v>46013</v>
      </c>
      <c r="F138" s="2">
        <f>E138+14</f>
        <v>46027</v>
      </c>
      <c r="G138" s="332" t="s">
        <v>42</v>
      </c>
      <c r="I138" s="41" t="s">
        <v>830</v>
      </c>
      <c r="J138" s="1" t="s">
        <v>831</v>
      </c>
      <c r="K138" s="1" t="s">
        <v>31</v>
      </c>
      <c r="L138" s="1">
        <v>85396</v>
      </c>
      <c r="M138" s="1" t="s">
        <v>32</v>
      </c>
      <c r="O138" s="1" t="s">
        <v>832</v>
      </c>
      <c r="P138" s="1" t="s">
        <v>833</v>
      </c>
      <c r="Q138" s="184" t="s">
        <v>834</v>
      </c>
      <c r="R138" s="178">
        <v>111662</v>
      </c>
      <c r="V138" s="4" t="s">
        <v>443</v>
      </c>
      <c r="W138" s="4" t="s">
        <v>37</v>
      </c>
      <c r="X138" s="4" t="s">
        <v>616</v>
      </c>
      <c r="Y138" s="235" t="s">
        <v>617</v>
      </c>
      <c r="Z138" s="167" t="s">
        <v>364</v>
      </c>
    </row>
    <row r="139" spans="1:38" ht="20.25" customHeight="1">
      <c r="A139" s="164" t="s">
        <v>812</v>
      </c>
      <c r="B139" s="29" t="s">
        <v>412</v>
      </c>
      <c r="C139" s="350" t="s">
        <v>835</v>
      </c>
      <c r="D139" s="2"/>
      <c r="E139" s="232">
        <v>46014</v>
      </c>
      <c r="F139" s="2">
        <f>E139+14</f>
        <v>46028</v>
      </c>
      <c r="G139" s="232" t="s">
        <v>42</v>
      </c>
      <c r="H139" s="41" t="s">
        <v>184</v>
      </c>
      <c r="I139" s="41" t="s">
        <v>836</v>
      </c>
      <c r="J139" s="1" t="s">
        <v>837</v>
      </c>
      <c r="K139" s="1" t="s">
        <v>31</v>
      </c>
      <c r="L139" s="1">
        <v>85379</v>
      </c>
      <c r="M139" s="1" t="s">
        <v>32</v>
      </c>
      <c r="O139" s="1" t="s">
        <v>838</v>
      </c>
      <c r="P139" s="1" t="s">
        <v>839</v>
      </c>
      <c r="Q139" s="184" t="s">
        <v>840</v>
      </c>
      <c r="R139" s="178">
        <v>112687</v>
      </c>
      <c r="V139" s="4" t="s">
        <v>443</v>
      </c>
      <c r="W139" s="4" t="s">
        <v>37</v>
      </c>
      <c r="X139" s="4" t="s">
        <v>616</v>
      </c>
      <c r="Y139" s="235" t="s">
        <v>617</v>
      </c>
      <c r="Z139" s="167" t="s">
        <v>364</v>
      </c>
    </row>
    <row r="140" spans="1:38">
      <c r="A140" s="164" t="s">
        <v>812</v>
      </c>
      <c r="B140" s="29" t="s">
        <v>841</v>
      </c>
      <c r="C140" s="4" t="s">
        <v>842</v>
      </c>
      <c r="D140" s="2">
        <v>45491</v>
      </c>
      <c r="E140" s="232">
        <v>46013</v>
      </c>
      <c r="F140" s="2">
        <f>E140+14</f>
        <v>46027</v>
      </c>
      <c r="G140" s="332" t="s">
        <v>42</v>
      </c>
      <c r="H140" s="41">
        <v>18310</v>
      </c>
      <c r="I140" s="1" t="s">
        <v>843</v>
      </c>
      <c r="J140" s="1" t="s">
        <v>844</v>
      </c>
      <c r="K140" s="1" t="s">
        <v>31</v>
      </c>
      <c r="L140" s="1">
        <v>85338</v>
      </c>
      <c r="M140" s="1" t="s">
        <v>32</v>
      </c>
      <c r="O140" s="1" t="s">
        <v>845</v>
      </c>
      <c r="P140" s="1" t="s">
        <v>846</v>
      </c>
      <c r="Q140" s="184" t="s">
        <v>847</v>
      </c>
      <c r="R140" s="178">
        <v>104357</v>
      </c>
      <c r="V140" s="4" t="s">
        <v>443</v>
      </c>
      <c r="W140" s="4" t="s">
        <v>37</v>
      </c>
      <c r="X140" s="4" t="s">
        <v>616</v>
      </c>
      <c r="Y140" s="235" t="s">
        <v>617</v>
      </c>
      <c r="Z140" s="167" t="s">
        <v>364</v>
      </c>
    </row>
    <row r="141" spans="1:38" ht="18.75" customHeight="1">
      <c r="A141" s="164" t="s">
        <v>812</v>
      </c>
      <c r="B141" s="118" t="s">
        <v>848</v>
      </c>
      <c r="C141" s="4" t="s">
        <v>849</v>
      </c>
      <c r="D141" s="2"/>
      <c r="E141" s="232">
        <v>46015</v>
      </c>
      <c r="F141" s="2">
        <f>E141+14</f>
        <v>46029</v>
      </c>
      <c r="G141" s="332" t="s">
        <v>28</v>
      </c>
      <c r="H141" s="41">
        <v>6902</v>
      </c>
      <c r="I141" s="1" t="s">
        <v>850</v>
      </c>
      <c r="J141" s="1" t="s">
        <v>851</v>
      </c>
      <c r="K141" s="1" t="s">
        <v>31</v>
      </c>
      <c r="M141" s="1" t="s">
        <v>32</v>
      </c>
      <c r="O141" s="253"/>
      <c r="Q141" s="401"/>
      <c r="R141" s="178"/>
      <c r="V141" s="4" t="s">
        <v>443</v>
      </c>
      <c r="W141" s="4" t="s">
        <v>37</v>
      </c>
      <c r="X141" s="4" t="s">
        <v>616</v>
      </c>
      <c r="Y141" s="235" t="s">
        <v>617</v>
      </c>
      <c r="Z141" s="167" t="s">
        <v>364</v>
      </c>
    </row>
    <row r="142" spans="1:38">
      <c r="A142" s="164" t="s">
        <v>812</v>
      </c>
      <c r="B142" s="29" t="s">
        <v>852</v>
      </c>
      <c r="C142" s="4" t="s">
        <v>853</v>
      </c>
      <c r="D142" s="2"/>
      <c r="E142" s="232">
        <v>46007</v>
      </c>
      <c r="F142" s="2">
        <f>E142+14</f>
        <v>46021</v>
      </c>
      <c r="G142" s="332" t="s">
        <v>28</v>
      </c>
      <c r="H142" s="41">
        <v>14585</v>
      </c>
      <c r="I142" s="41" t="s">
        <v>854</v>
      </c>
      <c r="J142" s="1" t="s">
        <v>844</v>
      </c>
      <c r="K142" s="1" t="s">
        <v>31</v>
      </c>
      <c r="L142" s="1">
        <v>85338</v>
      </c>
      <c r="M142" s="1" t="s">
        <v>32</v>
      </c>
      <c r="N142" s="4" t="s">
        <v>645</v>
      </c>
      <c r="O142" s="41" t="s">
        <v>855</v>
      </c>
      <c r="P142" s="1" t="s">
        <v>856</v>
      </c>
      <c r="Q142" s="98" t="s">
        <v>857</v>
      </c>
      <c r="R142" s="1">
        <v>101123</v>
      </c>
      <c r="V142" s="4" t="s">
        <v>443</v>
      </c>
      <c r="W142" s="4" t="s">
        <v>37</v>
      </c>
      <c r="X142" s="4" t="s">
        <v>616</v>
      </c>
      <c r="Y142" s="235" t="s">
        <v>617</v>
      </c>
      <c r="Z142" s="167" t="s">
        <v>364</v>
      </c>
    </row>
    <row r="143" spans="1:38" s="369" customFormat="1" ht="15.75" customHeight="1">
      <c r="A143" s="164" t="s">
        <v>812</v>
      </c>
      <c r="B143" s="349" t="s">
        <v>858</v>
      </c>
      <c r="C143" s="348" t="s">
        <v>859</v>
      </c>
      <c r="D143" s="312"/>
      <c r="E143" s="232">
        <v>46014</v>
      </c>
      <c r="F143" s="2">
        <f>E143+14</f>
        <v>46028</v>
      </c>
      <c r="G143" s="332" t="s">
        <v>42</v>
      </c>
      <c r="H143" s="41">
        <v>7725</v>
      </c>
      <c r="I143" s="415" t="s">
        <v>860</v>
      </c>
      <c r="J143" s="1" t="s">
        <v>822</v>
      </c>
      <c r="K143" s="1" t="s">
        <v>31</v>
      </c>
      <c r="L143" s="1">
        <v>85307</v>
      </c>
      <c r="M143" s="1" t="s">
        <v>32</v>
      </c>
      <c r="N143" s="4"/>
      <c r="O143" s="1" t="s">
        <v>861</v>
      </c>
      <c r="P143" s="1" t="s">
        <v>862</v>
      </c>
      <c r="Q143" s="98" t="s">
        <v>863</v>
      </c>
      <c r="R143" s="31">
        <v>112147</v>
      </c>
      <c r="S143" s="4"/>
      <c r="T143" s="4"/>
      <c r="U143" s="4"/>
      <c r="V143" s="4" t="s">
        <v>443</v>
      </c>
      <c r="W143" s="4" t="s">
        <v>37</v>
      </c>
      <c r="X143" s="4" t="s">
        <v>616</v>
      </c>
      <c r="Y143" s="235" t="s">
        <v>617</v>
      </c>
      <c r="Z143" s="4"/>
      <c r="AA143" s="4"/>
      <c r="AB143" s="4"/>
      <c r="AC143" s="4"/>
      <c r="AD143" s="4"/>
      <c r="AE143" s="4"/>
      <c r="AF143" s="4"/>
      <c r="AG143" s="4"/>
      <c r="AH143" s="4"/>
      <c r="AI143" s="4"/>
      <c r="AJ143" s="4"/>
      <c r="AK143" s="4"/>
      <c r="AL143" s="4"/>
    </row>
    <row r="144" spans="1:38">
      <c r="A144" s="164" t="s">
        <v>812</v>
      </c>
      <c r="B144" s="15" t="s">
        <v>864</v>
      </c>
      <c r="C144" s="4" t="s">
        <v>865</v>
      </c>
      <c r="D144" s="2"/>
      <c r="E144" s="232">
        <v>46006</v>
      </c>
      <c r="F144" s="2">
        <f>E144+14</f>
        <v>46020</v>
      </c>
      <c r="G144" s="332" t="s">
        <v>42</v>
      </c>
      <c r="H144" s="1">
        <v>5084</v>
      </c>
      <c r="I144" s="1" t="s">
        <v>866</v>
      </c>
      <c r="J144" s="1" t="s">
        <v>822</v>
      </c>
      <c r="K144" s="1" t="s">
        <v>31</v>
      </c>
      <c r="L144" s="1">
        <v>85305</v>
      </c>
      <c r="M144" s="1" t="s">
        <v>32</v>
      </c>
      <c r="O144" s="179" t="s">
        <v>867</v>
      </c>
      <c r="P144" s="179" t="s">
        <v>868</v>
      </c>
      <c r="Q144" s="184" t="s">
        <v>869</v>
      </c>
      <c r="R144" s="266" t="s">
        <v>314</v>
      </c>
      <c r="V144" s="4" t="s">
        <v>443</v>
      </c>
      <c r="W144" s="4" t="s">
        <v>37</v>
      </c>
      <c r="X144" s="4" t="s">
        <v>616</v>
      </c>
      <c r="Y144" s="241" t="s">
        <v>617</v>
      </c>
      <c r="Z144" s="168"/>
    </row>
    <row r="145" spans="1:26">
      <c r="A145" s="164" t="s">
        <v>812</v>
      </c>
      <c r="B145" s="29" t="s">
        <v>870</v>
      </c>
      <c r="C145" s="4" t="s">
        <v>871</v>
      </c>
      <c r="D145" s="2"/>
      <c r="E145" s="232">
        <v>46007</v>
      </c>
      <c r="F145" s="2">
        <f>E145+14</f>
        <v>46021</v>
      </c>
      <c r="G145" s="331" t="s">
        <v>28</v>
      </c>
      <c r="H145" s="1" t="s">
        <v>364</v>
      </c>
      <c r="I145" s="41" t="s">
        <v>872</v>
      </c>
      <c r="J145" s="1" t="s">
        <v>873</v>
      </c>
      <c r="K145" s="1" t="s">
        <v>31</v>
      </c>
      <c r="L145" s="1">
        <v>85303</v>
      </c>
      <c r="M145" s="1" t="s">
        <v>32</v>
      </c>
      <c r="O145" s="1" t="s">
        <v>874</v>
      </c>
      <c r="P145" s="73" t="s">
        <v>875</v>
      </c>
      <c r="Q145" s="184" t="s">
        <v>876</v>
      </c>
      <c r="R145" s="31">
        <v>87022</v>
      </c>
      <c r="V145" s="4" t="s">
        <v>443</v>
      </c>
      <c r="W145" s="4" t="s">
        <v>37</v>
      </c>
      <c r="X145" s="4" t="s">
        <v>616</v>
      </c>
      <c r="Y145" s="235" t="s">
        <v>617</v>
      </c>
      <c r="Z145" s="168"/>
    </row>
    <row r="146" spans="1:26" ht="18.75" customHeight="1">
      <c r="A146" s="164" t="s">
        <v>812</v>
      </c>
      <c r="B146" s="29" t="s">
        <v>126</v>
      </c>
      <c r="C146" s="107" t="s">
        <v>877</v>
      </c>
      <c r="E146" s="232">
        <v>46013</v>
      </c>
      <c r="F146" s="60">
        <f>E146+14</f>
        <v>46027</v>
      </c>
      <c r="G146" s="332" t="s">
        <v>42</v>
      </c>
      <c r="H146" s="41">
        <v>1650</v>
      </c>
      <c r="I146" s="1" t="s">
        <v>878</v>
      </c>
      <c r="J146" s="1" t="s">
        <v>844</v>
      </c>
      <c r="K146" s="1" t="s">
        <v>31</v>
      </c>
      <c r="L146" s="1">
        <v>85338</v>
      </c>
      <c r="M146" s="1" t="s">
        <v>32</v>
      </c>
      <c r="O146" s="1" t="s">
        <v>879</v>
      </c>
      <c r="P146" s="1" t="s">
        <v>880</v>
      </c>
      <c r="Q146" s="87" t="s">
        <v>881</v>
      </c>
      <c r="R146" s="179">
        <v>111919</v>
      </c>
      <c r="V146" s="4" t="s">
        <v>443</v>
      </c>
      <c r="W146" s="4" t="s">
        <v>37</v>
      </c>
      <c r="X146" s="4" t="s">
        <v>616</v>
      </c>
      <c r="Y146" s="235" t="s">
        <v>617</v>
      </c>
      <c r="Z146" s="167" t="s">
        <v>364</v>
      </c>
    </row>
    <row r="147" spans="1:26" ht="21.75" customHeight="1">
      <c r="A147" s="164" t="s">
        <v>812</v>
      </c>
      <c r="B147" s="29" t="s">
        <v>478</v>
      </c>
      <c r="C147" s="4" t="s">
        <v>882</v>
      </c>
      <c r="E147" s="232">
        <v>46006</v>
      </c>
      <c r="F147" s="2">
        <f>E147+14</f>
        <v>46020</v>
      </c>
      <c r="G147" s="332" t="s">
        <v>42</v>
      </c>
      <c r="H147" s="41">
        <v>3300</v>
      </c>
      <c r="I147" s="1" t="s">
        <v>883</v>
      </c>
      <c r="J147" s="1" t="s">
        <v>434</v>
      </c>
      <c r="K147" s="1" t="s">
        <v>31</v>
      </c>
      <c r="M147" s="1" t="s">
        <v>32</v>
      </c>
      <c r="O147" s="1" t="s">
        <v>884</v>
      </c>
      <c r="P147" s="1" t="s">
        <v>885</v>
      </c>
      <c r="Q147" s="87" t="s">
        <v>886</v>
      </c>
      <c r="R147" s="31">
        <v>107457</v>
      </c>
      <c r="V147" s="4" t="s">
        <v>36</v>
      </c>
      <c r="W147" s="4" t="s">
        <v>37</v>
      </c>
      <c r="X147" s="1" t="s">
        <v>59</v>
      </c>
      <c r="Y147" s="235" t="s">
        <v>617</v>
      </c>
      <c r="Z147" s="167" t="s">
        <v>364</v>
      </c>
    </row>
    <row r="148" spans="1:26" ht="21.75" customHeight="1">
      <c r="A148" s="164" t="s">
        <v>812</v>
      </c>
      <c r="B148" s="29" t="s">
        <v>478</v>
      </c>
      <c r="C148" s="4" t="s">
        <v>887</v>
      </c>
      <c r="E148" s="232">
        <v>46008</v>
      </c>
      <c r="F148" s="2">
        <f>E148+14</f>
        <v>46022</v>
      </c>
      <c r="G148" s="332" t="s">
        <v>42</v>
      </c>
      <c r="H148" s="41">
        <v>3900</v>
      </c>
      <c r="I148" s="1" t="s">
        <v>888</v>
      </c>
      <c r="J148" s="1" t="s">
        <v>434</v>
      </c>
      <c r="K148" s="1" t="s">
        <v>31</v>
      </c>
      <c r="L148" s="1">
        <v>85043</v>
      </c>
      <c r="M148" s="1" t="s">
        <v>32</v>
      </c>
      <c r="O148" s="1" t="s">
        <v>889</v>
      </c>
      <c r="P148" s="1" t="s">
        <v>890</v>
      </c>
      <c r="Q148" s="184" t="s">
        <v>891</v>
      </c>
      <c r="R148" s="174"/>
      <c r="V148" s="4" t="s">
        <v>443</v>
      </c>
      <c r="W148" s="4" t="s">
        <v>37</v>
      </c>
      <c r="X148" s="4" t="s">
        <v>616</v>
      </c>
      <c r="Y148" s="235" t="s">
        <v>617</v>
      </c>
    </row>
    <row r="149" spans="1:26" ht="16.5" customHeight="1">
      <c r="A149" s="164" t="s">
        <v>812</v>
      </c>
      <c r="B149" s="29" t="s">
        <v>478</v>
      </c>
      <c r="C149" t="s">
        <v>892</v>
      </c>
      <c r="E149" s="232">
        <v>46008</v>
      </c>
      <c r="F149" s="2">
        <f>E149+14</f>
        <v>46022</v>
      </c>
      <c r="G149" s="332" t="s">
        <v>42</v>
      </c>
      <c r="H149" s="41">
        <v>8400</v>
      </c>
      <c r="I149" s="25" t="s">
        <v>893</v>
      </c>
      <c r="J149" s="1" t="s">
        <v>894</v>
      </c>
      <c r="K149" s="1" t="s">
        <v>31</v>
      </c>
      <c r="L149" s="1">
        <v>85353</v>
      </c>
      <c r="M149" s="1" t="s">
        <v>32</v>
      </c>
      <c r="O149" s="1" t="s">
        <v>895</v>
      </c>
      <c r="P149" s="1" t="s">
        <v>896</v>
      </c>
      <c r="Q149" s="184" t="s">
        <v>897</v>
      </c>
      <c r="R149" s="178">
        <v>110254</v>
      </c>
      <c r="V149" s="4" t="s">
        <v>443</v>
      </c>
      <c r="W149" s="4" t="s">
        <v>37</v>
      </c>
      <c r="X149" s="4" t="s">
        <v>616</v>
      </c>
      <c r="Y149" s="235" t="s">
        <v>617</v>
      </c>
    </row>
    <row r="150" spans="1:26" ht="23.25" customHeight="1">
      <c r="A150" s="164" t="s">
        <v>812</v>
      </c>
      <c r="B150" s="29" t="s">
        <v>898</v>
      </c>
      <c r="C150" t="s">
        <v>899</v>
      </c>
      <c r="D150" s="2"/>
      <c r="E150" s="232">
        <v>46007</v>
      </c>
      <c r="F150" s="2">
        <f>E150+14</f>
        <v>46021</v>
      </c>
      <c r="G150" s="331" t="s">
        <v>42</v>
      </c>
      <c r="H150" s="2" t="s">
        <v>528</v>
      </c>
      <c r="I150" s="206" t="s">
        <v>900</v>
      </c>
      <c r="J150" s="1" t="s">
        <v>844</v>
      </c>
      <c r="K150" s="1" t="s">
        <v>31</v>
      </c>
      <c r="L150" s="1">
        <v>85338</v>
      </c>
      <c r="M150" s="1" t="s">
        <v>32</v>
      </c>
      <c r="O150" s="42" t="s">
        <v>901</v>
      </c>
      <c r="P150" s="179" t="s">
        <v>902</v>
      </c>
      <c r="Q150" s="184" t="s">
        <v>903</v>
      </c>
      <c r="R150" s="173"/>
      <c r="V150" s="4" t="s">
        <v>443</v>
      </c>
      <c r="W150" s="4" t="s">
        <v>37</v>
      </c>
      <c r="X150" s="4" t="s">
        <v>616</v>
      </c>
      <c r="Y150" s="235" t="s">
        <v>617</v>
      </c>
      <c r="Z150" s="167" t="s">
        <v>364</v>
      </c>
    </row>
    <row r="151" spans="1:26" ht="18.75" customHeight="1">
      <c r="A151" s="164" t="s">
        <v>812</v>
      </c>
      <c r="B151" s="29" t="s">
        <v>904</v>
      </c>
      <c r="C151" s="4" t="s">
        <v>905</v>
      </c>
      <c r="D151" s="2"/>
      <c r="E151" s="232">
        <v>46022</v>
      </c>
      <c r="F151" s="2">
        <f>E151+14</f>
        <v>46036</v>
      </c>
      <c r="G151" s="332" t="s">
        <v>28</v>
      </c>
      <c r="H151" s="41">
        <v>2600</v>
      </c>
      <c r="I151" s="1" t="s">
        <v>906</v>
      </c>
      <c r="J151" s="1" t="s">
        <v>434</v>
      </c>
      <c r="K151" s="1" t="s">
        <v>31</v>
      </c>
      <c r="L151" s="1">
        <v>85043</v>
      </c>
      <c r="M151" s="1" t="s">
        <v>32</v>
      </c>
      <c r="O151" s="179"/>
      <c r="P151" s="179"/>
      <c r="Q151" s="239"/>
      <c r="R151" s="178"/>
      <c r="V151" s="4" t="s">
        <v>443</v>
      </c>
      <c r="W151" s="4" t="s">
        <v>37</v>
      </c>
      <c r="X151" s="4" t="s">
        <v>616</v>
      </c>
      <c r="Y151" s="235" t="s">
        <v>617</v>
      </c>
      <c r="Z151" s="167" t="s">
        <v>364</v>
      </c>
    </row>
    <row r="152" spans="1:26">
      <c r="A152" s="164" t="s">
        <v>812</v>
      </c>
      <c r="B152" s="29" t="s">
        <v>907</v>
      </c>
      <c r="C152" s="4" t="s">
        <v>908</v>
      </c>
      <c r="D152" s="2"/>
      <c r="E152" s="232">
        <v>46008</v>
      </c>
      <c r="F152" s="2">
        <f>E152+14</f>
        <v>46022</v>
      </c>
      <c r="G152" s="332" t="s">
        <v>28</v>
      </c>
      <c r="H152" s="41">
        <v>9700</v>
      </c>
      <c r="I152" s="1" t="s">
        <v>909</v>
      </c>
      <c r="J152" s="1" t="s">
        <v>910</v>
      </c>
      <c r="K152" s="1" t="s">
        <v>31</v>
      </c>
      <c r="L152" s="1">
        <v>85339</v>
      </c>
      <c r="M152" s="1" t="s">
        <v>32</v>
      </c>
      <c r="O152" s="179" t="s">
        <v>911</v>
      </c>
      <c r="P152" s="179" t="s">
        <v>912</v>
      </c>
      <c r="Q152" s="184" t="s">
        <v>913</v>
      </c>
      <c r="R152" s="178"/>
      <c r="V152" s="4" t="s">
        <v>443</v>
      </c>
      <c r="W152" s="4" t="s">
        <v>37</v>
      </c>
      <c r="X152" s="17" t="s">
        <v>616</v>
      </c>
      <c r="Y152" s="302" t="s">
        <v>617</v>
      </c>
      <c r="Z152" s="167" t="s">
        <v>364</v>
      </c>
    </row>
    <row r="153" spans="1:26">
      <c r="A153" s="258" t="s">
        <v>812</v>
      </c>
      <c r="B153" s="29" t="s">
        <v>907</v>
      </c>
      <c r="C153" s="4" t="s">
        <v>914</v>
      </c>
      <c r="E153" s="232">
        <v>46009</v>
      </c>
      <c r="F153" s="2">
        <f>E153+14</f>
        <v>46023</v>
      </c>
      <c r="G153" s="331" t="s">
        <v>42</v>
      </c>
      <c r="H153" s="41">
        <v>4410</v>
      </c>
      <c r="I153" s="1" t="s">
        <v>915</v>
      </c>
      <c r="J153" s="1" t="s">
        <v>916</v>
      </c>
      <c r="K153" s="1" t="s">
        <v>31</v>
      </c>
      <c r="L153" s="1">
        <v>85714</v>
      </c>
      <c r="M153" s="1" t="s">
        <v>32</v>
      </c>
      <c r="O153" s="1" t="s">
        <v>917</v>
      </c>
      <c r="P153" s="1" t="s">
        <v>918</v>
      </c>
      <c r="Q153" s="99" t="s">
        <v>919</v>
      </c>
      <c r="R153" s="31">
        <v>104055</v>
      </c>
      <c r="V153" s="4" t="s">
        <v>443</v>
      </c>
      <c r="W153" s="4" t="s">
        <v>37</v>
      </c>
      <c r="X153" s="4" t="s">
        <v>616</v>
      </c>
      <c r="Y153" s="235" t="s">
        <v>617</v>
      </c>
    </row>
    <row r="154" spans="1:26" ht="15.75" customHeight="1">
      <c r="A154" s="258" t="s">
        <v>812</v>
      </c>
      <c r="B154" s="29" t="s">
        <v>907</v>
      </c>
      <c r="C154" s="4" t="s">
        <v>920</v>
      </c>
      <c r="E154" s="232">
        <v>46009</v>
      </c>
      <c r="F154" s="2">
        <f>E154+14</f>
        <v>46023</v>
      </c>
      <c r="G154" s="331" t="s">
        <v>42</v>
      </c>
      <c r="H154" s="41">
        <v>800</v>
      </c>
      <c r="I154" s="1" t="s">
        <v>921</v>
      </c>
      <c r="J154" s="1" t="s">
        <v>916</v>
      </c>
      <c r="K154" s="1" t="s">
        <v>31</v>
      </c>
      <c r="L154" s="1">
        <v>85719</v>
      </c>
      <c r="M154" s="1" t="s">
        <v>32</v>
      </c>
      <c r="O154" s="1" t="s">
        <v>922</v>
      </c>
      <c r="P154" s="1" t="s">
        <v>923</v>
      </c>
      <c r="Q154" s="99" t="s">
        <v>924</v>
      </c>
      <c r="R154" s="31">
        <v>111862</v>
      </c>
      <c r="V154" s="4" t="s">
        <v>443</v>
      </c>
      <c r="W154" s="4" t="s">
        <v>37</v>
      </c>
      <c r="X154" s="4" t="s">
        <v>616</v>
      </c>
      <c r="Y154" s="235" t="s">
        <v>617</v>
      </c>
    </row>
    <row r="155" spans="1:26" ht="21" customHeight="1">
      <c r="A155" s="258" t="s">
        <v>812</v>
      </c>
      <c r="B155" s="15" t="s">
        <v>925</v>
      </c>
      <c r="C155" s="29" t="s">
        <v>926</v>
      </c>
      <c r="D155" s="26">
        <v>45485</v>
      </c>
      <c r="E155" s="232">
        <v>46009</v>
      </c>
      <c r="F155" s="2">
        <f>E155+14</f>
        <v>46023</v>
      </c>
      <c r="G155" s="41" t="s">
        <v>28</v>
      </c>
      <c r="H155" s="1">
        <v>7157</v>
      </c>
      <c r="I155" s="1" t="s">
        <v>927</v>
      </c>
      <c r="J155" s="1" t="s">
        <v>916</v>
      </c>
      <c r="K155" s="1" t="s">
        <v>31</v>
      </c>
      <c r="M155" s="1" t="s">
        <v>32</v>
      </c>
      <c r="O155" s="1" t="s">
        <v>928</v>
      </c>
      <c r="P155" s="1" t="s">
        <v>929</v>
      </c>
      <c r="Q155" s="184" t="s">
        <v>930</v>
      </c>
      <c r="R155" s="179">
        <v>104339</v>
      </c>
      <c r="V155" s="4" t="s">
        <v>443</v>
      </c>
      <c r="W155" s="4" t="s">
        <v>37</v>
      </c>
      <c r="X155" s="4" t="s">
        <v>616</v>
      </c>
      <c r="Y155" s="235" t="s">
        <v>617</v>
      </c>
    </row>
    <row r="156" spans="1:26" ht="26.25" customHeight="1">
      <c r="A156" s="164" t="s">
        <v>812</v>
      </c>
      <c r="B156" s="29" t="s">
        <v>931</v>
      </c>
      <c r="C156" s="4" t="s">
        <v>932</v>
      </c>
      <c r="D156" s="2"/>
      <c r="E156" s="232">
        <v>46014</v>
      </c>
      <c r="F156" s="2">
        <f>E156+14</f>
        <v>46028</v>
      </c>
      <c r="G156" s="332" t="s">
        <v>28</v>
      </c>
      <c r="H156" s="41">
        <v>10100</v>
      </c>
      <c r="I156" s="1" t="s">
        <v>933</v>
      </c>
      <c r="J156" s="1" t="s">
        <v>934</v>
      </c>
      <c r="K156" s="1" t="s">
        <v>31</v>
      </c>
      <c r="L156" s="1">
        <v>85335</v>
      </c>
      <c r="M156" s="1" t="s">
        <v>32</v>
      </c>
      <c r="O156" s="179" t="s">
        <v>935</v>
      </c>
      <c r="P156" s="179" t="s">
        <v>936</v>
      </c>
      <c r="Q156" s="184" t="s">
        <v>937</v>
      </c>
      <c r="R156" s="178">
        <v>108716</v>
      </c>
      <c r="V156" s="4" t="s">
        <v>443</v>
      </c>
      <c r="W156" s="4" t="s">
        <v>37</v>
      </c>
      <c r="X156" s="4" t="s">
        <v>616</v>
      </c>
      <c r="Y156" s="235" t="s">
        <v>617</v>
      </c>
      <c r="Z156" s="167" t="s">
        <v>364</v>
      </c>
    </row>
    <row r="157" spans="1:26" ht="25.5" customHeight="1">
      <c r="A157" s="164" t="s">
        <v>812</v>
      </c>
      <c r="B157" s="29" t="s">
        <v>938</v>
      </c>
      <c r="C157" s="4" t="s">
        <v>939</v>
      </c>
      <c r="D157" s="2"/>
      <c r="E157" s="232">
        <v>46008</v>
      </c>
      <c r="F157" s="2">
        <f>E157+14</f>
        <v>46022</v>
      </c>
      <c r="G157" s="332" t="s">
        <v>28</v>
      </c>
      <c r="H157" s="41">
        <v>10667</v>
      </c>
      <c r="I157" s="1" t="s">
        <v>906</v>
      </c>
      <c r="J157" s="1" t="s">
        <v>910</v>
      </c>
      <c r="K157" s="1" t="s">
        <v>31</v>
      </c>
      <c r="M157" s="1" t="s">
        <v>32</v>
      </c>
      <c r="O157" s="179" t="s">
        <v>940</v>
      </c>
      <c r="P157" s="179" t="s">
        <v>941</v>
      </c>
      <c r="Q157" s="184" t="s">
        <v>942</v>
      </c>
      <c r="R157" s="178">
        <v>109492</v>
      </c>
      <c r="V157" s="4" t="s">
        <v>443</v>
      </c>
      <c r="W157" s="4" t="s">
        <v>37</v>
      </c>
      <c r="X157" s="17" t="s">
        <v>616</v>
      </c>
      <c r="Y157" s="302" t="s">
        <v>617</v>
      </c>
      <c r="Z157" s="167" t="s">
        <v>364</v>
      </c>
    </row>
    <row r="158" spans="1:26">
      <c r="A158" s="164" t="s">
        <v>812</v>
      </c>
      <c r="B158" s="29" t="s">
        <v>938</v>
      </c>
      <c r="C158" s="4" t="s">
        <v>943</v>
      </c>
      <c r="D158" s="2"/>
      <c r="E158" s="232">
        <v>46014</v>
      </c>
      <c r="F158" s="2">
        <f>E158+14</f>
        <v>46028</v>
      </c>
      <c r="G158" s="332" t="s">
        <v>28</v>
      </c>
      <c r="H158" s="41">
        <v>12800</v>
      </c>
      <c r="I158" s="1" t="s">
        <v>944</v>
      </c>
      <c r="J158" s="1" t="s">
        <v>822</v>
      </c>
      <c r="K158" s="1" t="s">
        <v>31</v>
      </c>
      <c r="L158" s="1">
        <v>85307</v>
      </c>
      <c r="M158" s="1" t="s">
        <v>32</v>
      </c>
      <c r="O158" s="1" t="s">
        <v>945</v>
      </c>
      <c r="P158" s="1" t="s">
        <v>946</v>
      </c>
      <c r="Q158" s="87" t="s">
        <v>947</v>
      </c>
      <c r="R158" s="31">
        <v>106092</v>
      </c>
      <c r="V158" s="4" t="s">
        <v>443</v>
      </c>
      <c r="W158" s="4" t="s">
        <v>37</v>
      </c>
      <c r="X158" s="17" t="s">
        <v>616</v>
      </c>
      <c r="Y158" s="302" t="s">
        <v>617</v>
      </c>
      <c r="Z158" s="167" t="s">
        <v>364</v>
      </c>
    </row>
    <row r="159" spans="1:26" ht="18.75" customHeight="1">
      <c r="A159" s="164" t="s">
        <v>812</v>
      </c>
      <c r="B159" s="29" t="s">
        <v>938</v>
      </c>
      <c r="C159" s="4" t="s">
        <v>948</v>
      </c>
      <c r="D159" s="2"/>
      <c r="E159" s="232">
        <v>46014</v>
      </c>
      <c r="F159" s="2">
        <f>E159+14</f>
        <v>46028</v>
      </c>
      <c r="G159" s="332" t="s">
        <v>28</v>
      </c>
      <c r="I159" s="1" t="s">
        <v>949</v>
      </c>
      <c r="J159" s="1" t="s">
        <v>844</v>
      </c>
      <c r="K159" s="1" t="s">
        <v>31</v>
      </c>
      <c r="M159" s="1" t="s">
        <v>32</v>
      </c>
      <c r="O159" s="1" t="s">
        <v>945</v>
      </c>
      <c r="P159" s="1" t="s">
        <v>946</v>
      </c>
      <c r="Q159" s="87" t="s">
        <v>950</v>
      </c>
      <c r="R159" s="31">
        <v>113113</v>
      </c>
      <c r="V159" s="4" t="s">
        <v>443</v>
      </c>
      <c r="W159" s="4" t="s">
        <v>37</v>
      </c>
      <c r="X159" s="4" t="s">
        <v>616</v>
      </c>
      <c r="Y159" s="235" t="s">
        <v>617</v>
      </c>
      <c r="Z159" s="167" t="s">
        <v>364</v>
      </c>
    </row>
    <row r="160" spans="1:26">
      <c r="A160" s="258" t="s">
        <v>812</v>
      </c>
      <c r="B160" s="29" t="s">
        <v>951</v>
      </c>
      <c r="C160" s="4" t="s">
        <v>952</v>
      </c>
      <c r="E160" s="232">
        <v>46009</v>
      </c>
      <c r="F160" s="2">
        <f>E160+14</f>
        <v>46023</v>
      </c>
      <c r="G160" s="331" t="s">
        <v>42</v>
      </c>
      <c r="H160" s="41">
        <v>165</v>
      </c>
      <c r="I160" s="1" t="s">
        <v>953</v>
      </c>
      <c r="J160" s="1" t="s">
        <v>916</v>
      </c>
      <c r="K160" s="1" t="s">
        <v>31</v>
      </c>
      <c r="L160" s="1">
        <v>85745</v>
      </c>
      <c r="M160" s="1" t="s">
        <v>32</v>
      </c>
      <c r="O160" s="1" t="s">
        <v>954</v>
      </c>
      <c r="P160" s="1" t="s">
        <v>955</v>
      </c>
      <c r="Q160" s="98" t="s">
        <v>956</v>
      </c>
      <c r="R160" s="178">
        <v>97808</v>
      </c>
      <c r="V160" s="4" t="s">
        <v>443</v>
      </c>
      <c r="W160" s="4" t="s">
        <v>37</v>
      </c>
      <c r="X160" s="4" t="s">
        <v>616</v>
      </c>
      <c r="Y160" s="235" t="s">
        <v>617</v>
      </c>
    </row>
    <row r="161" spans="1:38">
      <c r="A161" s="164" t="s">
        <v>812</v>
      </c>
      <c r="B161" s="29" t="s">
        <v>168</v>
      </c>
      <c r="C161" s="4" t="s">
        <v>957</v>
      </c>
      <c r="D161" s="2"/>
      <c r="E161" s="232">
        <v>46013</v>
      </c>
      <c r="F161" s="2">
        <f>E161+14</f>
        <v>46027</v>
      </c>
      <c r="G161" s="331" t="s">
        <v>42</v>
      </c>
      <c r="H161" s="41">
        <v>7901</v>
      </c>
      <c r="I161" s="1" t="s">
        <v>958</v>
      </c>
      <c r="J161" s="1" t="s">
        <v>831</v>
      </c>
      <c r="K161" s="1" t="s">
        <v>31</v>
      </c>
      <c r="L161" s="1">
        <v>85326</v>
      </c>
      <c r="M161" s="1" t="s">
        <v>32</v>
      </c>
      <c r="O161" s="1" t="s">
        <v>959</v>
      </c>
      <c r="P161" s="1" t="s">
        <v>960</v>
      </c>
      <c r="Q161" s="87" t="s">
        <v>961</v>
      </c>
      <c r="R161" s="31">
        <v>104675</v>
      </c>
      <c r="V161" s="4" t="s">
        <v>443</v>
      </c>
      <c r="W161" s="4" t="s">
        <v>37</v>
      </c>
      <c r="X161" s="4" t="s">
        <v>616</v>
      </c>
      <c r="Y161" s="235" t="s">
        <v>617</v>
      </c>
      <c r="Z161" s="167" t="s">
        <v>364</v>
      </c>
    </row>
    <row r="162" spans="1:38">
      <c r="A162" s="164" t="s">
        <v>812</v>
      </c>
      <c r="B162" s="29" t="s">
        <v>168</v>
      </c>
      <c r="C162" t="s">
        <v>962</v>
      </c>
      <c r="D162" s="60"/>
      <c r="E162" s="232">
        <v>46014</v>
      </c>
      <c r="F162" s="2">
        <f>E162+14</f>
        <v>46028</v>
      </c>
      <c r="G162" s="332" t="s">
        <v>42</v>
      </c>
      <c r="H162" s="54" t="s">
        <v>963</v>
      </c>
      <c r="I162" s="55" t="s">
        <v>964</v>
      </c>
      <c r="J162" s="55" t="s">
        <v>822</v>
      </c>
      <c r="K162" s="55" t="s">
        <v>31</v>
      </c>
      <c r="L162" s="55" t="s">
        <v>823</v>
      </c>
      <c r="M162" s="55" t="s">
        <v>32</v>
      </c>
      <c r="N162" s="56"/>
      <c r="O162" s="55"/>
      <c r="P162" s="55" t="s">
        <v>965</v>
      </c>
      <c r="Q162" s="89" t="s">
        <v>966</v>
      </c>
      <c r="R162" s="259"/>
      <c r="V162" s="4" t="s">
        <v>443</v>
      </c>
      <c r="W162" s="4" t="s">
        <v>37</v>
      </c>
      <c r="X162" s="4" t="s">
        <v>616</v>
      </c>
      <c r="Y162" s="235" t="s">
        <v>617</v>
      </c>
      <c r="Z162" s="167" t="s">
        <v>364</v>
      </c>
    </row>
    <row r="163" spans="1:38">
      <c r="A163" s="164" t="s">
        <v>812</v>
      </c>
      <c r="B163" s="29" t="s">
        <v>168</v>
      </c>
      <c r="C163" t="s">
        <v>967</v>
      </c>
      <c r="E163" s="232">
        <v>46015</v>
      </c>
      <c r="F163" s="2">
        <f>E163+14</f>
        <v>46029</v>
      </c>
      <c r="G163" s="332" t="s">
        <v>42</v>
      </c>
      <c r="H163" s="41">
        <v>4507</v>
      </c>
      <c r="I163" s="374" t="s">
        <v>968</v>
      </c>
      <c r="J163" s="1" t="s">
        <v>434</v>
      </c>
      <c r="K163" s="1" t="s">
        <v>31</v>
      </c>
      <c r="L163" s="1">
        <v>85031</v>
      </c>
      <c r="M163" s="1" t="s">
        <v>32</v>
      </c>
      <c r="O163" s="1" t="s">
        <v>969</v>
      </c>
      <c r="P163" s="1" t="s">
        <v>970</v>
      </c>
      <c r="Q163" s="87" t="s">
        <v>971</v>
      </c>
      <c r="R163" s="31">
        <v>108686</v>
      </c>
      <c r="V163" s="4" t="s">
        <v>443</v>
      </c>
      <c r="W163" s="4" t="s">
        <v>37</v>
      </c>
      <c r="X163" s="4" t="s">
        <v>616</v>
      </c>
      <c r="Y163" s="235" t="s">
        <v>617</v>
      </c>
    </row>
    <row r="164" spans="1:38" ht="16.5" customHeight="1">
      <c r="A164" s="258" t="s">
        <v>812</v>
      </c>
      <c r="B164" s="29" t="s">
        <v>972</v>
      </c>
      <c r="C164" s="158" t="s">
        <v>973</v>
      </c>
      <c r="D164" s="2"/>
      <c r="E164" s="232">
        <v>46009</v>
      </c>
      <c r="F164" s="2">
        <f>E164+14</f>
        <v>46023</v>
      </c>
      <c r="G164" s="332" t="s">
        <v>28</v>
      </c>
      <c r="I164" s="297" t="s">
        <v>974</v>
      </c>
      <c r="J164" s="1" t="s">
        <v>975</v>
      </c>
      <c r="K164" s="1" t="s">
        <v>31</v>
      </c>
      <c r="L164" s="1">
        <v>85741</v>
      </c>
      <c r="M164" s="1" t="s">
        <v>32</v>
      </c>
      <c r="O164" s="73"/>
      <c r="Q164" s="98" t="s">
        <v>976</v>
      </c>
      <c r="R164" s="31">
        <v>113170</v>
      </c>
      <c r="V164" s="4" t="s">
        <v>443</v>
      </c>
      <c r="W164" s="4" t="s">
        <v>37</v>
      </c>
      <c r="X164" s="17" t="s">
        <v>616</v>
      </c>
      <c r="Y164" s="302" t="s">
        <v>617</v>
      </c>
    </row>
    <row r="165" spans="1:38" ht="22.5" customHeight="1">
      <c r="A165" s="164" t="s">
        <v>812</v>
      </c>
      <c r="B165" s="29" t="s">
        <v>977</v>
      </c>
      <c r="C165" s="4" t="s">
        <v>978</v>
      </c>
      <c r="E165" s="232">
        <v>46015</v>
      </c>
      <c r="F165" s="2">
        <f>E165+14</f>
        <v>46029</v>
      </c>
      <c r="G165" s="332" t="s">
        <v>42</v>
      </c>
      <c r="H165" s="41">
        <v>3622</v>
      </c>
      <c r="I165" s="374" t="s">
        <v>979</v>
      </c>
      <c r="J165" s="1" t="s">
        <v>434</v>
      </c>
      <c r="K165" s="1" t="s">
        <v>31</v>
      </c>
      <c r="L165" s="1">
        <v>85009</v>
      </c>
      <c r="M165" s="1" t="s">
        <v>32</v>
      </c>
      <c r="O165" s="1" t="s">
        <v>980</v>
      </c>
      <c r="P165" s="1" t="s">
        <v>981</v>
      </c>
      <c r="Q165" s="87" t="s">
        <v>982</v>
      </c>
      <c r="V165" s="4" t="s">
        <v>443</v>
      </c>
      <c r="W165" s="4" t="s">
        <v>37</v>
      </c>
      <c r="X165" s="17" t="s">
        <v>616</v>
      </c>
      <c r="Y165" s="302" t="s">
        <v>617</v>
      </c>
    </row>
    <row r="166" spans="1:38" ht="14.25" customHeight="1">
      <c r="A166" s="164" t="s">
        <v>812</v>
      </c>
      <c r="B166" s="70" t="s">
        <v>559</v>
      </c>
      <c r="C166" s="4" t="s">
        <v>983</v>
      </c>
      <c r="D166" s="2"/>
      <c r="E166" s="232">
        <v>46014</v>
      </c>
      <c r="F166" s="2">
        <f>E166+14</f>
        <v>46028</v>
      </c>
      <c r="G166" s="332" t="s">
        <v>42</v>
      </c>
      <c r="H166" s="41">
        <v>8785</v>
      </c>
      <c r="I166" s="1" t="s">
        <v>984</v>
      </c>
      <c r="J166" s="1" t="s">
        <v>985</v>
      </c>
      <c r="K166" s="1" t="s">
        <v>31</v>
      </c>
      <c r="L166" s="1">
        <v>85335</v>
      </c>
      <c r="M166" s="1" t="s">
        <v>32</v>
      </c>
      <c r="O166" s="1" t="s">
        <v>986</v>
      </c>
      <c r="P166" s="352" t="s">
        <v>987</v>
      </c>
      <c r="Q166" s="87" t="s">
        <v>988</v>
      </c>
      <c r="R166" s="178">
        <v>111472</v>
      </c>
      <c r="V166" s="4" t="s">
        <v>443</v>
      </c>
      <c r="W166" s="4" t="s">
        <v>37</v>
      </c>
      <c r="X166" s="4" t="s">
        <v>616</v>
      </c>
      <c r="Y166" s="235" t="s">
        <v>617</v>
      </c>
      <c r="Z166" s="167" t="s">
        <v>364</v>
      </c>
      <c r="AI166" s="119"/>
      <c r="AJ166" s="119"/>
      <c r="AK166" s="119"/>
      <c r="AL166" s="119"/>
    </row>
    <row r="167" spans="1:38" ht="21" customHeight="1">
      <c r="A167" s="164" t="s">
        <v>812</v>
      </c>
      <c r="B167" s="29" t="s">
        <v>989</v>
      </c>
      <c r="C167" s="4" t="s">
        <v>990</v>
      </c>
      <c r="D167" s="2"/>
      <c r="E167" s="232">
        <v>46014</v>
      </c>
      <c r="F167" s="2">
        <f>E167+14</f>
        <v>46028</v>
      </c>
      <c r="G167" s="331" t="s">
        <v>42</v>
      </c>
      <c r="H167" s="41">
        <v>16431</v>
      </c>
      <c r="I167" s="1" t="s">
        <v>991</v>
      </c>
      <c r="J167" s="1" t="s">
        <v>837</v>
      </c>
      <c r="K167" s="1" t="s">
        <v>31</v>
      </c>
      <c r="L167" s="1">
        <v>85374</v>
      </c>
      <c r="M167" s="1" t="s">
        <v>32</v>
      </c>
      <c r="O167" s="253" t="s">
        <v>992</v>
      </c>
      <c r="P167" s="1" t="s">
        <v>993</v>
      </c>
      <c r="Q167" s="251" t="s">
        <v>994</v>
      </c>
      <c r="R167" s="178" t="s">
        <v>35</v>
      </c>
      <c r="V167" s="4" t="s">
        <v>443</v>
      </c>
      <c r="W167" s="4" t="s">
        <v>37</v>
      </c>
      <c r="X167" s="17" t="s">
        <v>616</v>
      </c>
      <c r="Y167" s="302" t="s">
        <v>617</v>
      </c>
      <c r="Z167" s="167" t="s">
        <v>364</v>
      </c>
    </row>
    <row r="168" spans="1:38" ht="21.75" customHeight="1">
      <c r="A168" s="164" t="s">
        <v>812</v>
      </c>
      <c r="B168" s="29" t="s">
        <v>989</v>
      </c>
      <c r="C168" s="4" t="s">
        <v>995</v>
      </c>
      <c r="D168" s="2"/>
      <c r="E168" s="232">
        <v>46015</v>
      </c>
      <c r="F168" s="2">
        <f>E168+14</f>
        <v>46029</v>
      </c>
      <c r="G168" s="331" t="s">
        <v>42</v>
      </c>
      <c r="H168" s="41">
        <v>7930</v>
      </c>
      <c r="I168" s="1" t="s">
        <v>996</v>
      </c>
      <c r="J168" s="1" t="s">
        <v>851</v>
      </c>
      <c r="K168" s="1" t="s">
        <v>31</v>
      </c>
      <c r="L168" s="1">
        <v>85345</v>
      </c>
      <c r="M168" s="1" t="s">
        <v>32</v>
      </c>
      <c r="O168" s="253" t="s">
        <v>997</v>
      </c>
      <c r="P168" s="1" t="s">
        <v>998</v>
      </c>
      <c r="Q168" s="99" t="s">
        <v>999</v>
      </c>
      <c r="R168" s="178" t="s">
        <v>35</v>
      </c>
      <c r="V168" s="4" t="s">
        <v>443</v>
      </c>
      <c r="W168" s="4" t="s">
        <v>37</v>
      </c>
      <c r="X168" s="17" t="s">
        <v>616</v>
      </c>
      <c r="Y168" s="302" t="s">
        <v>617</v>
      </c>
      <c r="Z168" s="167" t="s">
        <v>364</v>
      </c>
    </row>
    <row r="169" spans="1:38">
      <c r="A169" s="164" t="s">
        <v>812</v>
      </c>
      <c r="B169" s="102" t="s">
        <v>1000</v>
      </c>
      <c r="C169" s="17" t="s">
        <v>1001</v>
      </c>
      <c r="D169" s="312"/>
      <c r="E169" s="232">
        <v>46008</v>
      </c>
      <c r="F169" s="298">
        <f>E169+14</f>
        <v>46022</v>
      </c>
      <c r="G169" s="347" t="s">
        <v>28</v>
      </c>
      <c r="H169" s="299">
        <v>9301</v>
      </c>
      <c r="I169" s="12" t="s">
        <v>1002</v>
      </c>
      <c r="J169" s="12" t="s">
        <v>434</v>
      </c>
      <c r="K169" s="12" t="s">
        <v>31</v>
      </c>
      <c r="L169" s="12">
        <v>85353</v>
      </c>
      <c r="M169" s="12" t="s">
        <v>32</v>
      </c>
      <c r="N169" s="17"/>
      <c r="O169" s="1" t="s">
        <v>1003</v>
      </c>
      <c r="P169" s="1" t="s">
        <v>1004</v>
      </c>
      <c r="Q169" s="239" t="s">
        <v>1005</v>
      </c>
      <c r="R169" s="319">
        <v>111055</v>
      </c>
      <c r="S169" s="17"/>
      <c r="T169" s="17"/>
      <c r="U169" s="17"/>
      <c r="V169" s="17" t="s">
        <v>443</v>
      </c>
      <c r="W169" s="17" t="s">
        <v>37</v>
      </c>
      <c r="X169" s="17" t="s">
        <v>616</v>
      </c>
      <c r="Y169" s="302" t="s">
        <v>617</v>
      </c>
      <c r="Z169" s="303" t="s">
        <v>364</v>
      </c>
      <c r="AA169" s="17"/>
      <c r="AB169" s="17"/>
      <c r="AC169" s="17"/>
      <c r="AD169" s="17"/>
      <c r="AE169" s="17"/>
      <c r="AF169" s="17"/>
      <c r="AG169" s="17"/>
      <c r="AH169" s="17"/>
    </row>
    <row r="170" spans="1:38" ht="27.75" customHeight="1">
      <c r="A170" s="164" t="s">
        <v>812</v>
      </c>
      <c r="B170" s="29" t="s">
        <v>194</v>
      </c>
      <c r="C170" s="4" t="s">
        <v>1006</v>
      </c>
      <c r="D170" s="2">
        <v>45159</v>
      </c>
      <c r="E170" s="232">
        <v>46007</v>
      </c>
      <c r="F170" s="2">
        <f>E170+14</f>
        <v>46021</v>
      </c>
      <c r="G170" s="331" t="s">
        <v>28</v>
      </c>
      <c r="H170" s="2"/>
      <c r="I170" s="41" t="s">
        <v>900</v>
      </c>
      <c r="J170" s="1" t="s">
        <v>844</v>
      </c>
      <c r="K170" s="1" t="s">
        <v>31</v>
      </c>
      <c r="L170" s="1">
        <v>85338</v>
      </c>
      <c r="M170" s="1" t="s">
        <v>32</v>
      </c>
      <c r="N170" s="4" t="s">
        <v>645</v>
      </c>
      <c r="O170" s="41" t="s">
        <v>1007</v>
      </c>
      <c r="P170" s="1" t="s">
        <v>1008</v>
      </c>
      <c r="Q170" s="87" t="s">
        <v>1009</v>
      </c>
      <c r="R170" s="1">
        <v>99965</v>
      </c>
      <c r="V170" s="4" t="s">
        <v>443</v>
      </c>
      <c r="W170" s="4" t="s">
        <v>37</v>
      </c>
      <c r="X170" s="4" t="s">
        <v>616</v>
      </c>
      <c r="Y170" s="235" t="s">
        <v>617</v>
      </c>
      <c r="Z170" s="167" t="s">
        <v>364</v>
      </c>
    </row>
    <row r="171" spans="1:38" ht="18" customHeight="1">
      <c r="A171" s="164" t="s">
        <v>812</v>
      </c>
      <c r="B171" s="29" t="s">
        <v>1010</v>
      </c>
      <c r="C171" s="4" t="s">
        <v>1011</v>
      </c>
      <c r="E171" s="232">
        <v>46006</v>
      </c>
      <c r="F171" s="2">
        <f>E171+14</f>
        <v>46020</v>
      </c>
      <c r="G171" s="332" t="s">
        <v>42</v>
      </c>
      <c r="H171" s="41">
        <v>1690</v>
      </c>
      <c r="I171" s="1" t="s">
        <v>1012</v>
      </c>
      <c r="J171" s="1" t="s">
        <v>434</v>
      </c>
      <c r="K171" s="1" t="s">
        <v>31</v>
      </c>
      <c r="L171" s="1">
        <v>85037</v>
      </c>
      <c r="M171" s="1" t="s">
        <v>32</v>
      </c>
      <c r="O171" s="179" t="s">
        <v>1013</v>
      </c>
      <c r="P171" s="179" t="s">
        <v>1014</v>
      </c>
      <c r="Q171" s="184" t="s">
        <v>1015</v>
      </c>
      <c r="R171" s="178">
        <v>107511</v>
      </c>
      <c r="V171" s="4" t="s">
        <v>443</v>
      </c>
      <c r="W171" s="4" t="s">
        <v>37</v>
      </c>
      <c r="X171" s="17" t="s">
        <v>616</v>
      </c>
      <c r="Y171" s="302" t="s">
        <v>617</v>
      </c>
    </row>
    <row r="172" spans="1:38" ht="23.25" customHeight="1">
      <c r="A172" s="164" t="s">
        <v>812</v>
      </c>
      <c r="B172" s="29" t="s">
        <v>226</v>
      </c>
      <c r="C172" s="4" t="s">
        <v>1016</v>
      </c>
      <c r="D172" s="2">
        <v>44823</v>
      </c>
      <c r="E172" s="232">
        <v>46013</v>
      </c>
      <c r="F172" s="2">
        <f>E172+14</f>
        <v>46027</v>
      </c>
      <c r="G172" s="332" t="s">
        <v>42</v>
      </c>
      <c r="H172" s="41">
        <v>17505</v>
      </c>
      <c r="I172" s="1" t="s">
        <v>1017</v>
      </c>
      <c r="J172" s="1" t="s">
        <v>844</v>
      </c>
      <c r="K172" s="1" t="s">
        <v>31</v>
      </c>
      <c r="L172" s="1">
        <v>85338</v>
      </c>
      <c r="M172" s="1" t="s">
        <v>32</v>
      </c>
      <c r="O172" s="179" t="s">
        <v>1018</v>
      </c>
      <c r="P172" s="179" t="s">
        <v>1019</v>
      </c>
      <c r="Q172" s="87" t="s">
        <v>1020</v>
      </c>
      <c r="R172" s="178">
        <v>105197</v>
      </c>
      <c r="V172" s="4" t="s">
        <v>443</v>
      </c>
      <c r="W172" s="4" t="s">
        <v>37</v>
      </c>
      <c r="X172" s="4" t="s">
        <v>616</v>
      </c>
      <c r="Y172" s="235" t="s">
        <v>617</v>
      </c>
      <c r="Z172" s="167" t="s">
        <v>364</v>
      </c>
    </row>
    <row r="173" spans="1:38" ht="21" customHeight="1">
      <c r="A173" s="164" t="s">
        <v>812</v>
      </c>
      <c r="B173" s="29" t="s">
        <v>226</v>
      </c>
      <c r="C173" s="4" t="s">
        <v>1021</v>
      </c>
      <c r="D173" s="2"/>
      <c r="E173" s="232">
        <v>46014</v>
      </c>
      <c r="F173" s="2">
        <f>E173+14</f>
        <v>46028</v>
      </c>
      <c r="G173" s="332" t="s">
        <v>42</v>
      </c>
      <c r="H173" s="41">
        <v>10001</v>
      </c>
      <c r="I173" s="1" t="s">
        <v>984</v>
      </c>
      <c r="J173" s="1" t="s">
        <v>822</v>
      </c>
      <c r="K173" s="1" t="s">
        <v>31</v>
      </c>
      <c r="M173" s="1" t="s">
        <v>32</v>
      </c>
      <c r="O173" s="179" t="s">
        <v>1022</v>
      </c>
      <c r="P173" s="179" t="s">
        <v>1023</v>
      </c>
      <c r="Q173" s="87" t="s">
        <v>1024</v>
      </c>
      <c r="R173" s="178">
        <v>112155</v>
      </c>
      <c r="V173" s="4" t="s">
        <v>443</v>
      </c>
      <c r="W173" s="4" t="s">
        <v>37</v>
      </c>
      <c r="X173" s="4" t="s">
        <v>616</v>
      </c>
      <c r="Y173" s="235" t="s">
        <v>617</v>
      </c>
      <c r="Z173" s="167" t="s">
        <v>364</v>
      </c>
    </row>
    <row r="174" spans="1:38" ht="23.25" customHeight="1">
      <c r="A174" s="164" t="s">
        <v>812</v>
      </c>
      <c r="B174" s="15" t="s">
        <v>236</v>
      </c>
      <c r="C174" s="29" t="s">
        <v>1025</v>
      </c>
      <c r="D174" s="130" t="s">
        <v>516</v>
      </c>
      <c r="E174" s="232">
        <v>46006</v>
      </c>
      <c r="F174" s="2">
        <f>E174+14</f>
        <v>46020</v>
      </c>
      <c r="G174" s="42" t="s">
        <v>42</v>
      </c>
      <c r="H174" s="1" t="s">
        <v>379</v>
      </c>
      <c r="I174" s="1" t="s">
        <v>1026</v>
      </c>
      <c r="J174" s="1" t="s">
        <v>434</v>
      </c>
      <c r="K174" s="1" t="s">
        <v>31</v>
      </c>
      <c r="L174" s="1">
        <v>85037</v>
      </c>
      <c r="M174" s="1" t="s">
        <v>32</v>
      </c>
      <c r="O174" s="179" t="s">
        <v>1027</v>
      </c>
      <c r="P174" s="179" t="s">
        <v>1028</v>
      </c>
      <c r="Q174" s="184" t="s">
        <v>1029</v>
      </c>
      <c r="R174" s="178">
        <v>102997</v>
      </c>
      <c r="V174" s="4" t="s">
        <v>443</v>
      </c>
      <c r="W174" s="4" t="s">
        <v>37</v>
      </c>
      <c r="X174" s="4" t="s">
        <v>616</v>
      </c>
      <c r="Y174" s="241" t="s">
        <v>617</v>
      </c>
      <c r="Z174" s="167" t="s">
        <v>364</v>
      </c>
    </row>
    <row r="175" spans="1:38" ht="26.25" customHeight="1">
      <c r="A175" s="164" t="s">
        <v>812</v>
      </c>
      <c r="B175" s="29" t="s">
        <v>236</v>
      </c>
      <c r="C175" s="4" t="s">
        <v>1030</v>
      </c>
      <c r="D175" s="2"/>
      <c r="E175" s="232">
        <v>46015</v>
      </c>
      <c r="F175" s="2">
        <f>E175+14</f>
        <v>46029</v>
      </c>
      <c r="G175" s="332" t="s">
        <v>42</v>
      </c>
      <c r="H175" s="41">
        <v>7676</v>
      </c>
      <c r="I175" s="1" t="s">
        <v>1031</v>
      </c>
      <c r="J175" s="1" t="s">
        <v>822</v>
      </c>
      <c r="K175" s="1" t="s">
        <v>31</v>
      </c>
      <c r="L175" s="1">
        <v>85307</v>
      </c>
      <c r="M175" s="1" t="s">
        <v>32</v>
      </c>
      <c r="O175" s="179" t="s">
        <v>1027</v>
      </c>
      <c r="P175" s="179" t="s">
        <v>1028</v>
      </c>
      <c r="Q175" s="184" t="s">
        <v>1032</v>
      </c>
      <c r="R175" s="178">
        <v>110832</v>
      </c>
      <c r="V175" s="4" t="s">
        <v>443</v>
      </c>
      <c r="W175" s="4" t="s">
        <v>37</v>
      </c>
      <c r="X175" s="4" t="s">
        <v>616</v>
      </c>
      <c r="Y175" s="235" t="s">
        <v>617</v>
      </c>
      <c r="Z175" s="167" t="s">
        <v>364</v>
      </c>
    </row>
    <row r="176" spans="1:38">
      <c r="A176" s="164" t="s">
        <v>812</v>
      </c>
      <c r="B176" s="29" t="s">
        <v>236</v>
      </c>
      <c r="C176" s="4" t="s">
        <v>1033</v>
      </c>
      <c r="D176" s="2"/>
      <c r="E176" s="232">
        <v>46015</v>
      </c>
      <c r="F176" s="2">
        <f>E176+14</f>
        <v>46029</v>
      </c>
      <c r="G176" s="332" t="s">
        <v>649</v>
      </c>
      <c r="H176" s="41">
        <v>7839</v>
      </c>
      <c r="I176" s="1" t="s">
        <v>1034</v>
      </c>
      <c r="J176" s="1" t="s">
        <v>822</v>
      </c>
      <c r="K176" s="1" t="s">
        <v>31</v>
      </c>
      <c r="M176" s="1" t="s">
        <v>32</v>
      </c>
      <c r="O176" s="179"/>
      <c r="P176" s="179"/>
      <c r="Q176" s="184"/>
      <c r="R176" s="178">
        <v>110843</v>
      </c>
      <c r="V176" s="4" t="s">
        <v>443</v>
      </c>
      <c r="W176" s="4" t="s">
        <v>37</v>
      </c>
      <c r="X176" s="4" t="s">
        <v>616</v>
      </c>
      <c r="Y176" s="235" t="s">
        <v>617</v>
      </c>
      <c r="Z176" s="167" t="s">
        <v>364</v>
      </c>
    </row>
    <row r="177" spans="1:38">
      <c r="A177" s="164" t="s">
        <v>812</v>
      </c>
      <c r="B177" s="70" t="s">
        <v>1035</v>
      </c>
      <c r="C177" s="373" t="s">
        <v>1036</v>
      </c>
      <c r="D177" s="60"/>
      <c r="E177" s="232">
        <v>46014</v>
      </c>
      <c r="F177" s="2">
        <f>E177+14</f>
        <v>46028</v>
      </c>
      <c r="G177" s="332" t="s">
        <v>649</v>
      </c>
      <c r="H177" s="54" t="s">
        <v>1037</v>
      </c>
      <c r="I177" s="414" t="s">
        <v>1038</v>
      </c>
      <c r="J177" s="55" t="s">
        <v>851</v>
      </c>
      <c r="K177" s="55" t="s">
        <v>31</v>
      </c>
      <c r="L177" s="55" t="s">
        <v>1039</v>
      </c>
      <c r="M177" s="55" t="s">
        <v>32</v>
      </c>
      <c r="N177" s="56"/>
      <c r="O177" s="55"/>
      <c r="P177" s="55"/>
      <c r="Q177" s="89"/>
      <c r="R177" s="259"/>
      <c r="V177" s="4" t="s">
        <v>443</v>
      </c>
      <c r="W177" s="4" t="s">
        <v>37</v>
      </c>
      <c r="X177" s="17" t="s">
        <v>616</v>
      </c>
      <c r="Y177" s="302" t="s">
        <v>617</v>
      </c>
      <c r="Z177" s="167" t="s">
        <v>364</v>
      </c>
    </row>
    <row r="178" spans="1:38" ht="19.5" customHeight="1">
      <c r="A178" s="164" t="s">
        <v>812</v>
      </c>
      <c r="B178" s="70" t="s">
        <v>1040</v>
      </c>
      <c r="C178" s="4" t="s">
        <v>1041</v>
      </c>
      <c r="D178" s="60"/>
      <c r="E178" s="232">
        <v>46006</v>
      </c>
      <c r="F178" s="60">
        <f>E178+14</f>
        <v>46020</v>
      </c>
      <c r="G178" s="333" t="s">
        <v>42</v>
      </c>
      <c r="H178" s="54" t="s">
        <v>184</v>
      </c>
      <c r="I178" s="55" t="s">
        <v>1042</v>
      </c>
      <c r="J178" s="55" t="s">
        <v>873</v>
      </c>
      <c r="K178" s="55" t="s">
        <v>31</v>
      </c>
      <c r="L178" s="55"/>
      <c r="M178" s="55" t="s">
        <v>32</v>
      </c>
      <c r="N178" s="56"/>
      <c r="O178" s="55" t="s">
        <v>1043</v>
      </c>
      <c r="P178" s="55" t="s">
        <v>1044</v>
      </c>
      <c r="Q178" s="89" t="s">
        <v>1045</v>
      </c>
      <c r="R178" s="178">
        <v>111200</v>
      </c>
      <c r="V178" s="4" t="s">
        <v>827</v>
      </c>
      <c r="W178" s="4" t="s">
        <v>37</v>
      </c>
      <c r="X178" s="4" t="s">
        <v>616</v>
      </c>
      <c r="Y178" s="235" t="s">
        <v>617</v>
      </c>
      <c r="Z178" s="167" t="s">
        <v>364</v>
      </c>
    </row>
    <row r="179" spans="1:38" ht="18" customHeight="1">
      <c r="A179" s="164" t="s">
        <v>812</v>
      </c>
      <c r="B179" s="376" t="s">
        <v>1046</v>
      </c>
      <c r="C179" t="s">
        <v>1047</v>
      </c>
      <c r="D179" s="26"/>
      <c r="E179" s="232">
        <v>46008</v>
      </c>
      <c r="F179" s="2">
        <f>E179+14</f>
        <v>46022</v>
      </c>
      <c r="G179" s="332" t="s">
        <v>28</v>
      </c>
      <c r="H179" s="1">
        <v>5135</v>
      </c>
      <c r="I179" s="1" t="s">
        <v>591</v>
      </c>
      <c r="J179" s="1" t="s">
        <v>910</v>
      </c>
      <c r="K179" s="1" t="s">
        <v>31</v>
      </c>
      <c r="L179" s="1">
        <v>85339</v>
      </c>
      <c r="M179" s="1" t="s">
        <v>32</v>
      </c>
      <c r="O179" s="1" t="s">
        <v>1048</v>
      </c>
      <c r="P179" s="1" t="s">
        <v>1049</v>
      </c>
      <c r="Q179" s="184" t="s">
        <v>1050</v>
      </c>
      <c r="R179" s="179"/>
      <c r="V179" s="4" t="s">
        <v>443</v>
      </c>
      <c r="W179" s="4" t="s">
        <v>37</v>
      </c>
      <c r="X179" s="4" t="s">
        <v>616</v>
      </c>
      <c r="Y179" s="235" t="s">
        <v>617</v>
      </c>
    </row>
    <row r="180" spans="1:38" ht="24.75" customHeight="1">
      <c r="A180" s="164" t="s">
        <v>812</v>
      </c>
      <c r="B180" s="390" t="s">
        <v>1051</v>
      </c>
      <c r="C180" s="119" t="s">
        <v>1052</v>
      </c>
      <c r="D180" s="231"/>
      <c r="E180" s="232">
        <v>46006</v>
      </c>
      <c r="F180" s="2">
        <f>E180+14</f>
        <v>46020</v>
      </c>
      <c r="G180" s="332" t="s">
        <v>28</v>
      </c>
      <c r="H180" s="42" t="s">
        <v>379</v>
      </c>
      <c r="I180" s="179" t="s">
        <v>1042</v>
      </c>
      <c r="J180" s="179" t="s">
        <v>873</v>
      </c>
      <c r="K180" s="179" t="s">
        <v>31</v>
      </c>
      <c r="L180" s="179"/>
      <c r="M180" s="179" t="s">
        <v>32</v>
      </c>
      <c r="N180" s="119"/>
      <c r="O180" s="179" t="s">
        <v>1053</v>
      </c>
      <c r="P180" s="179" t="s">
        <v>1054</v>
      </c>
      <c r="Q180" s="184" t="s">
        <v>1055</v>
      </c>
      <c r="R180" s="178">
        <v>94486</v>
      </c>
      <c r="S180" s="119"/>
      <c r="T180" s="119"/>
      <c r="U180" s="119"/>
      <c r="V180" s="119" t="s">
        <v>443</v>
      </c>
      <c r="W180" s="119" t="s">
        <v>37</v>
      </c>
      <c r="X180" s="119" t="s">
        <v>616</v>
      </c>
      <c r="Y180" s="235" t="s">
        <v>617</v>
      </c>
      <c r="Z180" s="167" t="s">
        <v>364</v>
      </c>
      <c r="AI180" s="119"/>
      <c r="AJ180" s="119"/>
      <c r="AK180" s="119"/>
      <c r="AL180" s="119"/>
    </row>
    <row r="181" spans="1:38" ht="20.25" customHeight="1">
      <c r="A181" s="164" t="s">
        <v>812</v>
      </c>
      <c r="B181" s="118" t="s">
        <v>1051</v>
      </c>
      <c r="C181" t="s">
        <v>1056</v>
      </c>
      <c r="D181" s="2"/>
      <c r="E181" s="232">
        <v>46015</v>
      </c>
      <c r="F181" s="2">
        <f>E181+14</f>
        <v>46029</v>
      </c>
      <c r="G181" s="332" t="s">
        <v>28</v>
      </c>
      <c r="H181" s="41">
        <v>8455</v>
      </c>
      <c r="I181" s="1" t="s">
        <v>1057</v>
      </c>
      <c r="J181" s="1" t="s">
        <v>851</v>
      </c>
      <c r="K181" s="1" t="s">
        <v>31</v>
      </c>
      <c r="L181" s="1">
        <v>85345</v>
      </c>
      <c r="M181" s="1" t="s">
        <v>32</v>
      </c>
      <c r="O181" s="179" t="s">
        <v>1053</v>
      </c>
      <c r="P181" s="1" t="s">
        <v>1054</v>
      </c>
      <c r="Q181" s="99" t="s">
        <v>1058</v>
      </c>
      <c r="R181" s="178">
        <v>107697</v>
      </c>
      <c r="V181" s="4" t="s">
        <v>443</v>
      </c>
      <c r="W181" s="4" t="s">
        <v>37</v>
      </c>
      <c r="X181" s="17" t="s">
        <v>616</v>
      </c>
      <c r="Y181" s="302" t="s">
        <v>617</v>
      </c>
      <c r="Z181" s="167" t="s">
        <v>364</v>
      </c>
    </row>
    <row r="182" spans="1:38" ht="18" customHeight="1">
      <c r="A182" s="164" t="s">
        <v>812</v>
      </c>
      <c r="B182" s="15" t="s">
        <v>1059</v>
      </c>
      <c r="C182" s="4" t="s">
        <v>1060</v>
      </c>
      <c r="E182" s="232">
        <v>46013</v>
      </c>
      <c r="F182" s="60">
        <f>E182+14</f>
        <v>46027</v>
      </c>
      <c r="G182" s="332" t="s">
        <v>28</v>
      </c>
      <c r="I182" s="1" t="s">
        <v>1061</v>
      </c>
      <c r="J182" s="1" t="s">
        <v>844</v>
      </c>
      <c r="K182" s="1" t="s">
        <v>31</v>
      </c>
      <c r="L182" s="1">
        <v>85338</v>
      </c>
      <c r="M182" s="1" t="s">
        <v>32</v>
      </c>
      <c r="O182" s="1" t="s">
        <v>1062</v>
      </c>
      <c r="P182" s="1" t="s">
        <v>1063</v>
      </c>
      <c r="Q182" s="87" t="s">
        <v>1064</v>
      </c>
      <c r="R182" s="178"/>
      <c r="V182" s="4" t="s">
        <v>443</v>
      </c>
      <c r="W182" s="4" t="s">
        <v>37</v>
      </c>
      <c r="X182" s="4" t="s">
        <v>616</v>
      </c>
      <c r="Y182" s="235" t="s">
        <v>617</v>
      </c>
      <c r="Z182" s="167" t="s">
        <v>364</v>
      </c>
    </row>
    <row r="183" spans="1:38">
      <c r="A183" s="164" t="s">
        <v>812</v>
      </c>
      <c r="B183" s="70" t="s">
        <v>1065</v>
      </c>
      <c r="C183" s="373" t="s">
        <v>1066</v>
      </c>
      <c r="D183" s="60"/>
      <c r="E183" s="232">
        <v>46008</v>
      </c>
      <c r="F183" s="2">
        <f>E183+14</f>
        <v>46022</v>
      </c>
      <c r="G183" s="332" t="s">
        <v>42</v>
      </c>
      <c r="H183" s="41">
        <v>2125</v>
      </c>
      <c r="I183" s="55" t="s">
        <v>1067</v>
      </c>
      <c r="J183" s="55" t="s">
        <v>434</v>
      </c>
      <c r="K183" s="55" t="s">
        <v>31</v>
      </c>
      <c r="L183" s="1">
        <v>85009</v>
      </c>
      <c r="M183" s="55" t="s">
        <v>32</v>
      </c>
      <c r="N183" s="56"/>
      <c r="O183" s="1" t="s">
        <v>1068</v>
      </c>
      <c r="P183" s="1" t="s">
        <v>1069</v>
      </c>
      <c r="Q183" s="87" t="s">
        <v>1070</v>
      </c>
      <c r="R183" s="259">
        <v>108411</v>
      </c>
      <c r="V183" s="4" t="s">
        <v>443</v>
      </c>
      <c r="W183" s="4" t="s">
        <v>37</v>
      </c>
      <c r="X183" s="4" t="s">
        <v>616</v>
      </c>
      <c r="Y183" s="235" t="s">
        <v>617</v>
      </c>
      <c r="Z183" s="167" t="s">
        <v>364</v>
      </c>
    </row>
    <row r="184" spans="1:38" ht="24.75" customHeight="1">
      <c r="A184" s="164" t="s">
        <v>812</v>
      </c>
      <c r="B184" s="118" t="s">
        <v>1071</v>
      </c>
      <c r="C184" s="393" t="s">
        <v>1072</v>
      </c>
      <c r="D184" s="400"/>
      <c r="E184" s="232">
        <v>46022</v>
      </c>
      <c r="F184" s="341">
        <f>E184+7</f>
        <v>46029</v>
      </c>
      <c r="G184" s="343" t="s">
        <v>28</v>
      </c>
      <c r="H184" s="237">
        <v>500</v>
      </c>
      <c r="I184" s="1" t="s">
        <v>1073</v>
      </c>
      <c r="J184" s="1" t="s">
        <v>894</v>
      </c>
      <c r="K184" s="1" t="s">
        <v>31</v>
      </c>
      <c r="M184" s="1" t="s">
        <v>32</v>
      </c>
      <c r="O184" s="1" t="s">
        <v>1074</v>
      </c>
      <c r="P184" s="1" t="s">
        <v>1075</v>
      </c>
      <c r="Q184" s="129" t="s">
        <v>1076</v>
      </c>
      <c r="R184" s="31" t="s">
        <v>1077</v>
      </c>
      <c r="V184" s="4" t="s">
        <v>443</v>
      </c>
      <c r="W184" s="4" t="s">
        <v>37</v>
      </c>
      <c r="X184" s="4" t="s">
        <v>616</v>
      </c>
      <c r="Y184" s="235" t="s">
        <v>617</v>
      </c>
      <c r="Z184" s="168"/>
      <c r="AA184" s="119"/>
      <c r="AB184" s="119"/>
      <c r="AC184" s="119"/>
      <c r="AD184" s="119"/>
      <c r="AE184" s="119"/>
      <c r="AF184" s="119"/>
      <c r="AG184" s="119"/>
      <c r="AH184" s="119"/>
    </row>
    <row r="185" spans="1:38" ht="14.25" customHeight="1">
      <c r="A185" s="258" t="s">
        <v>812</v>
      </c>
      <c r="B185" s="118" t="s">
        <v>1078</v>
      </c>
      <c r="C185" s="119" t="s">
        <v>1079</v>
      </c>
      <c r="D185" s="231">
        <v>45716</v>
      </c>
      <c r="E185" s="232">
        <v>46009</v>
      </c>
      <c r="F185" s="2">
        <f>E185+14</f>
        <v>46023</v>
      </c>
      <c r="G185" s="332" t="s">
        <v>28</v>
      </c>
      <c r="H185" s="41">
        <v>1500</v>
      </c>
      <c r="I185" s="1" t="s">
        <v>1080</v>
      </c>
      <c r="J185" s="1" t="s">
        <v>916</v>
      </c>
      <c r="K185" s="1" t="s">
        <v>31</v>
      </c>
      <c r="L185" s="1">
        <v>85713</v>
      </c>
      <c r="M185" s="1" t="s">
        <v>32</v>
      </c>
      <c r="O185" s="1" t="s">
        <v>1081</v>
      </c>
      <c r="P185" s="1" t="s">
        <v>1082</v>
      </c>
      <c r="Q185" s="184" t="s">
        <v>1083</v>
      </c>
      <c r="R185" s="178">
        <v>106481</v>
      </c>
      <c r="V185" s="4" t="s">
        <v>443</v>
      </c>
      <c r="W185" s="4" t="s">
        <v>37</v>
      </c>
      <c r="X185" s="4" t="s">
        <v>616</v>
      </c>
      <c r="Y185" s="235" t="s">
        <v>617</v>
      </c>
    </row>
    <row r="186" spans="1:38" ht="14.25" customHeight="1">
      <c r="A186" s="164" t="s">
        <v>812</v>
      </c>
      <c r="B186" s="29" t="s">
        <v>1084</v>
      </c>
      <c r="C186" s="4" t="s">
        <v>1085</v>
      </c>
      <c r="D186" s="2"/>
      <c r="E186" s="232">
        <v>46014</v>
      </c>
      <c r="F186" s="2">
        <f>E186+14</f>
        <v>46028</v>
      </c>
      <c r="G186" s="331" t="s">
        <v>42</v>
      </c>
      <c r="I186" s="1" t="s">
        <v>1086</v>
      </c>
      <c r="J186" s="1" t="s">
        <v>934</v>
      </c>
      <c r="K186" s="1" t="s">
        <v>31</v>
      </c>
      <c r="L186" s="1">
        <v>85338</v>
      </c>
      <c r="M186" s="1" t="s">
        <v>32</v>
      </c>
      <c r="O186" s="1" t="s">
        <v>1087</v>
      </c>
      <c r="P186" s="352" t="s">
        <v>1088</v>
      </c>
      <c r="Q186" s="87" t="s">
        <v>1089</v>
      </c>
      <c r="R186" s="178" t="s">
        <v>35</v>
      </c>
      <c r="V186" s="4" t="s">
        <v>443</v>
      </c>
      <c r="W186" s="4" t="s">
        <v>37</v>
      </c>
      <c r="X186" s="17" t="s">
        <v>616</v>
      </c>
      <c r="Y186" s="302" t="s">
        <v>617</v>
      </c>
      <c r="Z186" s="167" t="s">
        <v>364</v>
      </c>
    </row>
    <row r="187" spans="1:38">
      <c r="A187" s="164" t="s">
        <v>812</v>
      </c>
      <c r="B187" s="29" t="s">
        <v>1090</v>
      </c>
      <c r="C187" s="4" t="s">
        <v>1091</v>
      </c>
      <c r="E187" s="232">
        <v>46006</v>
      </c>
      <c r="F187" s="2">
        <f>E187+14</f>
        <v>46020</v>
      </c>
      <c r="G187" s="332" t="s">
        <v>42</v>
      </c>
      <c r="H187" s="41">
        <v>1675</v>
      </c>
      <c r="I187" s="1" t="s">
        <v>1092</v>
      </c>
      <c r="J187" s="1" t="s">
        <v>434</v>
      </c>
      <c r="K187" s="1" t="s">
        <v>31</v>
      </c>
      <c r="M187" s="1" t="s">
        <v>32</v>
      </c>
      <c r="O187" s="1" t="s">
        <v>1093</v>
      </c>
      <c r="P187" s="1" t="s">
        <v>1094</v>
      </c>
      <c r="Q187" s="87" t="s">
        <v>1095</v>
      </c>
      <c r="R187" s="31">
        <v>103568</v>
      </c>
      <c r="V187" s="4" t="s">
        <v>443</v>
      </c>
      <c r="W187" s="4" t="s">
        <v>37</v>
      </c>
      <c r="X187" s="4" t="s">
        <v>616</v>
      </c>
      <c r="Y187" s="235" t="s">
        <v>617</v>
      </c>
    </row>
    <row r="188" spans="1:38">
      <c r="A188" s="164" t="s">
        <v>812</v>
      </c>
      <c r="B188" s="29" t="s">
        <v>1096</v>
      </c>
      <c r="C188" s="4" t="s">
        <v>1097</v>
      </c>
      <c r="E188" s="232">
        <v>46006</v>
      </c>
      <c r="F188" s="2">
        <f>E188+14</f>
        <v>46020</v>
      </c>
      <c r="G188" s="332" t="s">
        <v>42</v>
      </c>
      <c r="H188" s="41" t="s">
        <v>528</v>
      </c>
      <c r="I188" s="1" t="s">
        <v>1098</v>
      </c>
      <c r="J188" s="1" t="s">
        <v>822</v>
      </c>
      <c r="K188" s="1" t="s">
        <v>31</v>
      </c>
      <c r="L188" s="1">
        <v>85250</v>
      </c>
      <c r="M188" s="1" t="s">
        <v>32</v>
      </c>
      <c r="O188" s="1" t="s">
        <v>1099</v>
      </c>
      <c r="P188" s="1" t="s">
        <v>1100</v>
      </c>
      <c r="Q188" s="87" t="s">
        <v>1101</v>
      </c>
      <c r="R188" s="31">
        <v>107841</v>
      </c>
      <c r="V188" s="4" t="s">
        <v>443</v>
      </c>
      <c r="W188" s="4" t="s">
        <v>37</v>
      </c>
      <c r="X188" s="4" t="s">
        <v>616</v>
      </c>
      <c r="Y188" s="235" t="s">
        <v>617</v>
      </c>
      <c r="Z188" s="167" t="s">
        <v>364</v>
      </c>
    </row>
    <row r="189" spans="1:38" ht="21" customHeight="1">
      <c r="A189" s="164" t="s">
        <v>812</v>
      </c>
      <c r="B189" s="29" t="s">
        <v>1102</v>
      </c>
      <c r="C189" s="4" t="s">
        <v>1103</v>
      </c>
      <c r="D189" s="2"/>
      <c r="E189" s="232">
        <v>46015</v>
      </c>
      <c r="F189" s="2">
        <f>E189+14</f>
        <v>46029</v>
      </c>
      <c r="G189" s="332" t="s">
        <v>42</v>
      </c>
      <c r="H189" s="41">
        <v>6077</v>
      </c>
      <c r="I189" s="1" t="s">
        <v>1104</v>
      </c>
      <c r="J189" s="1" t="s">
        <v>822</v>
      </c>
      <c r="K189" s="1" t="s">
        <v>31</v>
      </c>
      <c r="L189" s="1">
        <v>85301</v>
      </c>
      <c r="M189" s="1" t="s">
        <v>32</v>
      </c>
      <c r="O189" s="253" t="s">
        <v>1105</v>
      </c>
      <c r="P189" s="1" t="s">
        <v>1106</v>
      </c>
      <c r="Q189" s="87" t="s">
        <v>1107</v>
      </c>
      <c r="R189" s="178" t="s">
        <v>35</v>
      </c>
      <c r="V189" s="4" t="s">
        <v>443</v>
      </c>
      <c r="W189" s="4" t="s">
        <v>37</v>
      </c>
      <c r="X189" s="4" t="s">
        <v>616</v>
      </c>
      <c r="Y189" s="235" t="s">
        <v>617</v>
      </c>
      <c r="Z189" s="167" t="s">
        <v>364</v>
      </c>
    </row>
    <row r="190" spans="1:38">
      <c r="A190" s="164" t="s">
        <v>812</v>
      </c>
      <c r="B190" s="70" t="s">
        <v>1108</v>
      </c>
      <c r="C190" s="56" t="s">
        <v>1109</v>
      </c>
      <c r="D190" s="60"/>
      <c r="E190" s="232">
        <v>46014</v>
      </c>
      <c r="F190" s="2">
        <f>E190+14</f>
        <v>46028</v>
      </c>
      <c r="G190" s="332" t="s">
        <v>28</v>
      </c>
      <c r="H190" s="54"/>
      <c r="I190" s="55" t="s">
        <v>1110</v>
      </c>
      <c r="J190" s="55" t="s">
        <v>1111</v>
      </c>
      <c r="K190" s="55" t="s">
        <v>31</v>
      </c>
      <c r="L190" s="55" t="s">
        <v>1112</v>
      </c>
      <c r="M190" s="55" t="s">
        <v>32</v>
      </c>
      <c r="N190" s="56"/>
      <c r="O190" s="55" t="s">
        <v>1113</v>
      </c>
      <c r="P190" s="55" t="s">
        <v>1114</v>
      </c>
      <c r="Q190" s="89" t="s">
        <v>1115</v>
      </c>
      <c r="R190" s="259"/>
      <c r="V190" s="4" t="s">
        <v>443</v>
      </c>
      <c r="W190" s="4" t="s">
        <v>37</v>
      </c>
      <c r="X190" s="4" t="s">
        <v>616</v>
      </c>
      <c r="Y190" s="235" t="s">
        <v>617</v>
      </c>
      <c r="Z190" s="167" t="s">
        <v>364</v>
      </c>
    </row>
    <row r="191" spans="1:38" ht="24" customHeight="1">
      <c r="A191" s="164" t="s">
        <v>812</v>
      </c>
      <c r="B191" s="15" t="s">
        <v>1116</v>
      </c>
      <c r="C191" s="4" t="s">
        <v>1117</v>
      </c>
      <c r="E191" s="232">
        <v>46013</v>
      </c>
      <c r="F191" s="60">
        <f>E191+14</f>
        <v>46027</v>
      </c>
      <c r="G191" s="331" t="s">
        <v>42</v>
      </c>
      <c r="I191" s="1" t="s">
        <v>1118</v>
      </c>
      <c r="J191" s="1" t="s">
        <v>844</v>
      </c>
      <c r="K191" s="1" t="s">
        <v>31</v>
      </c>
      <c r="L191" s="1">
        <v>85338</v>
      </c>
      <c r="M191" s="1" t="s">
        <v>32</v>
      </c>
      <c r="O191" s="1" t="s">
        <v>1119</v>
      </c>
      <c r="P191" s="1" t="s">
        <v>1120</v>
      </c>
      <c r="Q191" s="98" t="s">
        <v>1121</v>
      </c>
      <c r="R191" s="178">
        <v>111543</v>
      </c>
      <c r="V191" s="4" t="s">
        <v>443</v>
      </c>
      <c r="W191" s="4" t="s">
        <v>37</v>
      </c>
      <c r="X191" s="17" t="s">
        <v>616</v>
      </c>
      <c r="Y191" s="302" t="s">
        <v>617</v>
      </c>
      <c r="Z191" s="167" t="s">
        <v>364</v>
      </c>
    </row>
    <row r="192" spans="1:38" ht="21" customHeight="1">
      <c r="A192" s="164" t="s">
        <v>812</v>
      </c>
      <c r="B192" s="29" t="s">
        <v>1122</v>
      </c>
      <c r="C192" s="4" t="s">
        <v>1123</v>
      </c>
      <c r="D192" s="2"/>
      <c r="E192" s="232">
        <v>46013</v>
      </c>
      <c r="F192" s="2">
        <f>E192+14</f>
        <v>46027</v>
      </c>
      <c r="G192" s="332" t="s">
        <v>42</v>
      </c>
      <c r="H192" s="41">
        <v>20751</v>
      </c>
      <c r="I192" s="1" t="s">
        <v>1124</v>
      </c>
      <c r="J192" s="1" t="s">
        <v>831</v>
      </c>
      <c r="K192" s="1" t="s">
        <v>31</v>
      </c>
      <c r="L192" s="1">
        <v>85369</v>
      </c>
      <c r="M192" s="1" t="s">
        <v>32</v>
      </c>
      <c r="O192" s="1" t="s">
        <v>1125</v>
      </c>
      <c r="P192" s="1" t="s">
        <v>1126</v>
      </c>
      <c r="Q192" s="98" t="s">
        <v>1127</v>
      </c>
      <c r="R192" s="31">
        <v>110878</v>
      </c>
      <c r="V192" s="4" t="s">
        <v>443</v>
      </c>
      <c r="W192" s="4" t="s">
        <v>37</v>
      </c>
      <c r="X192" s="17" t="s">
        <v>616</v>
      </c>
      <c r="Y192" s="302" t="s">
        <v>617</v>
      </c>
      <c r="Z192" s="167" t="s">
        <v>364</v>
      </c>
    </row>
    <row r="193" spans="1:34" ht="27.75" customHeight="1">
      <c r="A193" s="164" t="s">
        <v>812</v>
      </c>
      <c r="B193" s="15" t="s">
        <v>1128</v>
      </c>
      <c r="C193" s="29" t="s">
        <v>1129</v>
      </c>
      <c r="D193" s="2"/>
      <c r="E193" s="232">
        <v>46006</v>
      </c>
      <c r="F193" s="2">
        <f>E193+14</f>
        <v>46020</v>
      </c>
      <c r="G193" s="332" t="s">
        <v>28</v>
      </c>
      <c r="H193" s="1">
        <v>6800</v>
      </c>
      <c r="I193" s="1" t="s">
        <v>1012</v>
      </c>
      <c r="J193" s="1" t="s">
        <v>822</v>
      </c>
      <c r="K193" s="1" t="s">
        <v>31</v>
      </c>
      <c r="L193" s="1">
        <v>85305</v>
      </c>
      <c r="M193" s="1" t="s">
        <v>32</v>
      </c>
      <c r="O193" s="25" t="s">
        <v>1130</v>
      </c>
      <c r="P193" s="1" t="s">
        <v>1131</v>
      </c>
      <c r="Q193" s="129" t="s">
        <v>1132</v>
      </c>
      <c r="R193" s="1">
        <v>109462</v>
      </c>
      <c r="V193" s="4" t="s">
        <v>443</v>
      </c>
      <c r="W193" s="4" t="s">
        <v>37</v>
      </c>
      <c r="X193" s="4" t="s">
        <v>616</v>
      </c>
      <c r="Y193" s="241" t="s">
        <v>617</v>
      </c>
      <c r="Z193" s="168"/>
      <c r="AA193" s="119"/>
      <c r="AB193" s="119"/>
      <c r="AC193" s="119"/>
      <c r="AD193" s="119"/>
      <c r="AE193" s="119"/>
      <c r="AF193" s="119"/>
      <c r="AG193" s="119"/>
      <c r="AH193" s="119"/>
    </row>
    <row r="194" spans="1:34">
      <c r="A194" s="164" t="s">
        <v>812</v>
      </c>
      <c r="B194" s="118" t="s">
        <v>1133</v>
      </c>
      <c r="C194" s="119" t="s">
        <v>1134</v>
      </c>
      <c r="D194" s="231"/>
      <c r="E194" s="232">
        <v>46006</v>
      </c>
      <c r="F194" s="2">
        <f>E194+14</f>
        <v>46020</v>
      </c>
      <c r="G194" s="232" t="s">
        <v>28</v>
      </c>
      <c r="H194" s="42">
        <v>11025</v>
      </c>
      <c r="I194" s="179" t="s">
        <v>1135</v>
      </c>
      <c r="J194" s="179" t="s">
        <v>873</v>
      </c>
      <c r="K194" s="179" t="s">
        <v>31</v>
      </c>
      <c r="L194" s="179"/>
      <c r="M194" s="179" t="s">
        <v>32</v>
      </c>
      <c r="N194" s="119"/>
      <c r="O194" s="179" t="s">
        <v>1136</v>
      </c>
      <c r="P194" s="179" t="s">
        <v>1137</v>
      </c>
      <c r="Q194" s="184" t="s">
        <v>1138</v>
      </c>
      <c r="R194" s="178">
        <v>111189</v>
      </c>
      <c r="S194" s="119"/>
      <c r="T194" s="119"/>
      <c r="U194" s="119"/>
      <c r="V194" s="119" t="s">
        <v>443</v>
      </c>
      <c r="W194" s="119" t="s">
        <v>37</v>
      </c>
      <c r="X194" s="119" t="s">
        <v>616</v>
      </c>
      <c r="Y194" s="235" t="s">
        <v>617</v>
      </c>
      <c r="Z194" s="167" t="s">
        <v>364</v>
      </c>
    </row>
    <row r="195" spans="1:34" ht="25.5" customHeight="1">
      <c r="A195" s="164" t="s">
        <v>812</v>
      </c>
      <c r="B195" s="29" t="s">
        <v>1139</v>
      </c>
      <c r="C195" s="4" t="s">
        <v>1140</v>
      </c>
      <c r="E195" s="232">
        <v>46013</v>
      </c>
      <c r="F195" s="60">
        <f>E195+14</f>
        <v>46027</v>
      </c>
      <c r="G195" s="332" t="s">
        <v>28</v>
      </c>
      <c r="H195" s="41">
        <v>15470</v>
      </c>
      <c r="I195" s="1" t="s">
        <v>1141</v>
      </c>
      <c r="J195" s="1" t="s">
        <v>844</v>
      </c>
      <c r="K195" s="1" t="s">
        <v>31</v>
      </c>
      <c r="L195" s="1">
        <v>85338</v>
      </c>
      <c r="M195" s="1" t="s">
        <v>32</v>
      </c>
      <c r="O195" s="1" t="s">
        <v>1142</v>
      </c>
      <c r="P195" s="1" t="s">
        <v>1143</v>
      </c>
      <c r="Q195" s="98" t="s">
        <v>1144</v>
      </c>
      <c r="R195" s="179" t="s">
        <v>35</v>
      </c>
      <c r="V195" s="4" t="s">
        <v>443</v>
      </c>
      <c r="W195" s="4" t="s">
        <v>37</v>
      </c>
      <c r="X195" s="4" t="s">
        <v>616</v>
      </c>
      <c r="Y195" s="235" t="s">
        <v>617</v>
      </c>
      <c r="Z195" s="167" t="s">
        <v>364</v>
      </c>
    </row>
    <row r="196" spans="1:34" ht="24" customHeight="1">
      <c r="A196" s="164" t="s">
        <v>812</v>
      </c>
      <c r="B196" s="29" t="s">
        <v>1145</v>
      </c>
      <c r="C196" s="4" t="s">
        <v>1146</v>
      </c>
      <c r="D196" s="2"/>
      <c r="E196" s="232">
        <v>46014</v>
      </c>
      <c r="F196" s="2">
        <f>E196+14</f>
        <v>46028</v>
      </c>
      <c r="G196" s="332" t="s">
        <v>42</v>
      </c>
      <c r="I196" s="1" t="s">
        <v>1147</v>
      </c>
      <c r="J196" s="1" t="s">
        <v>934</v>
      </c>
      <c r="K196" s="1" t="s">
        <v>31</v>
      </c>
      <c r="L196" s="1">
        <v>85225</v>
      </c>
      <c r="M196" s="1" t="s">
        <v>32</v>
      </c>
      <c r="O196" s="1" t="s">
        <v>1148</v>
      </c>
      <c r="P196" s="1" t="s">
        <v>1149</v>
      </c>
      <c r="Q196" s="87" t="s">
        <v>1150</v>
      </c>
      <c r="R196" s="31">
        <v>111356</v>
      </c>
      <c r="V196" s="4" t="s">
        <v>443</v>
      </c>
      <c r="W196" s="4" t="s">
        <v>37</v>
      </c>
      <c r="X196" s="4" t="s">
        <v>616</v>
      </c>
      <c r="Y196" s="235" t="s">
        <v>617</v>
      </c>
      <c r="Z196" s="167" t="s">
        <v>364</v>
      </c>
    </row>
    <row r="197" spans="1:34" ht="22.5" customHeight="1">
      <c r="A197" s="289" t="s">
        <v>812</v>
      </c>
      <c r="B197" s="158" t="s">
        <v>1151</v>
      </c>
      <c r="C197" s="158" t="s">
        <v>1152</v>
      </c>
      <c r="D197" s="158" t="s">
        <v>554</v>
      </c>
      <c r="E197" s="232">
        <v>46007</v>
      </c>
      <c r="F197" s="2">
        <f>E197+14</f>
        <v>46021</v>
      </c>
      <c r="G197" s="313" t="s">
        <v>28</v>
      </c>
      <c r="H197" s="297" t="s">
        <v>554</v>
      </c>
      <c r="I197" s="297" t="s">
        <v>1153</v>
      </c>
      <c r="J197" s="297" t="s">
        <v>873</v>
      </c>
      <c r="K197" s="297" t="s">
        <v>31</v>
      </c>
      <c r="L197" s="297">
        <v>85323</v>
      </c>
      <c r="M197" s="297" t="s">
        <v>32</v>
      </c>
      <c r="N197" s="158" t="s">
        <v>554</v>
      </c>
      <c r="O197" s="329" t="s">
        <v>1154</v>
      </c>
      <c r="P197" s="359" t="s">
        <v>1155</v>
      </c>
      <c r="Q197" s="184" t="s">
        <v>1156</v>
      </c>
      <c r="R197" s="313">
        <v>105951</v>
      </c>
      <c r="S197" s="158" t="s">
        <v>37</v>
      </c>
      <c r="T197" s="158" t="s">
        <v>616</v>
      </c>
      <c r="U197" s="300" t="s">
        <v>617</v>
      </c>
      <c r="V197" s="4" t="s">
        <v>443</v>
      </c>
      <c r="W197" s="4" t="s">
        <v>37</v>
      </c>
      <c r="X197" s="4" t="s">
        <v>616</v>
      </c>
      <c r="Y197" s="241" t="s">
        <v>617</v>
      </c>
      <c r="Z197" s="158" t="s">
        <v>554</v>
      </c>
      <c r="AA197" s="158" t="s">
        <v>554</v>
      </c>
      <c r="AB197" s="158" t="s">
        <v>554</v>
      </c>
      <c r="AC197" s="158" t="s">
        <v>554</v>
      </c>
      <c r="AD197" s="158" t="s">
        <v>554</v>
      </c>
      <c r="AE197" s="158" t="s">
        <v>554</v>
      </c>
      <c r="AF197" s="158" t="s">
        <v>554</v>
      </c>
      <c r="AG197" s="158" t="s">
        <v>554</v>
      </c>
      <c r="AH197" s="158" t="s">
        <v>554</v>
      </c>
    </row>
    <row r="198" spans="1:34" ht="26.25" customHeight="1">
      <c r="A198" s="164" t="s">
        <v>812</v>
      </c>
      <c r="B198" s="15" t="s">
        <v>1157</v>
      </c>
      <c r="C198" s="4" t="s">
        <v>1158</v>
      </c>
      <c r="D198" s="130">
        <v>45502</v>
      </c>
      <c r="E198" s="232">
        <v>46013</v>
      </c>
      <c r="F198" s="60">
        <f>E198+14</f>
        <v>46027</v>
      </c>
      <c r="G198" s="331" t="s">
        <v>28</v>
      </c>
      <c r="H198" s="41">
        <v>15355</v>
      </c>
      <c r="I198" s="1" t="s">
        <v>1159</v>
      </c>
      <c r="J198" s="1" t="s">
        <v>844</v>
      </c>
      <c r="K198" s="1" t="s">
        <v>31</v>
      </c>
      <c r="L198" s="1">
        <v>85338</v>
      </c>
      <c r="M198" s="1" t="s">
        <v>32</v>
      </c>
      <c r="O198" s="1" t="s">
        <v>1160</v>
      </c>
      <c r="P198" s="1" t="s">
        <v>1161</v>
      </c>
      <c r="Q198" s="87" t="s">
        <v>1162</v>
      </c>
      <c r="R198" s="178">
        <v>100910</v>
      </c>
      <c r="V198" s="4" t="s">
        <v>443</v>
      </c>
      <c r="W198" s="4" t="s">
        <v>37</v>
      </c>
      <c r="X198" s="4" t="s">
        <v>616</v>
      </c>
      <c r="Y198" s="235" t="s">
        <v>617</v>
      </c>
      <c r="Z198" s="167" t="s">
        <v>364</v>
      </c>
    </row>
    <row r="199" spans="1:34">
      <c r="A199" s="164" t="s">
        <v>812</v>
      </c>
      <c r="B199" s="118" t="s">
        <v>1163</v>
      </c>
      <c r="C199" s="405" t="s">
        <v>1164</v>
      </c>
      <c r="D199" s="2"/>
      <c r="E199" s="232">
        <v>46007</v>
      </c>
      <c r="F199" s="2">
        <f>E199+14</f>
        <v>46021</v>
      </c>
      <c r="G199" s="331" t="s">
        <v>28</v>
      </c>
      <c r="H199" s="41" t="s">
        <v>528</v>
      </c>
      <c r="I199" s="1" t="s">
        <v>1165</v>
      </c>
      <c r="J199" s="1" t="s">
        <v>844</v>
      </c>
      <c r="K199" s="1" t="s">
        <v>31</v>
      </c>
      <c r="L199" s="1">
        <v>85395</v>
      </c>
      <c r="M199" s="1" t="s">
        <v>32</v>
      </c>
      <c r="O199" s="1" t="s">
        <v>1166</v>
      </c>
      <c r="P199" s="1" t="s">
        <v>1167</v>
      </c>
      <c r="Q199" s="129" t="s">
        <v>1168</v>
      </c>
      <c r="R199" s="178">
        <v>101051</v>
      </c>
      <c r="V199" s="4" t="s">
        <v>36</v>
      </c>
      <c r="W199" s="4" t="s">
        <v>37</v>
      </c>
      <c r="X199" s="4" t="s">
        <v>616</v>
      </c>
      <c r="Y199" s="235" t="s">
        <v>617</v>
      </c>
      <c r="Z199" s="167" t="s">
        <v>364</v>
      </c>
    </row>
    <row r="200" spans="1:34">
      <c r="A200" s="164" t="s">
        <v>812</v>
      </c>
      <c r="B200" s="398" t="s">
        <v>1169</v>
      </c>
      <c r="C200" s="369" t="s">
        <v>1170</v>
      </c>
      <c r="D200" s="367"/>
      <c r="E200" s="232">
        <v>46014</v>
      </c>
      <c r="F200" s="367">
        <f>E200+14</f>
        <v>46028</v>
      </c>
      <c r="G200" s="367" t="s">
        <v>42</v>
      </c>
      <c r="H200" s="368">
        <v>12221</v>
      </c>
      <c r="I200" s="368" t="s">
        <v>850</v>
      </c>
      <c r="J200" s="366" t="s">
        <v>934</v>
      </c>
      <c r="K200" s="366" t="s">
        <v>31</v>
      </c>
      <c r="L200" s="366">
        <v>85335</v>
      </c>
      <c r="M200" s="366" t="s">
        <v>32</v>
      </c>
      <c r="N200" s="369"/>
      <c r="O200" s="406" t="s">
        <v>1171</v>
      </c>
      <c r="P200" s="366" t="s">
        <v>1172</v>
      </c>
      <c r="Q200" s="360" t="s">
        <v>1173</v>
      </c>
      <c r="R200" s="370">
        <v>99981</v>
      </c>
      <c r="S200" s="369"/>
      <c r="T200" s="369"/>
      <c r="U200" s="369"/>
      <c r="V200" s="369" t="s">
        <v>443</v>
      </c>
      <c r="W200" s="369" t="s">
        <v>37</v>
      </c>
      <c r="X200" s="369" t="s">
        <v>616</v>
      </c>
      <c r="Y200" s="408" t="s">
        <v>617</v>
      </c>
      <c r="Z200" s="371" t="s">
        <v>364</v>
      </c>
      <c r="AA200" s="369"/>
      <c r="AB200" s="369"/>
      <c r="AC200" s="369"/>
      <c r="AD200" s="369"/>
      <c r="AE200" s="369"/>
      <c r="AF200" s="369"/>
      <c r="AG200" s="369"/>
      <c r="AH200" s="369"/>
    </row>
    <row r="201" spans="1:34" ht="18.75" customHeight="1">
      <c r="A201" s="258" t="s">
        <v>812</v>
      </c>
      <c r="B201" s="15" t="s">
        <v>1174</v>
      </c>
      <c r="C201" s="399" t="s">
        <v>1175</v>
      </c>
      <c r="D201" s="130" t="s">
        <v>516</v>
      </c>
      <c r="E201" s="232">
        <v>46009</v>
      </c>
      <c r="F201" s="2">
        <f>E201+14</f>
        <v>46023</v>
      </c>
      <c r="G201" s="332" t="s">
        <v>42</v>
      </c>
      <c r="H201" s="41">
        <v>860</v>
      </c>
      <c r="I201" s="1" t="s">
        <v>1176</v>
      </c>
      <c r="J201" s="1" t="s">
        <v>916</v>
      </c>
      <c r="K201" s="1" t="s">
        <v>31</v>
      </c>
      <c r="L201" s="1">
        <v>85706</v>
      </c>
      <c r="M201" s="1" t="s">
        <v>32</v>
      </c>
      <c r="O201" s="1" t="s">
        <v>1177</v>
      </c>
      <c r="P201" s="1" t="s">
        <v>1178</v>
      </c>
      <c r="Q201" s="99" t="s">
        <v>1179</v>
      </c>
      <c r="R201" s="178">
        <v>113446</v>
      </c>
      <c r="V201" s="4" t="s">
        <v>443</v>
      </c>
      <c r="W201" s="4" t="s">
        <v>37</v>
      </c>
      <c r="X201" s="17" t="s">
        <v>616</v>
      </c>
      <c r="Y201" s="302" t="s">
        <v>617</v>
      </c>
    </row>
    <row r="202" spans="1:34">
      <c r="A202" s="258" t="s">
        <v>812</v>
      </c>
      <c r="B202" s="15" t="s">
        <v>1174</v>
      </c>
      <c r="C202" s="4" t="s">
        <v>1180</v>
      </c>
      <c r="D202" s="130" t="s">
        <v>516</v>
      </c>
      <c r="E202" s="232">
        <v>46009</v>
      </c>
      <c r="F202" s="2">
        <f>E202+14</f>
        <v>46023</v>
      </c>
      <c r="G202" s="331" t="s">
        <v>42</v>
      </c>
      <c r="H202" s="41">
        <v>6163</v>
      </c>
      <c r="I202" s="1" t="s">
        <v>1181</v>
      </c>
      <c r="J202" s="1" t="s">
        <v>916</v>
      </c>
      <c r="K202" s="1" t="s">
        <v>31</v>
      </c>
      <c r="L202" s="1">
        <v>85743</v>
      </c>
      <c r="M202" s="1" t="s">
        <v>32</v>
      </c>
      <c r="O202" s="1" t="s">
        <v>1182</v>
      </c>
      <c r="P202" s="1" t="s">
        <v>1183</v>
      </c>
      <c r="Q202" s="99" t="s">
        <v>1184</v>
      </c>
      <c r="R202" s="178">
        <v>106033</v>
      </c>
      <c r="V202" s="4" t="s">
        <v>443</v>
      </c>
      <c r="W202" s="4" t="s">
        <v>37</v>
      </c>
      <c r="X202" s="17" t="s">
        <v>616</v>
      </c>
      <c r="Y202" s="302" t="s">
        <v>617</v>
      </c>
    </row>
    <row r="203" spans="1:34">
      <c r="A203" s="164" t="s">
        <v>812</v>
      </c>
      <c r="B203" s="29" t="s">
        <v>1185</v>
      </c>
      <c r="C203" s="4" t="s">
        <v>1186</v>
      </c>
      <c r="E203" s="232">
        <v>46013</v>
      </c>
      <c r="F203" s="60">
        <f>E203+14</f>
        <v>46027</v>
      </c>
      <c r="G203" s="332" t="s">
        <v>42</v>
      </c>
      <c r="H203" s="41" t="s">
        <v>184</v>
      </c>
      <c r="I203" s="1" t="s">
        <v>1187</v>
      </c>
      <c r="J203" s="1" t="s">
        <v>844</v>
      </c>
      <c r="K203" s="1" t="s">
        <v>31</v>
      </c>
      <c r="L203" s="1">
        <v>85338</v>
      </c>
      <c r="M203" s="1" t="s">
        <v>32</v>
      </c>
      <c r="O203" s="179" t="s">
        <v>1188</v>
      </c>
      <c r="P203" s="179" t="s">
        <v>1189</v>
      </c>
      <c r="Q203" s="184" t="s">
        <v>1190</v>
      </c>
      <c r="R203" s="178">
        <v>110525</v>
      </c>
      <c r="V203" s="4" t="s">
        <v>443</v>
      </c>
      <c r="W203" s="4" t="s">
        <v>37</v>
      </c>
      <c r="X203" s="4" t="s">
        <v>616</v>
      </c>
      <c r="Y203" s="235" t="s">
        <v>617</v>
      </c>
      <c r="Z203" s="167" t="s">
        <v>364</v>
      </c>
    </row>
    <row r="204" spans="1:34">
      <c r="A204" s="289" t="s">
        <v>812</v>
      </c>
      <c r="B204" s="29" t="s">
        <v>1185</v>
      </c>
      <c r="C204" s="326" t="s">
        <v>1191</v>
      </c>
      <c r="D204" s="297" t="s">
        <v>554</v>
      </c>
      <c r="E204" s="232">
        <v>46013</v>
      </c>
      <c r="F204" s="2">
        <f>E204+14</f>
        <v>46027</v>
      </c>
      <c r="G204" s="332" t="s">
        <v>42</v>
      </c>
      <c r="H204" s="297" t="s">
        <v>528</v>
      </c>
      <c r="I204" s="297" t="s">
        <v>1192</v>
      </c>
      <c r="J204" s="297" t="s">
        <v>831</v>
      </c>
      <c r="K204" s="297" t="s">
        <v>31</v>
      </c>
      <c r="L204" s="297">
        <v>85326</v>
      </c>
      <c r="M204" s="297" t="s">
        <v>32</v>
      </c>
      <c r="N204" s="297" t="s">
        <v>1193</v>
      </c>
      <c r="O204" s="297" t="s">
        <v>1194</v>
      </c>
      <c r="P204" s="297" t="s">
        <v>1195</v>
      </c>
      <c r="Q204" s="129" t="s">
        <v>1196</v>
      </c>
      <c r="R204" s="297"/>
      <c r="S204" s="297" t="s">
        <v>37</v>
      </c>
      <c r="T204" s="297" t="s">
        <v>616</v>
      </c>
      <c r="U204" s="345" t="s">
        <v>617</v>
      </c>
      <c r="V204" s="4" t="s">
        <v>443</v>
      </c>
      <c r="W204" s="4" t="s">
        <v>37</v>
      </c>
      <c r="X204" s="4" t="s">
        <v>616</v>
      </c>
      <c r="Y204" s="235" t="s">
        <v>617</v>
      </c>
      <c r="Z204" s="297" t="s">
        <v>554</v>
      </c>
      <c r="AA204" s="297" t="s">
        <v>554</v>
      </c>
      <c r="AB204" s="297" t="s">
        <v>554</v>
      </c>
      <c r="AC204" s="297" t="s">
        <v>554</v>
      </c>
      <c r="AD204" s="297" t="s">
        <v>554</v>
      </c>
      <c r="AE204" s="297" t="s">
        <v>554</v>
      </c>
      <c r="AF204" s="297" t="s">
        <v>554</v>
      </c>
      <c r="AG204" s="297" t="s">
        <v>554</v>
      </c>
      <c r="AH204" s="297" t="s">
        <v>554</v>
      </c>
    </row>
    <row r="205" spans="1:34" ht="22.5" customHeight="1">
      <c r="A205" s="164" t="s">
        <v>812</v>
      </c>
      <c r="B205" s="29" t="s">
        <v>1185</v>
      </c>
      <c r="C205" t="s">
        <v>1197</v>
      </c>
      <c r="D205" s="60"/>
      <c r="E205" s="232">
        <v>46014</v>
      </c>
      <c r="F205" s="60">
        <f>E205+14</f>
        <v>46028</v>
      </c>
      <c r="G205" s="333" t="s">
        <v>42</v>
      </c>
      <c r="H205" s="54" t="s">
        <v>184</v>
      </c>
      <c r="I205" s="55" t="s">
        <v>836</v>
      </c>
      <c r="J205" s="55" t="s">
        <v>837</v>
      </c>
      <c r="K205" s="55" t="s">
        <v>31</v>
      </c>
      <c r="L205" s="55" t="s">
        <v>1198</v>
      </c>
      <c r="M205" s="55" t="s">
        <v>32</v>
      </c>
      <c r="N205" s="56"/>
      <c r="O205" s="55" t="s">
        <v>1199</v>
      </c>
      <c r="P205" s="55" t="s">
        <v>1200</v>
      </c>
      <c r="Q205" s="89" t="s">
        <v>1201</v>
      </c>
      <c r="R205" s="178">
        <v>107519</v>
      </c>
      <c r="V205" s="4" t="s">
        <v>827</v>
      </c>
      <c r="W205" s="4" t="s">
        <v>37</v>
      </c>
      <c r="X205" s="4" t="s">
        <v>616</v>
      </c>
      <c r="Y205" s="235" t="s">
        <v>617</v>
      </c>
      <c r="Z205" s="167" t="s">
        <v>364</v>
      </c>
    </row>
    <row r="206" spans="1:34">
      <c r="A206" s="164" t="s">
        <v>812</v>
      </c>
      <c r="B206" s="29" t="s">
        <v>1185</v>
      </c>
      <c r="C206" s="4" t="s">
        <v>1202</v>
      </c>
      <c r="D206" s="60"/>
      <c r="E206" s="232">
        <v>46014</v>
      </c>
      <c r="F206" s="60">
        <f>E206+14</f>
        <v>46028</v>
      </c>
      <c r="G206" s="335" t="s">
        <v>42</v>
      </c>
      <c r="H206" s="54" t="s">
        <v>184</v>
      </c>
      <c r="I206" s="55" t="s">
        <v>836</v>
      </c>
      <c r="J206" s="55" t="s">
        <v>837</v>
      </c>
      <c r="K206" s="55" t="s">
        <v>31</v>
      </c>
      <c r="L206" s="55" t="s">
        <v>1198</v>
      </c>
      <c r="M206" s="55" t="s">
        <v>32</v>
      </c>
      <c r="N206" s="56"/>
      <c r="O206" s="55"/>
      <c r="P206" s="55"/>
      <c r="Q206" s="89"/>
      <c r="R206" s="178">
        <v>107519</v>
      </c>
      <c r="V206" s="4" t="s">
        <v>827</v>
      </c>
      <c r="W206" s="4" t="s">
        <v>37</v>
      </c>
      <c r="X206" s="4" t="s">
        <v>616</v>
      </c>
      <c r="Y206" s="235" t="s">
        <v>617</v>
      </c>
      <c r="Z206" s="167" t="s">
        <v>364</v>
      </c>
    </row>
    <row r="207" spans="1:34">
      <c r="A207" s="164" t="s">
        <v>812</v>
      </c>
      <c r="B207" s="29" t="s">
        <v>1185</v>
      </c>
      <c r="C207" s="4" t="s">
        <v>1203</v>
      </c>
      <c r="D207" s="2"/>
      <c r="E207" s="232">
        <v>46015</v>
      </c>
      <c r="F207" s="2">
        <f>E207+14</f>
        <v>46029</v>
      </c>
      <c r="G207" s="331" t="s">
        <v>42</v>
      </c>
      <c r="H207" s="41" t="s">
        <v>379</v>
      </c>
      <c r="I207" s="1" t="s">
        <v>1204</v>
      </c>
      <c r="J207" s="1" t="s">
        <v>822</v>
      </c>
      <c r="K207" s="1" t="s">
        <v>31</v>
      </c>
      <c r="M207" s="1" t="s">
        <v>32</v>
      </c>
      <c r="O207" s="179" t="s">
        <v>1205</v>
      </c>
      <c r="P207" s="179" t="s">
        <v>1206</v>
      </c>
      <c r="Q207" s="184" t="s">
        <v>1207</v>
      </c>
      <c r="R207" s="178">
        <v>101462</v>
      </c>
      <c r="V207" s="4" t="s">
        <v>443</v>
      </c>
      <c r="W207" s="4" t="s">
        <v>37</v>
      </c>
      <c r="X207" s="4" t="s">
        <v>616</v>
      </c>
      <c r="Y207" s="241" t="s">
        <v>617</v>
      </c>
      <c r="Z207" s="167" t="s">
        <v>364</v>
      </c>
    </row>
    <row r="208" spans="1:34">
      <c r="A208" s="164" t="s">
        <v>812</v>
      </c>
      <c r="B208" s="15" t="s">
        <v>775</v>
      </c>
      <c r="C208" s="4" t="s">
        <v>1208</v>
      </c>
      <c r="D208" s="2"/>
      <c r="E208" s="232">
        <v>46015</v>
      </c>
      <c r="F208" s="2">
        <f>E208+14</f>
        <v>46029</v>
      </c>
      <c r="G208" s="331" t="s">
        <v>42</v>
      </c>
      <c r="H208" s="1">
        <v>8850</v>
      </c>
      <c r="I208" s="1" t="s">
        <v>1209</v>
      </c>
      <c r="J208" s="1" t="s">
        <v>851</v>
      </c>
      <c r="K208" s="1" t="s">
        <v>31</v>
      </c>
      <c r="L208" s="1">
        <v>85345</v>
      </c>
      <c r="M208" s="1" t="s">
        <v>32</v>
      </c>
      <c r="O208" s="1" t="s">
        <v>1210</v>
      </c>
      <c r="P208" s="1" t="s">
        <v>1211</v>
      </c>
      <c r="Q208" s="255" t="s">
        <v>1212</v>
      </c>
      <c r="R208" s="179" t="s">
        <v>35</v>
      </c>
      <c r="V208" s="4" t="s">
        <v>443</v>
      </c>
      <c r="W208" s="4" t="s">
        <v>37</v>
      </c>
      <c r="X208" s="4" t="s">
        <v>616</v>
      </c>
      <c r="Y208" s="241" t="s">
        <v>617</v>
      </c>
      <c r="Z208" s="168"/>
    </row>
    <row r="209" spans="1:26">
      <c r="A209" s="164" t="s">
        <v>812</v>
      </c>
      <c r="B209" s="29" t="s">
        <v>1213</v>
      </c>
      <c r="C209" s="4" t="s">
        <v>1214</v>
      </c>
      <c r="E209" s="232">
        <v>46007</v>
      </c>
      <c r="F209" s="2">
        <f>E209+14</f>
        <v>46021</v>
      </c>
      <c r="G209" s="332" t="s">
        <v>28</v>
      </c>
      <c r="H209" s="41">
        <v>519</v>
      </c>
      <c r="I209" s="1" t="s">
        <v>1215</v>
      </c>
      <c r="J209" s="1" t="s">
        <v>873</v>
      </c>
      <c r="K209" s="1" t="s">
        <v>31</v>
      </c>
      <c r="L209" s="1">
        <v>85323</v>
      </c>
      <c r="M209" s="1" t="s">
        <v>32</v>
      </c>
      <c r="O209" s="1" t="s">
        <v>1216</v>
      </c>
      <c r="P209" s="1" t="s">
        <v>1217</v>
      </c>
      <c r="Q209" s="228" t="s">
        <v>1218</v>
      </c>
      <c r="R209" s="31">
        <v>106091</v>
      </c>
      <c r="V209" s="4" t="s">
        <v>443</v>
      </c>
      <c r="W209" s="4" t="s">
        <v>37</v>
      </c>
      <c r="X209" s="4" t="s">
        <v>616</v>
      </c>
      <c r="Y209" s="241" t="s">
        <v>617</v>
      </c>
      <c r="Z209" s="167" t="s">
        <v>364</v>
      </c>
    </row>
    <row r="210" spans="1:26">
      <c r="A210" s="164" t="s">
        <v>812</v>
      </c>
      <c r="B210" s="29" t="s">
        <v>1213</v>
      </c>
      <c r="C210" s="4" t="s">
        <v>1219</v>
      </c>
      <c r="D210" s="2"/>
      <c r="E210" s="232">
        <v>46008</v>
      </c>
      <c r="F210" s="2">
        <f>E210+14</f>
        <v>46022</v>
      </c>
      <c r="G210" s="332" t="s">
        <v>42</v>
      </c>
      <c r="H210" s="41">
        <v>686</v>
      </c>
      <c r="I210" s="1" t="s">
        <v>1220</v>
      </c>
      <c r="J210" s="1" t="s">
        <v>434</v>
      </c>
      <c r="K210" s="1" t="s">
        <v>31</v>
      </c>
      <c r="L210" s="1">
        <v>85043</v>
      </c>
      <c r="M210" s="1" t="s">
        <v>32</v>
      </c>
      <c r="O210" s="1" t="s">
        <v>1221</v>
      </c>
      <c r="P210" s="1" t="s">
        <v>1222</v>
      </c>
      <c r="Q210" s="325" t="s">
        <v>1223</v>
      </c>
      <c r="R210" s="31">
        <v>107716</v>
      </c>
      <c r="V210" s="4" t="s">
        <v>443</v>
      </c>
      <c r="W210" s="4" t="s">
        <v>37</v>
      </c>
      <c r="X210" s="4" t="s">
        <v>616</v>
      </c>
      <c r="Y210" s="241" t="s">
        <v>617</v>
      </c>
      <c r="Z210" s="167" t="s">
        <v>364</v>
      </c>
    </row>
  </sheetData>
  <sheetProtection insertRows="0" deleteRows="0" sort="0"/>
  <sortState xmlns:xlrd2="http://schemas.microsoft.com/office/spreadsheetml/2017/richdata2" ref="A2:AL210">
    <sortCondition ref="A2:A210"/>
    <sortCondition ref="B2:B210"/>
  </sortState>
  <phoneticPr fontId="25" type="noConversion"/>
  <dataValidations xWindow="1474" yWindow="512" count="5">
    <dataValidation allowBlank="1" showInputMessage="1" showErrorMessage="1" promptTitle="Color" prompt="Color must be a decimal between 0 and 1" sqref="N2 P2:Q2" xr:uid="{00000000-0002-0000-0000-000000000000}"/>
    <dataValidation type="decimal" allowBlank="1" showInputMessage="1" showErrorMessage="1" promptTitle="Latitude" prompt="Must be a decimal between -90 and 90" sqref="S2" xr:uid="{00000000-0002-0000-0000-000001000000}">
      <formula1>-90</formula1>
      <formula2>90</formula2>
    </dataValidation>
    <dataValidation type="decimal" allowBlank="1" showInputMessage="1" showErrorMessage="1" promptTitle="Longitude" prompt="Longitude must be a decimal between -180 and 180" sqref="T2" xr:uid="{00000000-0002-0000-0000-000002000000}">
      <formula1>-180</formula1>
      <formula2>180</formula2>
    </dataValidation>
    <dataValidation type="whole" operator="greaterThanOrEqual" allowBlank="1" showInputMessage="1" showErrorMessage="1" promptTitle="Visit Time" prompt="Visit time must be a whole number greater or equal to 0" sqref="U2" xr:uid="{00000000-0002-0000-0000-000003000000}">
      <formula1>0</formula1>
    </dataValidation>
    <dataValidation type="list" allowBlank="1" showInputMessage="1" showErrorMessage="1" promptTitle="Country Code" prompt="Country Code must be ISO-Alpha 2 letter country code" sqref="M2" xr:uid="{00000000-0002-0000-0000-000004000000}">
      <formula1>#REF!</formula1>
    </dataValidation>
  </dataValidations>
  <hyperlinks>
    <hyperlink ref="Q30" r:id="rId1" xr:uid="{FBEB7E27-7F3C-4DB4-8A47-83A518036B2F}"/>
    <hyperlink ref="Q57" r:id="rId2" xr:uid="{3CA52AE8-13D9-4B51-B334-3A8FB3FE2956}"/>
    <hyperlink ref="Q87" r:id="rId3" xr:uid="{6DCA8CA9-4D48-453E-AA02-A33AEED77755}"/>
    <hyperlink ref="Q93" r:id="rId4" xr:uid="{0CE7CFC3-888E-490B-95DF-82044BC5847A}"/>
    <hyperlink ref="Q180" r:id="rId5" xr:uid="{343FD6ED-DD62-48CA-9B77-A5C719148036}"/>
    <hyperlink ref="Q160" r:id="rId6" xr:uid="{E7560CDC-13BD-4FA0-AC6B-A7C5675D741E}"/>
    <hyperlink ref="Q115" r:id="rId7" xr:uid="{76A9F4C0-7A34-4B5A-BCFC-23F933ED08EC}"/>
    <hyperlink ref="Y8:Y10" r:id="rId8" display="Logan@desertservices.net" xr:uid="{CBF96F0E-7EE8-493F-A4EE-51D1B5CFC7D7}"/>
    <hyperlink ref="Y9:Y17" r:id="rId9" display="Logan@desertservices.net" xr:uid="{8058681B-F0E9-411C-8956-294CE262FA04}"/>
    <hyperlink ref="Q145" r:id="rId10" xr:uid="{5CD17FEA-9200-4D7A-B404-7907E7D0AFB0}"/>
    <hyperlink ref="Y16" r:id="rId11" display="Logan@desertservices.net" xr:uid="{13EA29C6-C94C-4362-BF8C-9AB6F4D3A484}"/>
    <hyperlink ref="Q16" r:id="rId12" xr:uid="{A924620C-1218-430C-BD7D-F52301003243}"/>
    <hyperlink ref="Q89" r:id="rId13" xr:uid="{F6025BFE-28F2-4937-8644-D530C78537B0}"/>
    <hyperlink ref="Q168" r:id="rId14" xr:uid="{B0732BC4-F196-4E40-902F-C2B2FBE34B8B}"/>
    <hyperlink ref="Q199" r:id="rId15" xr:uid="{AF1561BA-2EB1-4462-B0C6-4B65C42A6813}"/>
    <hyperlink ref="Q170" r:id="rId16" xr:uid="{B9E27F8B-FB4F-4E38-B84E-91773621FA5E}"/>
    <hyperlink ref="Q189" r:id="rId17" xr:uid="{9C37F696-436A-4268-A263-034FF8AD029C}"/>
    <hyperlink ref="Y9" r:id="rId18" display="Logan@desertservices.net" xr:uid="{B821C3C2-50F1-4514-BA5B-6DB91DAD4994}"/>
    <hyperlink ref="Q207" r:id="rId19" xr:uid="{1A8780B6-D947-4117-90D2-631C0A201C7C}"/>
    <hyperlink ref="Y29" r:id="rId20" display="Logan@desertservices.net" xr:uid="{7E7283C9-848F-4BE7-9684-EF39FFAA2DAD}"/>
    <hyperlink ref="Q29" r:id="rId21" xr:uid="{3C5D01EE-34F5-4788-96C2-0A504730F684}"/>
    <hyperlink ref="Y15" r:id="rId22" display="Logan@desertservices.net" xr:uid="{A76B32AD-7586-43BA-AAE0-5D1A9C186CD6}"/>
    <hyperlink ref="Q66" r:id="rId23" xr:uid="{3BEBF232-B8A4-4E17-AE3C-730412512963}"/>
    <hyperlink ref="Q55" r:id="rId24" xr:uid="{A9220874-A166-4A53-BDC4-BE76E5EF06CB}"/>
    <hyperlink ref="Q9" r:id="rId25" xr:uid="{20C5E218-F5E3-458D-B3F6-C74FC0D96A86}"/>
    <hyperlink ref="Y31" r:id="rId26" display="Logan@desertservices.net" xr:uid="{E5082C8C-448E-47EA-B7B8-87C85E9C3C84}"/>
    <hyperlink ref="Q174" r:id="rId27" xr:uid="{97649157-90A7-4931-934F-72B48233CF27}"/>
    <hyperlink ref="Q13" r:id="rId28" xr:uid="{3AC5809D-DFC3-4917-9B29-9C6ACF435F35}"/>
    <hyperlink ref="Q98" r:id="rId29" xr:uid="{B956714A-D9D3-4E14-AA51-E0EE9C87EC9A}"/>
    <hyperlink ref="Y10" r:id="rId30" display="Logan@desertservices.net" xr:uid="{89978259-F418-4B6C-AEF0-B44600FA55F4}"/>
    <hyperlink ref="Q10" r:id="rId31" xr:uid="{289789A6-1B70-4BE3-AA93-ECE1AA99CB04}"/>
    <hyperlink ref="Y39" r:id="rId32" xr:uid="{2251C0A4-F1BB-40AF-87CB-FF391C540C82}"/>
    <hyperlink ref="Q63" r:id="rId33" xr:uid="{F85A1EB7-3560-4635-9D0A-38F32BE14411}"/>
    <hyperlink ref="Q39" r:id="rId34" xr:uid="{3B2DC712-B765-4787-A42C-575A14BCADF7}"/>
    <hyperlink ref="Y22" r:id="rId35" xr:uid="{53FE570F-6AC0-48AB-9C9D-049A992AAFA4}"/>
    <hyperlink ref="Y198" r:id="rId36" display="Logan@desertservices.net" xr:uid="{13A51C56-37C0-45A6-8E20-8DA9B8214471}"/>
    <hyperlink ref="Q198" r:id="rId37" xr:uid="{E438C85B-9691-481C-A5E1-0DD7F1A33F5C}"/>
    <hyperlink ref="Q150" r:id="rId38" xr:uid="{B05EB5A7-CB34-4896-A4A7-96C01797EDFC}"/>
    <hyperlink ref="Q155" r:id="rId39" xr:uid="{C3DAAA52-9B0A-4873-A08F-3DDEFB486755}"/>
    <hyperlink ref="Q153" r:id="rId40" xr:uid="{35549C05-DDCC-436F-9C64-AB5AC3FF6C20}"/>
    <hyperlink ref="Q130" r:id="rId41" xr:uid="{96C504F7-7148-45B3-AFB3-57F73B978A83}"/>
    <hyperlink ref="Y26" r:id="rId42" xr:uid="{BB772155-0A77-4BD4-B974-CA497CD82A7D}"/>
    <hyperlink ref="Y25" r:id="rId43" xr:uid="{044A6FD4-41C0-4847-BF8C-3D3B4AD4C339}"/>
    <hyperlink ref="Y21" r:id="rId44" xr:uid="{4913A46D-431A-407E-B731-361AA0178228}"/>
    <hyperlink ref="Q127" r:id="rId45" display="kurt@usdevcon.com;barryp@usdevcon.com" xr:uid="{0B53DBDC-C314-4A30-A323-F442E37286F0}"/>
    <hyperlink ref="Q202" r:id="rId46" xr:uid="{09794258-B2A8-4FC5-AE7A-0D2559E75453}"/>
    <hyperlink ref="Y58" r:id="rId47" xr:uid="{4377F8D0-0AB1-4D24-B9D2-814CA89A0E5B}"/>
    <hyperlink ref="Q184" r:id="rId48" xr:uid="{B77023DF-4F95-4795-836E-F2BA209E6D4E}"/>
    <hyperlink ref="Q110" r:id="rId49" xr:uid="{C78FA9CB-FF64-4756-9E3C-E3EE62EE29F2}"/>
    <hyperlink ref="Q40" r:id="rId50" xr:uid="{140D06E1-62F3-4B91-A112-868C118D757E}"/>
    <hyperlink ref="Q167" r:id="rId51" xr:uid="{09A3B9B8-1021-4869-ACE4-F6A0EC0FB15B}"/>
    <hyperlink ref="Y161" r:id="rId52" display="Logan@desertservices.net" xr:uid="{775A9A4D-CE74-46C9-91B0-ADE3108D6007}"/>
    <hyperlink ref="Q161" r:id="rId53" xr:uid="{5D3D8B6A-6BD3-4025-8199-535F411B0D06}"/>
    <hyperlink ref="U91" r:id="rId54" xr:uid="{6D8E3819-979C-4ACE-946B-B7D47672EB6F}"/>
    <hyperlink ref="Y44" r:id="rId55" xr:uid="{4529A86D-FA3E-4243-82C7-2273A102C8BB}"/>
    <hyperlink ref="Y208" r:id="rId56" display="Logan@desertservices.net" xr:uid="{5A8B1EC7-5DCB-472A-854D-FE4063D51D2F}"/>
    <hyperlink ref="Q75" r:id="rId57" xr:uid="{822A6ABC-47C4-4C1D-BACB-4CF0BAB26481}"/>
    <hyperlink ref="Q27" r:id="rId58" xr:uid="{F75CC30A-16A8-4B83-8A3F-94AB08F2678A}"/>
    <hyperlink ref="Y27" r:id="rId59" display="Logan@desertservices.net" xr:uid="{26F0304E-BBBC-4309-93CE-BA0E630125C9}"/>
    <hyperlink ref="Y191" r:id="rId60" display="Logan@desertservices.net" xr:uid="{A33C550D-4C50-484F-A4A9-87D55A029E2D}"/>
    <hyperlink ref="Q122" r:id="rId61" xr:uid="{38D15711-1589-4DE9-B216-B6EE57584CA8}"/>
    <hyperlink ref="Q191" r:id="rId62" xr:uid="{D119684E-4CE1-48DD-84CF-994919EC5253}"/>
    <hyperlink ref="Q208" r:id="rId63" xr:uid="{6318196E-93E5-4EA7-A91F-DEC2BC135A30}"/>
    <hyperlink ref="Q209" r:id="rId64" xr:uid="{D1D63BE3-97E3-4612-9417-EB87BC1D89DF}"/>
    <hyperlink ref="Y49" r:id="rId65" xr:uid="{AE077FEB-84D3-41C9-8253-4A3C724C40D7}"/>
    <hyperlink ref="Y131" r:id="rId66" xr:uid="{A9B01FE2-0E2F-4C2B-9BB9-235B65D834C7}"/>
    <hyperlink ref="P131" r:id="rId67" display="jlinder@wespacaz.com" xr:uid="{CAC8DDF1-5A17-4E57-A325-0E1D13D3696D}"/>
    <hyperlink ref="Q131" r:id="rId68" xr:uid="{0C0BFC5A-E0E1-4223-909A-2CA987A4956E}"/>
    <hyperlink ref="Y8" r:id="rId69" xr:uid="{31524BFA-02E7-43C9-A279-2B9458E98FF0}"/>
    <hyperlink ref="Q172" r:id="rId70" xr:uid="{30F12990-FBED-4561-B8AF-B64853502986}"/>
    <hyperlink ref="Q158" r:id="rId71" xr:uid="{E69F49FA-E400-43B2-A122-70D07A2913E0}"/>
    <hyperlink ref="Q95" r:id="rId72" xr:uid="{58B0DF75-162A-4805-96AA-9ED3789DFE83}"/>
    <hyperlink ref="Y48" r:id="rId73" xr:uid="{B075D07B-F30F-4883-8992-E9A3F4A5BE31}"/>
    <hyperlink ref="Y51" r:id="rId74" xr:uid="{5CCE65FE-D082-49E4-A6E3-7362F9AC3416}"/>
    <hyperlink ref="Q25" r:id="rId75" xr:uid="{F967D786-EC28-43CE-8CB5-E9098CDDCDF8}"/>
    <hyperlink ref="Q44" r:id="rId76" xr:uid="{5D6399B3-CC3D-4E72-9AC9-EB309A5C1107}"/>
    <hyperlink ref="Q136" r:id="rId77" xr:uid="{B00CA14E-BDD4-4E26-9F50-8903E2241043}"/>
    <hyperlink ref="Y50" r:id="rId78" xr:uid="{C3CED131-54D6-440D-B0F3-E3EFDA971C60}"/>
    <hyperlink ref="Q51" r:id="rId79" xr:uid="{EE835D10-5B8D-481C-AEF3-0FD8050EF210}"/>
    <hyperlink ref="Q49" r:id="rId80" xr:uid="{C0958777-CB6F-4154-B26B-43D681389128}"/>
    <hyperlink ref="Q48" r:id="rId81" xr:uid="{93802AE7-AC38-4C41-8B8D-78A698EFD315}"/>
    <hyperlink ref="Q140" r:id="rId82" xr:uid="{A6707780-DAA2-4EB9-909C-CD98BFBAEF3F}"/>
    <hyperlink ref="Q103" r:id="rId83" xr:uid="{D1BEBDD7-DD2D-4FC3-B766-38201872F5B9}"/>
    <hyperlink ref="Q185" r:id="rId84" xr:uid="{BE0706B0-39B4-421E-9BC6-647EA4A85E51}"/>
    <hyperlink ref="Q164" r:id="rId85" xr:uid="{1CA8643C-1024-4934-94BD-B36BB82582D6}"/>
    <hyperlink ref="Q50" r:id="rId86" xr:uid="{5E689D78-45E1-4B85-9431-518C2C46C503}"/>
    <hyperlink ref="Y147" r:id="rId87" display="Logan@desertservices.net" xr:uid="{27355C8C-1F6A-4B08-B50F-6A8D412EEE2A}"/>
    <hyperlink ref="Q60" r:id="rId88" xr:uid="{2BE011FD-345A-4FCF-B4CB-14B692073348}"/>
    <hyperlink ref="Y60" r:id="rId89" display="Logan@desertservices.net" xr:uid="{780C9233-8EC8-4997-B725-1356343EB88F}"/>
    <hyperlink ref="Q205" r:id="rId90" xr:uid="{059C5A39-513F-4A08-B62A-F95BC07E006F}"/>
    <hyperlink ref="Q147" r:id="rId91" xr:uid="{D0289C2E-A831-4498-8A24-E0953034797B}"/>
    <hyperlink ref="Y52" r:id="rId92" xr:uid="{41B9A38E-9097-49B2-9A5B-9806EBD9DF72}"/>
    <hyperlink ref="Y59" r:id="rId93" display="Logan@desertservices.net" xr:uid="{0749BE29-B686-4F83-957C-5E97A189E3CA}"/>
    <hyperlink ref="Y18" r:id="rId94" display="Logan@desertservices.net" xr:uid="{65437BBC-78A1-4CFA-98AA-6F28BCBF6F9D}"/>
    <hyperlink ref="Y18" r:id="rId95" xr:uid="{AAB1DC5F-3EFC-48A1-B78B-CBC77C945789}"/>
    <hyperlink ref="Q154" r:id="rId96" xr:uid="{FA65C951-0C0C-4030-A7C9-670B60A7D03F}"/>
    <hyperlink ref="Y47" r:id="rId97" display="Logan@desertservices.net" xr:uid="{AA320569-9585-48EA-BF79-2EF4B361E381}"/>
    <hyperlink ref="Q59" r:id="rId98" xr:uid="{BD6E08A5-DCE1-4D61-A287-F2FF65FD9A39}"/>
    <hyperlink ref="Q52" r:id="rId99" xr:uid="{6CBD063F-43E0-4120-813D-DEDDC71CB446}"/>
    <hyperlink ref="Q90" r:id="rId100" xr:uid="{9FBA49ED-8973-4453-B338-D1FABEC674DC}"/>
    <hyperlink ref="Q100" r:id="rId101" xr:uid="{DC8EBE1B-9247-4265-9D8D-6A33E030FD8C}"/>
    <hyperlink ref="Q28" r:id="rId102" xr:uid="{9F85751C-CF09-4CAF-9220-13BE9C31A503}"/>
    <hyperlink ref="Q135" r:id="rId103" xr:uid="{DAA144C8-5A7C-477E-8768-2D9196FBFF40}"/>
    <hyperlink ref="Y144" r:id="rId104" display="Logan@desertservices.net" xr:uid="{2717BA9B-2C40-4D38-AAA7-5E1E547E2924}"/>
    <hyperlink ref="Y43" r:id="rId105" xr:uid="{BE17529C-6E18-4417-B28A-94A27DA18A74}"/>
    <hyperlink ref="Y190" r:id="rId106" display="Logan@desertservices.net" xr:uid="{16720419-4E53-4EC5-B59F-C284F3536AE2}"/>
    <hyperlink ref="Y183" r:id="rId107" display="Logan@desertservices.net" xr:uid="{E64886C1-0062-4CED-BD6F-1B9F4D67A658}"/>
    <hyperlink ref="Q83" r:id="rId108" xr:uid="{F3BCE49A-CB10-4957-824B-2C29FDCAF34C}"/>
    <hyperlink ref="Q186" r:id="rId109" xr:uid="{944E8B91-6715-43F7-917F-095D306B0E3D}"/>
    <hyperlink ref="Q178" r:id="rId110" xr:uid="{631FA237-F545-405A-AED5-DB5E48528B64}"/>
    <hyperlink ref="Y45" r:id="rId111" display="Logan@desertservices.net" xr:uid="{8FDEE331-0504-4363-BC20-3BDC414A3589}"/>
    <hyperlink ref="Q179" r:id="rId112" xr:uid="{B66E49E6-582C-4E8E-B814-BEA880C011B8}"/>
    <hyperlink ref="Y5" r:id="rId113" display="Logan@desertservices.net" xr:uid="{71FB5690-617B-42F8-8C1E-501EAF8B2088}"/>
    <hyperlink ref="Q8" r:id="rId114" xr:uid="{5B2B1A6F-B40C-4526-9820-0A0B61FA91E7}"/>
    <hyperlink ref="Q47" r:id="rId115" xr:uid="{7446D166-F645-4EDE-A650-B6B60E436B2C}"/>
    <hyperlink ref="Q56" r:id="rId116" xr:uid="{730DC0ED-0471-4D85-A73D-C95E24C6808C}"/>
    <hyperlink ref="Q190" r:id="rId117" xr:uid="{C5E78E57-CB08-4BAF-AFB2-832D7E07198F}"/>
    <hyperlink ref="Q22" r:id="rId118" xr:uid="{08228924-DBC6-4382-9D38-23E18F57D61F}"/>
    <hyperlink ref="Y6" r:id="rId119" xr:uid="{64A82E51-89AF-4F78-9780-78A3D95E2B8F}"/>
    <hyperlink ref="Q183" r:id="rId120" xr:uid="{F7722215-F4F2-4768-BA88-A765F2F2FC6B}"/>
    <hyperlink ref="Q148" r:id="rId121" xr:uid="{E440F785-BAC2-4962-AF97-0CF659DB252C}"/>
    <hyperlink ref="Q91" r:id="rId122" xr:uid="{07C71392-F8A8-4739-BA6F-187786062270}"/>
    <hyperlink ref="Y46" r:id="rId123" display="Logan@desertservices.net" xr:uid="{3F59A7EF-C059-4EF9-8DE3-E4025A6ABB98}"/>
    <hyperlink ref="Y46" r:id="rId124" display="Logan@desertservices.net" xr:uid="{5DC04AE5-C5D9-48B1-95F3-27456598A40A}"/>
    <hyperlink ref="Y56" r:id="rId125" display="Logan@desertservices.net" xr:uid="{6E43341C-DB3E-465D-9506-E43024E5AD3D}"/>
    <hyperlink ref="Y56" r:id="rId126" display="Logan@desertservices.net" xr:uid="{9A06F42A-6F8D-4544-913C-3F0380AE126C}"/>
    <hyperlink ref="Q188" r:id="rId127" xr:uid="{7DB4DFD0-9907-4DAF-AB8A-0B675107B3BB}"/>
    <hyperlink ref="Q132" r:id="rId128" xr:uid="{74D7E099-E136-4726-B622-B890C289437D}"/>
    <hyperlink ref="Q197" r:id="rId129" xr:uid="{5D332388-6858-4789-B15B-14D668A8821E}"/>
    <hyperlink ref="Q171" r:id="rId130" xr:uid="{BBDA53DA-239F-4A71-8BB1-6E7ED43F0C1A}"/>
    <hyperlink ref="Q196" r:id="rId131" xr:uid="{B4B8C86C-DCA4-4305-892C-41AF54C92C41}"/>
    <hyperlink ref="Y41" r:id="rId132" display="Logan@desertservices.net" xr:uid="{13ADE1CB-3CED-4AB1-B32A-BBB80176DFA4}"/>
    <hyperlink ref="Q41" r:id="rId133" xr:uid="{ED4C0F68-FB54-48B3-999E-AE9766742B85}"/>
    <hyperlink ref="Q5" r:id="rId134" xr:uid="{B9318192-47AA-4E5F-8FAF-11AD1A3653BC}"/>
    <hyperlink ref="Q124" r:id="rId135" xr:uid="{54F57740-C140-4D17-B9E9-4893F67F8F87}"/>
    <hyperlink ref="Q123" r:id="rId136" xr:uid="{E5EA4178-1E8E-4A1D-95A8-2513F0F1976F}"/>
    <hyperlink ref="Q78" r:id="rId137" xr:uid="{2243DA35-F529-4CF7-B7AD-C3EFBAD7E40D}"/>
    <hyperlink ref="Y23" r:id="rId138" display="Logan@desertservices.net" xr:uid="{6F78E7E8-BCD9-4270-9C9C-F7361B150205}"/>
    <hyperlink ref="Y23" r:id="rId139" xr:uid="{06DB4A57-350D-4015-8C11-58A8A0365AA4}"/>
    <hyperlink ref="Q65" r:id="rId140" xr:uid="{EA89CD7F-B85B-4B5E-9779-A8735B3D73B2}"/>
    <hyperlink ref="Q144" r:id="rId141" xr:uid="{6F16FE4B-1E8E-49DD-81BC-C11ED4062C09}"/>
    <hyperlink ref="Y187" r:id="rId142" display="Logan@desertservices.net" xr:uid="{42D9B371-1ADF-4ADA-8285-1095F1EF6512}"/>
    <hyperlink ref="Y163" r:id="rId143" display="Logan@desertservices.net" xr:uid="{9009071D-199B-4911-8D1E-BEF9F698C463}"/>
    <hyperlink ref="Q85" r:id="rId144" xr:uid="{6E7CB030-99F8-45FB-9D61-545BAB9D2EB5}"/>
    <hyperlink ref="Q92" r:id="rId145" xr:uid="{575C0711-7E4B-45D9-8FC5-2537D4B37097}"/>
    <hyperlink ref="Y14" r:id="rId146" display="Logan@desertservices.net" xr:uid="{2B8422F8-A99E-4742-A2D1-600CE74AB8AD}"/>
    <hyperlink ref="Y14" r:id="rId147" display="Logan@desertservices.net" xr:uid="{174947F8-4D47-4E2C-800D-50BE26FE1CE9}"/>
    <hyperlink ref="Q14" r:id="rId148" xr:uid="{F816299D-76EC-45AD-A428-98386C5648D2}"/>
    <hyperlink ref="Q163" r:id="rId149" xr:uid="{8B3F9608-160D-4295-829A-A3141CEE9127}"/>
    <hyperlink ref="Y193" r:id="rId150" display="Logan@desertservices.net" xr:uid="{DA7A4F1D-8A74-4145-A51F-8425AE8C8CB7}"/>
    <hyperlink ref="Q193" r:id="rId151" xr:uid="{D9E393EC-1F65-489A-9CDF-5ACE8AB5D5D5}"/>
    <hyperlink ref="Q45" r:id="rId152" xr:uid="{3294BE37-C706-4EE0-A32E-E668BC1EBD78}"/>
    <hyperlink ref="Q129" r:id="rId153" xr:uid="{B263643D-98AD-42D9-A0DB-F4176F595786}"/>
    <hyperlink ref="Y200" r:id="rId154" display="Logan@desertservices.net" xr:uid="{C27EA517-A923-43BE-91CD-1FD22864EDF4}"/>
    <hyperlink ref="Y17" r:id="rId155" display="Logan@desertservices.net" xr:uid="{4F9160E2-5D6F-4EEC-938F-811E9EC429B6}"/>
    <hyperlink ref="Y17" r:id="rId156" display="Logan@desertservices.net" xr:uid="{67A4CD8F-78E5-4561-B249-CD68B926D193}"/>
    <hyperlink ref="Y38" r:id="rId157" display="Logan@desertservices.net" xr:uid="{42845900-F44C-4DDD-AE85-F14C3CC2C606}"/>
    <hyperlink ref="Y38" r:id="rId158" display="Logan@desertservices.net" xr:uid="{67033FA6-0B07-4596-9EB0-6AB4001C60E3}"/>
    <hyperlink ref="Y19" r:id="rId159" display="Logan@desertservices.net" xr:uid="{CA68FBB2-13E9-4FB9-8853-D516E2269397}"/>
    <hyperlink ref="Q120" r:id="rId160" xr:uid="{99777F49-D162-4062-BD66-1F51C9E00245}"/>
    <hyperlink ref="Q133" r:id="rId161" xr:uid="{97A709F0-B568-4EE8-BA1C-BCB845A77673}"/>
    <hyperlink ref="Q102" r:id="rId162" xr:uid="{45052216-3B1B-46CE-9EBA-3D055A45CCD7}"/>
    <hyperlink ref="Q17" r:id="rId163" xr:uid="{4E417C8A-FC27-4409-AD90-3D15C5C58C5A}"/>
    <hyperlink ref="Q111" r:id="rId164" xr:uid="{BA7E17D6-C567-419F-9157-1B00347FC68E}"/>
    <hyperlink ref="Q126" r:id="rId165" xr:uid="{84C47FE5-9597-49F5-AEAA-808546DA0C3A}"/>
    <hyperlink ref="Q157" r:id="rId166" xr:uid="{2B7CB74A-2669-4975-8FBD-FBEB8BDAA9F4}"/>
    <hyperlink ref="Q210" r:id="rId167" xr:uid="{CFF6300A-CA83-4DAB-93B4-EA0550A4A644}"/>
    <hyperlink ref="Q94" r:id="rId168" xr:uid="{27381192-65C0-42DF-91EC-DD2C2F10B97A}"/>
    <hyperlink ref="Q96" r:id="rId169" xr:uid="{B216AED8-35A7-4E9C-872E-D6394C0C7C2F}"/>
    <hyperlink ref="Q46" r:id="rId170" xr:uid="{9DA62D2E-3709-490F-83C8-C15B1930CA05}"/>
    <hyperlink ref="Q68" r:id="rId171" xr:uid="{81951484-B98F-479F-B63F-39689A4DECA8}"/>
    <hyperlink ref="Q119" r:id="rId172" xr:uid="{CA70E8DA-B148-45D2-BB78-A578F967BDBB}"/>
    <hyperlink ref="Q70" r:id="rId173" xr:uid="{B9374817-CB75-4BEF-A816-05BAE82CB295}"/>
    <hyperlink ref="Q84" r:id="rId174" xr:uid="{6C0B5BCB-299D-4A04-80AB-6C9743992F4F}"/>
    <hyperlink ref="Q38" r:id="rId175" xr:uid="{EF879CEE-B05F-4A91-AE7F-75C27DA31716}"/>
    <hyperlink ref="Q23" r:id="rId176" xr:uid="{12F8E815-0105-48E4-A169-1A75AD8B8ED9}"/>
    <hyperlink ref="Y36" r:id="rId177" xr:uid="{1B33984E-0FBD-46E0-85D8-C4ADDCB9C324}"/>
    <hyperlink ref="Q194" r:id="rId178" xr:uid="{CB94E982-8D16-4DBA-8DEC-A235A50BC45C}"/>
    <hyperlink ref="Q200" r:id="rId179" xr:uid="{E5A19E11-A828-4D7F-920F-1A38CAEC561C}"/>
    <hyperlink ref="Q139" r:id="rId180" xr:uid="{73D2D68D-A0F6-4B83-8A69-6CC4FD76CA08}"/>
    <hyperlink ref="Q64" r:id="rId181" xr:uid="{2A0A9E58-4943-4FBA-8B24-6035B90C4702}"/>
    <hyperlink ref="Q18" r:id="rId182" xr:uid="{99647313-47DC-4000-BA95-A9CAD3E6A293}"/>
    <hyperlink ref="Q113" r:id="rId183" xr:uid="{13E1CAA1-A2FA-42F6-8FBD-BC1D4F916EE8}"/>
    <hyperlink ref="Q149" r:id="rId184" xr:uid="{7F2ACD71-D113-4FE0-8853-FF05E135FF99}"/>
    <hyperlink ref="Y24" r:id="rId185" display="Logan@desertservices.net" xr:uid="{C883AC4D-E214-4B14-98F1-2DD6781392DB}"/>
    <hyperlink ref="Y24" r:id="rId186" xr:uid="{BCFBF4C2-DA29-4B34-A8D4-7F336EC49A03}"/>
    <hyperlink ref="Y54" r:id="rId187" display="Logan@desertservices.net" xr:uid="{94C6A376-CD5F-48CC-890F-7B39D986404B}"/>
    <hyperlink ref="Q142" r:id="rId188" xr:uid="{D31BB7DA-686F-4F7E-A5E0-E2472B393595}"/>
    <hyperlink ref="Q77" r:id="rId189" xr:uid="{4068B730-459F-40AF-A5BB-DA8E30CA88E1}"/>
    <hyperlink ref="Q99" r:id="rId190" xr:uid="{B9449B38-8BE8-499F-B2C4-4E3D7978CB8D}"/>
    <hyperlink ref="Q19" r:id="rId191" xr:uid="{F9494D80-6C24-44DF-AF51-E775E0C05913}"/>
    <hyperlink ref="Q105" r:id="rId192" xr:uid="{BC0840F0-2F11-4992-8E7A-6895B11E34E9}"/>
    <hyperlink ref="Q36" r:id="rId193" xr:uid="{B7CE5159-95CF-47D9-8E2F-6AC2B0B8104C}"/>
    <hyperlink ref="Y203" r:id="rId194" display="Logan@desertservices.net" xr:uid="{3C445118-12FF-46A5-8EA2-40437CA219F8}"/>
    <hyperlink ref="Q73" r:id="rId195" xr:uid="{68D01784-BD37-4594-A188-214492D9C5C3}"/>
    <hyperlink ref="Q43" r:id="rId196" xr:uid="{03000744-099A-4800-B228-6ACB7658298A}"/>
    <hyperlink ref="Q169" r:id="rId197" xr:uid="{C8C55922-8990-4D13-A9DE-4359008D9C4B}"/>
    <hyperlink ref="Q109" r:id="rId198" xr:uid="{9A4630F1-61A8-4D58-9740-ABB2F55441FC}"/>
    <hyperlink ref="Y42" r:id="rId199" display="Logan@desertservices.net" xr:uid="{CF938FD2-7D36-4337-91AB-3E0EA2AB6470}"/>
    <hyperlink ref="Q71" r:id="rId200" xr:uid="{097435F3-5FC7-4287-A296-909EF5A8AE73}"/>
    <hyperlink ref="Y37" r:id="rId201" xr:uid="{6147B4AE-CF95-4FB8-ACB2-A74F853695F2}"/>
    <hyperlink ref="Y33" r:id="rId202" xr:uid="{B6C7F7E3-157C-47AE-B0F6-E99C4D330389}"/>
    <hyperlink ref="Y20" r:id="rId203" display="Logan@desertservices.net" xr:uid="{6699B1B4-63C2-49F7-B7C7-F3D07210D2E7}"/>
    <hyperlink ref="Y20" r:id="rId204" xr:uid="{AE11875A-B68A-457B-B142-B0FFC2B40C6B}"/>
    <hyperlink ref="Y192" r:id="rId205" display="Logan@desertservices.net" xr:uid="{D24AA06B-A075-43DA-A132-B87451440C5C}"/>
    <hyperlink ref="Q118" r:id="rId206" xr:uid="{711E159A-3229-42A5-AF2B-A3CF84F9576B}"/>
    <hyperlink ref="Q116" r:id="rId207" xr:uid="{E2AAA3AF-360F-49F1-946B-860EA84922CB}"/>
    <hyperlink ref="Q69" r:id="rId208" xr:uid="{30ED7C40-B64C-4E21-B1CF-773440E6052E}"/>
    <hyperlink ref="Q79" r:id="rId209" xr:uid="{092BABBA-005B-4940-BB7C-E1E444A71056}"/>
    <hyperlink ref="Y182" r:id="rId210" display="Logan@desertservices.net" xr:uid="{BCA8F091-C857-42B6-9CAD-E9EBD6101E2C}"/>
    <hyperlink ref="Q182" r:id="rId211" xr:uid="{00AA0B70-8041-4F86-BC79-E99CB0A867C4}"/>
    <hyperlink ref="Y34" r:id="rId212" xr:uid="{C6222AE7-21A8-47BF-BA23-926C04FBDB5C}"/>
    <hyperlink ref="Q192" r:id="rId213" xr:uid="{ECE24745-029E-4816-A22B-7E9FE1A61B16}"/>
    <hyperlink ref="Y195" r:id="rId214" display="Logan@desertservices.net" xr:uid="{4B5AEE97-8652-4ECE-AFCE-58E48727416C}"/>
    <hyperlink ref="Q195" r:id="rId215" xr:uid="{9352F76D-34AB-4A3A-AAD3-25B24D1F2266}"/>
    <hyperlink ref="Q166" r:id="rId216" xr:uid="{BF91A7C6-0CAA-4F34-B56C-639AF2BC2324}"/>
    <hyperlink ref="Y35" r:id="rId217" xr:uid="{05FF4CE4-40A8-41E9-BB95-84CE43891D14}"/>
    <hyperlink ref="Q37" r:id="rId218" xr:uid="{1DCA0D97-449E-4679-A2B0-2450DF4D23E9}"/>
    <hyperlink ref="Q187" r:id="rId219" xr:uid="{EA06D2A3-79FD-472B-98F2-0781DFD859E6}"/>
    <hyperlink ref="Q80" r:id="rId220" xr:uid="{B1E85DAB-94FA-4713-B685-52849C65A2AE}"/>
    <hyperlink ref="Y2" r:id="rId221" xr:uid="{057B2947-E260-48C1-A7E1-17B36FC1D07E}"/>
    <hyperlink ref="Q35" r:id="rId222" xr:uid="{A1F4C705-D42E-4033-832B-0ECECB7D5C79}"/>
    <hyperlink ref="Q203" r:id="rId223" xr:uid="{A7C491DC-AF59-491A-8E4C-B8616BA9D8FF}"/>
    <hyperlink ref="Q156" r:id="rId224" xr:uid="{BCFC3C38-3A69-404C-A845-1D367E0C7947}"/>
    <hyperlink ref="Q101" r:id="rId225" xr:uid="{704C1E5A-AEEF-4809-8528-A7AEE68C1F5E}"/>
    <hyperlink ref="Q107" r:id="rId226" xr:uid="{FD5D42FE-A5D8-4D03-8C13-F83D39BCB9EE}"/>
    <hyperlink ref="Q34" r:id="rId227" xr:uid="{1D5F64DC-B168-4C95-9349-7BFBB15647E2}"/>
    <hyperlink ref="Q12" r:id="rId228" xr:uid="{13963E9E-F127-464B-AA0F-7AED42A117E7}"/>
    <hyperlink ref="Q67" r:id="rId229" xr:uid="{682F98C8-77B0-4277-ABC4-59D2B255D1DC}"/>
    <hyperlink ref="Y143" r:id="rId230" display="Logan@desertservices.net" xr:uid="{B2CEF04A-1191-4214-B0C9-2EB40FF3D1B2}"/>
    <hyperlink ref="Y165" r:id="rId231" display="Logan@desertservices.net" xr:uid="{C72F13B1-6A25-4B89-8545-7C45EE24BBB5}"/>
    <hyperlink ref="Q165" r:id="rId232" xr:uid="{68A80B52-2CD4-49C6-A3E2-3227EBB326E0}"/>
    <hyperlink ref="Q81" r:id="rId233" xr:uid="{B1FF968A-0EBD-4664-BC72-D025C58DCB64}"/>
    <hyperlink ref="Q125" r:id="rId234" xr:uid="{EF931472-805B-4E20-9A4C-E3788DBB0A23}"/>
    <hyperlink ref="Q20" r:id="rId235" xr:uid="{391CD828-6F53-4771-8E62-2BEF284671A6}"/>
    <hyperlink ref="Q42" r:id="rId236" xr:uid="{DF818880-CB01-4339-B81A-2F98ECEAFEF6}"/>
    <hyperlink ref="Q201" r:id="rId237" xr:uid="{C2697ED9-A64D-4FFF-80CA-7BF8079CC7CE}"/>
    <hyperlink ref="Q82" r:id="rId238" xr:uid="{D0E81136-0457-43EE-9298-BAA03D425818}"/>
    <hyperlink ref="Y32" r:id="rId239" display="Logan@desertservices.net" xr:uid="{2A58115A-66BD-46D6-9FFF-9CBC70B68DA0}"/>
    <hyperlink ref="Q173" r:id="rId240" xr:uid="{D1B314C1-B60E-4E69-8DF9-41FC2D46E588}"/>
    <hyperlink ref="Q143" r:id="rId241" xr:uid="{9989E5A0-AB22-4BAC-AFB9-357F2B35F75B}"/>
    <hyperlink ref="Y162" r:id="rId242" display="Logan@desertservices.net" xr:uid="{1FBFF104-0249-4519-88D7-AF9BDD6C1FB5}"/>
    <hyperlink ref="Q175" r:id="rId243" xr:uid="{F2E8CF06-9CB9-4C12-9302-7F51F9C2EDF5}"/>
    <hyperlink ref="Q117" r:id="rId244" xr:uid="{C98590B6-276B-4D08-9697-AAF1E23C128A}"/>
    <hyperlink ref="Q137" r:id="rId245" xr:uid="{508095EC-8AA6-4AE9-941D-6823A12BF0E9}"/>
    <hyperlink ref="Y146" r:id="rId246" display="Logan@desertservices.net" xr:uid="{D7EAFFEF-5B04-451D-8641-DD0ADE06F056}"/>
    <hyperlink ref="Y4" r:id="rId247" xr:uid="{A5179D13-F2B9-43A8-96E1-58F33EC93364}"/>
    <hyperlink ref="Q88" r:id="rId248" xr:uid="{C89C787A-6378-4095-917A-DEE1BC045F2D}"/>
    <hyperlink ref="Q146" r:id="rId249" xr:uid="{8CCC4375-5559-48EA-B0F9-15AEAAA2D55F}"/>
    <hyperlink ref="Q112" r:id="rId250" xr:uid="{2B863EF7-79DD-4F31-8482-D0C973C470AD}"/>
    <hyperlink ref="Y61" r:id="rId251" display="Logan@desertservices.net" xr:uid="{260075A2-030F-4A97-A156-C49842212B84}"/>
    <hyperlink ref="Y11" r:id="rId252" display="Logan@desertservices.net" xr:uid="{8AFAAFD9-3F0E-4FC0-8D72-08CDA990C5D1}"/>
    <hyperlink ref="Q4" r:id="rId253" xr:uid="{E1ACEC72-E812-4FFD-830D-A68F6EBD95FC}"/>
    <hyperlink ref="Q58" r:id="rId254" xr:uid="{ADEB2DBC-E159-4EC7-9232-55D4D6C1B9D9}"/>
    <hyperlink ref="Q72" r:id="rId255" xr:uid="{84B572E2-F6AE-4F5F-A376-024942A305BD}"/>
    <hyperlink ref="Q138" r:id="rId256" xr:uid="{62DBD217-576B-4FFD-91E0-23973B18D042}"/>
    <hyperlink ref="Q204" r:id="rId257" xr:uid="{7B9CB376-22B4-4E7F-A9F0-89BE73EDA309}"/>
    <hyperlink ref="Q162" r:id="rId258" xr:uid="{6DF5F530-8175-4196-B389-268931948469}"/>
    <hyperlink ref="Y7" r:id="rId259" xr:uid="{538216E0-00B0-425C-BF24-D4FAD7159192}"/>
    <hyperlink ref="Y62" r:id="rId260" display="Logan@desertservices.net" xr:uid="{7EC1B83D-024E-4A1C-BBE4-022D03BCD7EC}"/>
    <hyperlink ref="Y53" r:id="rId261" display="Logan@desertservices.net" xr:uid="{CDD09F67-EAF7-4C66-A83D-DCDD5184F364}"/>
    <hyperlink ref="Q53" r:id="rId262" xr:uid="{1CEF49F7-C894-48F5-AEDB-929F80C07A32}"/>
    <hyperlink ref="Q114" r:id="rId263" xr:uid="{42D67B61-F2C2-47A4-BFBF-AA0B044FEE17}"/>
    <hyperlink ref="Q74" r:id="rId264" xr:uid="{FE95AEF6-1468-43D7-A9EA-6FC40882E3E6}"/>
    <hyperlink ref="Q152" r:id="rId265" xr:uid="{DFD357DD-3F47-4A83-8153-516682686D91}"/>
    <hyperlink ref="Q128" r:id="rId266" xr:uid="{CAFBEB79-55CA-4765-8270-26F85D24DEB5}"/>
    <hyperlink ref="Y177" r:id="rId267" display="Logan@desertservices.net" xr:uid="{E6370E15-5AA9-4E95-9AA9-26263EBA5194}"/>
    <hyperlink ref="Y3" r:id="rId268" xr:uid="{6DB2E995-E925-472A-9535-C5DD98C304D8}"/>
    <hyperlink ref="Q104" r:id="rId269" xr:uid="{5AF54197-47F8-49A8-B28B-4EB4DE614804}"/>
    <hyperlink ref="Q32" r:id="rId270" xr:uid="{F55F0F58-7306-4D81-94FA-E84FC01D46AC}"/>
    <hyperlink ref="Q121" r:id="rId271" xr:uid="{62AC4D96-B411-48ED-B877-F0319ADF88D0}"/>
    <hyperlink ref="Q159" r:id="rId272" xr:uid="{B71A49F1-799E-47DF-ABCE-7DFA4D02EA24}"/>
    <hyperlink ref="Q181" r:id="rId273" xr:uid="{61FA30E7-630B-4C3B-B902-1EDC35B5F4B0}"/>
    <hyperlink ref="Q76" r:id="rId274" xr:uid="{F52C5397-A52D-43BC-A9C1-0E43628C212B}"/>
  </hyperlinks>
  <pageMargins left="0.25" right="0.25" top="0.75" bottom="0.75" header="0.3" footer="0.3"/>
  <pageSetup scale="50" fitToWidth="0" orientation="landscape" r:id="rId275"/>
  <legacyDrawing r:id="rId276"/>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98"/>
  <sheetViews>
    <sheetView topLeftCell="A1073" zoomScale="82" zoomScaleNormal="82" workbookViewId="0">
      <selection activeCell="A1098" sqref="A1098:Y1098"/>
    </sheetView>
  </sheetViews>
  <sheetFormatPr defaultRowHeight="15"/>
  <cols>
    <col min="1" max="1" width="18.140625" customWidth="1"/>
    <col min="2" max="2" width="44.7109375" customWidth="1"/>
    <col min="3" max="3" width="38.42578125" customWidth="1"/>
    <col min="4" max="4" width="21.5703125" style="25" customWidth="1"/>
    <col min="5" max="5" width="14" customWidth="1"/>
    <col min="6" max="6" width="16.140625" style="25" customWidth="1"/>
    <col min="7" max="7" width="9.7109375" style="25" bestFit="1" customWidth="1"/>
    <col min="8" max="8" width="15.140625" style="25" customWidth="1"/>
    <col min="9" max="9" width="38.42578125" style="25" customWidth="1"/>
    <col min="10" max="10" width="16" style="25" customWidth="1"/>
    <col min="11" max="13" width="9.140625" style="25"/>
    <col min="14" max="14" width="7.28515625" style="25" customWidth="1"/>
    <col min="15" max="15" width="27.5703125" style="25" customWidth="1"/>
    <col min="16" max="16" width="35.7109375" style="25" customWidth="1"/>
    <col min="17" max="17" width="32.85546875" style="25" customWidth="1"/>
    <col min="18" max="18" width="9.85546875" style="25" customWidth="1"/>
    <col min="19" max="19" width="8.85546875" customWidth="1"/>
    <col min="20" max="20" width="4.140625" customWidth="1"/>
  </cols>
  <sheetData>
    <row r="1" spans="1:26" ht="15.75">
      <c r="A1" s="4" t="s">
        <v>1224</v>
      </c>
      <c r="B1" s="117" t="s">
        <v>395</v>
      </c>
      <c r="C1" s="4" t="s">
        <v>1225</v>
      </c>
      <c r="D1" s="1"/>
      <c r="E1" s="26">
        <v>43664</v>
      </c>
      <c r="F1" s="2">
        <f>E1+14</f>
        <v>43678</v>
      </c>
      <c r="G1" s="3" t="s">
        <v>364</v>
      </c>
      <c r="H1" s="3">
        <v>950</v>
      </c>
      <c r="I1" s="108" t="s">
        <v>1226</v>
      </c>
      <c r="J1" s="34" t="s">
        <v>916</v>
      </c>
      <c r="K1" s="112" t="s">
        <v>31</v>
      </c>
      <c r="L1" s="110">
        <v>85719</v>
      </c>
      <c r="M1" s="3" t="s">
        <v>32</v>
      </c>
      <c r="N1" s="1" t="s">
        <v>1227</v>
      </c>
      <c r="O1" s="112" t="s">
        <v>1228</v>
      </c>
      <c r="P1" s="112" t="s">
        <v>1229</v>
      </c>
      <c r="Q1" s="113"/>
      <c r="R1" s="113">
        <v>66669</v>
      </c>
      <c r="S1" s="20" t="s">
        <v>1230</v>
      </c>
      <c r="T1" s="21" t="s">
        <v>1231</v>
      </c>
      <c r="U1" s="17" t="s">
        <v>1232</v>
      </c>
      <c r="V1" s="17" t="s">
        <v>1233</v>
      </c>
    </row>
    <row r="2" spans="1:26" ht="15.75">
      <c r="A2" s="120" t="s">
        <v>1234</v>
      </c>
      <c r="B2" s="102" t="s">
        <v>395</v>
      </c>
      <c r="C2" s="29" t="s">
        <v>1235</v>
      </c>
      <c r="D2" s="2"/>
      <c r="E2" s="26"/>
      <c r="F2" s="2"/>
      <c r="G2" s="1" t="s">
        <v>364</v>
      </c>
      <c r="H2" s="1">
        <v>947</v>
      </c>
      <c r="I2" s="1" t="s">
        <v>1236</v>
      </c>
      <c r="J2" s="32" t="s">
        <v>916</v>
      </c>
      <c r="K2" s="1" t="s">
        <v>31</v>
      </c>
      <c r="L2" s="1" t="s">
        <v>1237</v>
      </c>
      <c r="M2" s="1" t="s">
        <v>32</v>
      </c>
      <c r="N2" s="1" t="s">
        <v>1227</v>
      </c>
      <c r="O2" s="1" t="s">
        <v>1238</v>
      </c>
      <c r="P2" s="1" t="s">
        <v>1239</v>
      </c>
      <c r="Q2" s="1"/>
      <c r="R2" s="1">
        <v>75805</v>
      </c>
      <c r="S2" s="20" t="s">
        <v>1230</v>
      </c>
      <c r="T2" s="21" t="s">
        <v>1231</v>
      </c>
      <c r="U2" s="17" t="s">
        <v>1232</v>
      </c>
      <c r="V2" s="17" t="s">
        <v>1233</v>
      </c>
    </row>
    <row r="3" spans="1:26">
      <c r="A3" s="164" t="s">
        <v>1240</v>
      </c>
      <c r="B3" s="102" t="s">
        <v>395</v>
      </c>
      <c r="C3" s="29" t="s">
        <v>1241</v>
      </c>
      <c r="D3" s="2">
        <v>43768</v>
      </c>
      <c r="E3" s="2">
        <v>44784</v>
      </c>
      <c r="F3" s="132">
        <f>E3+28</f>
        <v>44812</v>
      </c>
      <c r="G3" s="2"/>
      <c r="H3" s="1">
        <v>100</v>
      </c>
      <c r="I3" s="15" t="s">
        <v>1242</v>
      </c>
      <c r="J3" s="32" t="s">
        <v>434</v>
      </c>
      <c r="K3" s="1" t="s">
        <v>31</v>
      </c>
      <c r="L3" s="1" t="s">
        <v>1243</v>
      </c>
      <c r="M3" s="1" t="s">
        <v>32</v>
      </c>
      <c r="N3" s="1" t="s">
        <v>1227</v>
      </c>
      <c r="O3" s="1" t="s">
        <v>1244</v>
      </c>
      <c r="P3" s="1" t="s">
        <v>1245</v>
      </c>
      <c r="Q3" s="87" t="s">
        <v>1246</v>
      </c>
      <c r="R3" s="1">
        <v>76533</v>
      </c>
      <c r="S3" s="224"/>
      <c r="T3" s="224"/>
      <c r="U3" s="157"/>
      <c r="V3" s="17" t="s">
        <v>443</v>
      </c>
      <c r="W3" t="s">
        <v>37</v>
      </c>
      <c r="X3" t="s">
        <v>616</v>
      </c>
      <c r="Y3" s="134" t="s">
        <v>1247</v>
      </c>
    </row>
    <row r="4" spans="1:26">
      <c r="A4" s="164" t="s">
        <v>1240</v>
      </c>
      <c r="B4" s="102" t="s">
        <v>395</v>
      </c>
      <c r="C4" s="29" t="s">
        <v>1241</v>
      </c>
      <c r="D4" s="2">
        <v>43768</v>
      </c>
      <c r="E4" s="2">
        <v>44819</v>
      </c>
      <c r="F4" s="2">
        <f>E4+28</f>
        <v>44847</v>
      </c>
      <c r="G4" s="2"/>
      <c r="H4" s="1">
        <v>100</v>
      </c>
      <c r="I4" s="15" t="s">
        <v>1242</v>
      </c>
      <c r="J4" s="32" t="s">
        <v>434</v>
      </c>
      <c r="K4" s="1" t="s">
        <v>31</v>
      </c>
      <c r="L4" s="1" t="s">
        <v>1243</v>
      </c>
      <c r="M4" s="1" t="s">
        <v>32</v>
      </c>
      <c r="N4" s="1" t="s">
        <v>1227</v>
      </c>
      <c r="O4" s="1" t="s">
        <v>1244</v>
      </c>
      <c r="P4" s="1" t="s">
        <v>1245</v>
      </c>
      <c r="Q4" s="87" t="s">
        <v>1246</v>
      </c>
      <c r="R4" s="1">
        <v>76533</v>
      </c>
      <c r="S4" s="47"/>
      <c r="T4" s="47"/>
      <c r="U4" s="157"/>
      <c r="V4" s="17" t="s">
        <v>443</v>
      </c>
      <c r="W4" t="s">
        <v>37</v>
      </c>
      <c r="X4" t="s">
        <v>616</v>
      </c>
      <c r="Y4" s="226" t="s">
        <v>1247</v>
      </c>
      <c r="Z4" s="227"/>
    </row>
    <row r="5" spans="1:26" ht="15.75">
      <c r="A5" s="4" t="s">
        <v>1224</v>
      </c>
      <c r="B5" s="102" t="s">
        <v>1248</v>
      </c>
      <c r="C5" s="29" t="s">
        <v>1249</v>
      </c>
      <c r="D5" s="1"/>
      <c r="E5" s="26">
        <v>43669</v>
      </c>
      <c r="F5" s="2">
        <f t="shared" ref="F5:F37" si="0">E5+14</f>
        <v>43683</v>
      </c>
      <c r="G5" s="1" t="s">
        <v>364</v>
      </c>
      <c r="H5" s="1">
        <v>1265</v>
      </c>
      <c r="I5" s="1" t="s">
        <v>1250</v>
      </c>
      <c r="J5" s="108" t="s">
        <v>916</v>
      </c>
      <c r="K5" s="32" t="s">
        <v>31</v>
      </c>
      <c r="L5" s="32">
        <v>85713</v>
      </c>
      <c r="M5" s="111" t="s">
        <v>32</v>
      </c>
      <c r="N5" s="1" t="s">
        <v>1227</v>
      </c>
      <c r="O5" s="32" t="s">
        <v>1251</v>
      </c>
      <c r="P5" s="32" t="s">
        <v>1252</v>
      </c>
      <c r="Q5" s="32"/>
      <c r="R5" s="32">
        <v>76926</v>
      </c>
      <c r="S5" s="156" t="s">
        <v>443</v>
      </c>
      <c r="T5" s="21" t="s">
        <v>1253</v>
      </c>
      <c r="U5" s="17" t="s">
        <v>1254</v>
      </c>
      <c r="V5" s="17" t="s">
        <v>1255</v>
      </c>
      <c r="W5" s="17"/>
    </row>
    <row r="6" spans="1:26">
      <c r="A6" s="93" t="s">
        <v>1256</v>
      </c>
      <c r="B6" s="141" t="s">
        <v>1257</v>
      </c>
      <c r="C6" s="29" t="s">
        <v>1258</v>
      </c>
      <c r="D6" s="4"/>
      <c r="E6" s="26">
        <v>44522</v>
      </c>
      <c r="F6" s="2">
        <f t="shared" si="0"/>
        <v>44536</v>
      </c>
      <c r="G6" s="15" t="s">
        <v>1259</v>
      </c>
      <c r="H6" s="1">
        <v>7742</v>
      </c>
      <c r="I6" s="1" t="s">
        <v>1260</v>
      </c>
      <c r="J6" s="1" t="s">
        <v>851</v>
      </c>
      <c r="K6" s="32" t="s">
        <v>31</v>
      </c>
      <c r="L6" s="1">
        <v>85345</v>
      </c>
      <c r="M6" s="1" t="s">
        <v>32</v>
      </c>
      <c r="N6" s="1" t="s">
        <v>1227</v>
      </c>
      <c r="O6" s="1" t="s">
        <v>1261</v>
      </c>
      <c r="P6" s="1" t="s">
        <v>1262</v>
      </c>
      <c r="Q6" s="87" t="s">
        <v>1263</v>
      </c>
      <c r="R6" s="1">
        <v>89754</v>
      </c>
      <c r="S6" s="4"/>
      <c r="T6" s="4"/>
      <c r="U6" s="17"/>
      <c r="V6" s="17" t="s">
        <v>1264</v>
      </c>
      <c r="W6" s="17" t="s">
        <v>1253</v>
      </c>
      <c r="X6" t="s">
        <v>616</v>
      </c>
      <c r="Y6" s="134" t="s">
        <v>1265</v>
      </c>
    </row>
    <row r="7" spans="1:26" ht="15.75">
      <c r="A7" s="4" t="s">
        <v>1266</v>
      </c>
      <c r="B7" s="102" t="s">
        <v>1267</v>
      </c>
      <c r="C7" s="29" t="s">
        <v>1268</v>
      </c>
      <c r="D7" s="1"/>
      <c r="E7" s="26">
        <v>44264</v>
      </c>
      <c r="F7" s="2">
        <f t="shared" si="0"/>
        <v>44278</v>
      </c>
      <c r="G7" s="1" t="s">
        <v>364</v>
      </c>
      <c r="H7" s="1">
        <v>5649</v>
      </c>
      <c r="I7" s="1" t="s">
        <v>1269</v>
      </c>
      <c r="J7" s="1" t="s">
        <v>63</v>
      </c>
      <c r="K7" s="32" t="s">
        <v>31</v>
      </c>
      <c r="L7" s="1"/>
      <c r="M7" s="1" t="s">
        <v>32</v>
      </c>
      <c r="N7" s="1" t="s">
        <v>1227</v>
      </c>
      <c r="O7" s="1" t="s">
        <v>1270</v>
      </c>
      <c r="P7" s="1" t="s">
        <v>1271</v>
      </c>
      <c r="Q7" s="1"/>
      <c r="R7" s="1"/>
      <c r="S7" s="18" t="s">
        <v>443</v>
      </c>
      <c r="T7" s="19" t="s">
        <v>1253</v>
      </c>
      <c r="U7" s="4" t="s">
        <v>1254</v>
      </c>
      <c r="V7" s="17" t="s">
        <v>1255</v>
      </c>
      <c r="W7" s="17"/>
    </row>
    <row r="8" spans="1:26" ht="15.75">
      <c r="A8" s="4" t="s">
        <v>1256</v>
      </c>
      <c r="B8" s="102" t="s">
        <v>1267</v>
      </c>
      <c r="C8" s="29" t="s">
        <v>1272</v>
      </c>
      <c r="D8" s="2"/>
      <c r="E8" s="26">
        <v>44376</v>
      </c>
      <c r="F8" s="2">
        <f t="shared" si="0"/>
        <v>44390</v>
      </c>
      <c r="G8" s="41" t="s">
        <v>364</v>
      </c>
      <c r="H8" s="41">
        <v>10275</v>
      </c>
      <c r="I8" s="1" t="s">
        <v>1135</v>
      </c>
      <c r="J8" s="33" t="s">
        <v>873</v>
      </c>
      <c r="K8" s="33" t="s">
        <v>31</v>
      </c>
      <c r="L8" s="33" t="s">
        <v>1273</v>
      </c>
      <c r="M8" s="1" t="s">
        <v>32</v>
      </c>
      <c r="N8" s="38" t="s">
        <v>1227</v>
      </c>
      <c r="O8" s="34" t="s">
        <v>1274</v>
      </c>
      <c r="P8" s="39" t="s">
        <v>1275</v>
      </c>
      <c r="Q8" s="36"/>
      <c r="R8" s="36">
        <v>75709</v>
      </c>
      <c r="S8" s="6"/>
      <c r="T8" s="20" t="s">
        <v>1276</v>
      </c>
      <c r="U8" s="21" t="s">
        <v>1277</v>
      </c>
      <c r="V8" s="17" t="s">
        <v>1278</v>
      </c>
      <c r="W8" s="17" t="s">
        <v>1279</v>
      </c>
    </row>
    <row r="9" spans="1:26" ht="15.75">
      <c r="A9" s="4" t="s">
        <v>1280</v>
      </c>
      <c r="B9" s="102" t="s">
        <v>1281</v>
      </c>
      <c r="C9" s="4" t="s">
        <v>1282</v>
      </c>
      <c r="D9" s="2"/>
      <c r="E9" s="26">
        <v>43857</v>
      </c>
      <c r="F9" s="2">
        <f t="shared" si="0"/>
        <v>43871</v>
      </c>
      <c r="G9" s="42" t="s">
        <v>364</v>
      </c>
      <c r="H9" s="42">
        <v>26650</v>
      </c>
      <c r="I9" s="1" t="s">
        <v>1038</v>
      </c>
      <c r="J9" s="33" t="s">
        <v>851</v>
      </c>
      <c r="K9" s="34" t="s">
        <v>31</v>
      </c>
      <c r="L9" s="33" t="s">
        <v>1039</v>
      </c>
      <c r="M9" s="33" t="s">
        <v>32</v>
      </c>
      <c r="N9" s="38" t="s">
        <v>1227</v>
      </c>
      <c r="O9" s="33" t="s">
        <v>1283</v>
      </c>
      <c r="P9" s="38" t="s">
        <v>1284</v>
      </c>
      <c r="Q9" s="37"/>
      <c r="R9" s="37">
        <v>71412</v>
      </c>
      <c r="S9" s="9"/>
      <c r="T9" s="20" t="s">
        <v>1276</v>
      </c>
      <c r="U9" s="21" t="s">
        <v>1277</v>
      </c>
      <c r="V9" s="17" t="s">
        <v>1278</v>
      </c>
      <c r="W9" s="17" t="s">
        <v>1279</v>
      </c>
    </row>
    <row r="10" spans="1:26" ht="15.75">
      <c r="A10" s="4" t="s">
        <v>1280</v>
      </c>
      <c r="B10" s="102" t="s">
        <v>1281</v>
      </c>
      <c r="C10" s="4" t="s">
        <v>1285</v>
      </c>
      <c r="D10" s="2"/>
      <c r="E10" s="26">
        <v>43887</v>
      </c>
      <c r="F10" s="2">
        <f t="shared" si="0"/>
        <v>43901</v>
      </c>
      <c r="G10" s="41" t="s">
        <v>364</v>
      </c>
      <c r="H10" s="41">
        <v>16815</v>
      </c>
      <c r="I10" s="33" t="s">
        <v>1286</v>
      </c>
      <c r="J10" s="34" t="s">
        <v>837</v>
      </c>
      <c r="K10" s="34" t="s">
        <v>31</v>
      </c>
      <c r="L10" s="34" t="s">
        <v>1287</v>
      </c>
      <c r="M10" s="123" t="s">
        <v>32</v>
      </c>
      <c r="N10" s="1" t="s">
        <v>1227</v>
      </c>
      <c r="O10" s="34"/>
      <c r="P10" s="36"/>
      <c r="Q10" s="114"/>
      <c r="R10" s="114"/>
      <c r="S10" s="6"/>
      <c r="T10" s="20" t="s">
        <v>443</v>
      </c>
      <c r="U10" s="21" t="s">
        <v>1253</v>
      </c>
      <c r="V10" s="17" t="s">
        <v>1254</v>
      </c>
      <c r="W10" s="17" t="s">
        <v>1255</v>
      </c>
    </row>
    <row r="11" spans="1:26" ht="15.75">
      <c r="A11" s="4" t="s">
        <v>1224</v>
      </c>
      <c r="B11" s="102" t="s">
        <v>1281</v>
      </c>
      <c r="C11" s="29" t="s">
        <v>1288</v>
      </c>
      <c r="D11" s="1"/>
      <c r="E11" s="26">
        <v>43657</v>
      </c>
      <c r="F11" s="2">
        <f t="shared" si="0"/>
        <v>43671</v>
      </c>
      <c r="G11" s="1" t="s">
        <v>364</v>
      </c>
      <c r="H11" s="1">
        <v>10205</v>
      </c>
      <c r="I11" s="1" t="s">
        <v>1289</v>
      </c>
      <c r="J11" s="1" t="s">
        <v>916</v>
      </c>
      <c r="K11" s="32" t="s">
        <v>31</v>
      </c>
      <c r="L11" s="1">
        <v>85756</v>
      </c>
      <c r="M11" s="1" t="s">
        <v>32</v>
      </c>
      <c r="N11" s="1" t="s">
        <v>1227</v>
      </c>
      <c r="O11" s="1"/>
      <c r="P11" s="1"/>
      <c r="Q11" s="1"/>
      <c r="R11" s="1"/>
      <c r="S11" s="9">
        <v>15</v>
      </c>
      <c r="T11" s="18" t="s">
        <v>1276</v>
      </c>
      <c r="U11" s="19" t="s">
        <v>1277</v>
      </c>
      <c r="V11" s="17" t="s">
        <v>1278</v>
      </c>
      <c r="W11" s="17" t="s">
        <v>1279</v>
      </c>
    </row>
    <row r="12" spans="1:26" ht="15.75">
      <c r="A12" s="4" t="s">
        <v>1280</v>
      </c>
      <c r="B12" s="102" t="s">
        <v>1281</v>
      </c>
      <c r="C12" s="29" t="s">
        <v>1290</v>
      </c>
      <c r="D12" s="1">
        <v>43677</v>
      </c>
      <c r="E12" s="26">
        <v>43929</v>
      </c>
      <c r="F12" s="2">
        <f t="shared" si="0"/>
        <v>43943</v>
      </c>
      <c r="G12" s="1" t="s">
        <v>364</v>
      </c>
      <c r="H12" s="1">
        <v>7823</v>
      </c>
      <c r="I12" s="1" t="s">
        <v>1291</v>
      </c>
      <c r="J12" s="1" t="s">
        <v>851</v>
      </c>
      <c r="K12" s="32" t="s">
        <v>31</v>
      </c>
      <c r="L12" s="1">
        <v>85345</v>
      </c>
      <c r="M12" s="1" t="s">
        <v>32</v>
      </c>
      <c r="N12" s="1" t="s">
        <v>1227</v>
      </c>
      <c r="O12" s="1" t="s">
        <v>1292</v>
      </c>
      <c r="P12" s="1" t="s">
        <v>1293</v>
      </c>
      <c r="Q12" s="1"/>
      <c r="R12" s="1"/>
      <c r="S12" s="9"/>
      <c r="T12" s="20" t="s">
        <v>1276</v>
      </c>
      <c r="U12" s="21" t="s">
        <v>1277</v>
      </c>
      <c r="V12" s="17" t="s">
        <v>1278</v>
      </c>
      <c r="W12" s="17" t="s">
        <v>1279</v>
      </c>
    </row>
    <row r="13" spans="1:26" ht="15.75">
      <c r="A13" s="4" t="s">
        <v>1280</v>
      </c>
      <c r="B13" s="193" t="s">
        <v>1281</v>
      </c>
      <c r="C13" s="144" t="s">
        <v>1294</v>
      </c>
      <c r="D13" s="10"/>
      <c r="E13" s="135">
        <v>43941</v>
      </c>
      <c r="F13" s="105">
        <f t="shared" si="0"/>
        <v>43955</v>
      </c>
      <c r="G13" s="10" t="s">
        <v>364</v>
      </c>
      <c r="H13" s="10">
        <v>10205</v>
      </c>
      <c r="I13" s="10" t="s">
        <v>1295</v>
      </c>
      <c r="J13" s="10" t="s">
        <v>1296</v>
      </c>
      <c r="K13" s="108" t="s">
        <v>31</v>
      </c>
      <c r="L13" s="10">
        <v>85282</v>
      </c>
      <c r="M13" s="10" t="s">
        <v>32</v>
      </c>
      <c r="N13" s="1" t="s">
        <v>1227</v>
      </c>
      <c r="O13" s="10" t="s">
        <v>1297</v>
      </c>
      <c r="P13" s="10" t="s">
        <v>1298</v>
      </c>
      <c r="Q13" s="10"/>
      <c r="R13" s="10"/>
      <c r="S13" s="14"/>
      <c r="T13" s="18" t="s">
        <v>1276</v>
      </c>
      <c r="U13" s="21" t="s">
        <v>1277</v>
      </c>
      <c r="V13" s="17" t="s">
        <v>1278</v>
      </c>
      <c r="W13" s="17" t="s">
        <v>1279</v>
      </c>
    </row>
    <row r="14" spans="1:26" ht="15.75">
      <c r="A14" s="4" t="s">
        <v>1280</v>
      </c>
      <c r="B14" s="102" t="s">
        <v>1281</v>
      </c>
      <c r="C14" s="29" t="s">
        <v>1299</v>
      </c>
      <c r="D14" s="1"/>
      <c r="E14" s="26">
        <v>44046</v>
      </c>
      <c r="F14" s="2">
        <f t="shared" si="0"/>
        <v>44060</v>
      </c>
      <c r="G14" s="1" t="s">
        <v>364</v>
      </c>
      <c r="H14" s="1">
        <v>10649</v>
      </c>
      <c r="I14" s="1" t="s">
        <v>1300</v>
      </c>
      <c r="J14" s="32" t="s">
        <v>894</v>
      </c>
      <c r="K14" s="32" t="s">
        <v>31</v>
      </c>
      <c r="L14" s="32">
        <v>85353</v>
      </c>
      <c r="M14" s="32" t="s">
        <v>32</v>
      </c>
      <c r="N14" s="1" t="s">
        <v>1227</v>
      </c>
      <c r="O14" s="1" t="s">
        <v>1301</v>
      </c>
      <c r="P14" s="150" t="s">
        <v>1302</v>
      </c>
      <c r="Q14" s="32"/>
      <c r="R14" s="32"/>
      <c r="S14" s="6"/>
      <c r="T14" s="18" t="s">
        <v>443</v>
      </c>
      <c r="U14" s="19" t="s">
        <v>1253</v>
      </c>
      <c r="V14" s="17" t="s">
        <v>1254</v>
      </c>
      <c r="W14" s="17" t="s">
        <v>1255</v>
      </c>
    </row>
    <row r="15" spans="1:26" ht="15.75">
      <c r="A15" s="4" t="s">
        <v>1256</v>
      </c>
      <c r="B15" s="103" t="s">
        <v>1281</v>
      </c>
      <c r="C15" s="47" t="s">
        <v>1303</v>
      </c>
      <c r="D15" s="46"/>
      <c r="E15" s="26">
        <v>44112</v>
      </c>
      <c r="F15" s="2">
        <f t="shared" si="0"/>
        <v>44126</v>
      </c>
      <c r="G15" s="66" t="s">
        <v>364</v>
      </c>
      <c r="H15" s="66">
        <v>7191</v>
      </c>
      <c r="I15" s="33" t="s">
        <v>1304</v>
      </c>
      <c r="J15" s="109" t="s">
        <v>398</v>
      </c>
      <c r="K15" s="109" t="s">
        <v>31</v>
      </c>
      <c r="L15" s="46" t="s">
        <v>1305</v>
      </c>
      <c r="M15" s="46" t="s">
        <v>32</v>
      </c>
      <c r="N15" s="1" t="s">
        <v>1227</v>
      </c>
      <c r="O15" s="46"/>
      <c r="P15" s="46"/>
      <c r="Q15" s="46"/>
      <c r="R15" s="46"/>
      <c r="S15" s="9"/>
      <c r="T15" s="18" t="s">
        <v>1276</v>
      </c>
      <c r="U15" s="21" t="s">
        <v>1277</v>
      </c>
      <c r="V15" s="17" t="s">
        <v>1278</v>
      </c>
      <c r="W15" s="17" t="s">
        <v>1279</v>
      </c>
    </row>
    <row r="16" spans="1:26" ht="18" customHeight="1">
      <c r="A16" s="4" t="s">
        <v>1256</v>
      </c>
      <c r="B16" s="102" t="s">
        <v>1281</v>
      </c>
      <c r="C16" s="29" t="s">
        <v>1306</v>
      </c>
      <c r="D16" s="1"/>
      <c r="E16" s="136">
        <v>44210</v>
      </c>
      <c r="F16" s="2">
        <f t="shared" si="0"/>
        <v>44224</v>
      </c>
      <c r="G16" s="1" t="s">
        <v>364</v>
      </c>
      <c r="H16" s="1" t="s">
        <v>184</v>
      </c>
      <c r="I16" s="1" t="s">
        <v>1307</v>
      </c>
      <c r="J16" s="1" t="s">
        <v>1308</v>
      </c>
      <c r="K16" s="1" t="s">
        <v>31</v>
      </c>
      <c r="L16" s="1">
        <v>85327</v>
      </c>
      <c r="M16" s="1" t="s">
        <v>32</v>
      </c>
      <c r="N16" s="1" t="s">
        <v>1227</v>
      </c>
      <c r="O16" s="1" t="s">
        <v>1283</v>
      </c>
      <c r="P16" s="1" t="s">
        <v>1284</v>
      </c>
      <c r="Q16" s="1"/>
      <c r="R16" s="1"/>
      <c r="S16" s="27"/>
      <c r="T16" s="170" t="s">
        <v>1276</v>
      </c>
      <c r="U16" s="171" t="s">
        <v>1277</v>
      </c>
      <c r="V16" t="s">
        <v>1278</v>
      </c>
      <c r="W16" t="s">
        <v>1279</v>
      </c>
    </row>
    <row r="17" spans="1:26" ht="15.75">
      <c r="A17" s="4" t="s">
        <v>1309</v>
      </c>
      <c r="B17" s="17" t="s">
        <v>1281</v>
      </c>
      <c r="C17" s="195" t="s">
        <v>1310</v>
      </c>
      <c r="D17" s="1"/>
      <c r="E17" s="26">
        <v>44407</v>
      </c>
      <c r="F17" s="2">
        <f t="shared" si="0"/>
        <v>44421</v>
      </c>
      <c r="G17" s="1" t="s">
        <v>364</v>
      </c>
      <c r="H17" s="1">
        <v>7191</v>
      </c>
      <c r="I17" s="1" t="s">
        <v>1311</v>
      </c>
      <c r="J17" s="111" t="s">
        <v>398</v>
      </c>
      <c r="K17" s="32" t="s">
        <v>31</v>
      </c>
      <c r="L17" s="111">
        <v>85266</v>
      </c>
      <c r="M17" s="111" t="s">
        <v>32</v>
      </c>
      <c r="N17" s="1" t="s">
        <v>1227</v>
      </c>
      <c r="O17" s="211" t="s">
        <v>1312</v>
      </c>
      <c r="P17" s="211" t="s">
        <v>1313</v>
      </c>
      <c r="Q17" s="32"/>
      <c r="R17" s="32">
        <v>86166</v>
      </c>
      <c r="S17" s="6"/>
      <c r="T17" s="18" t="s">
        <v>443</v>
      </c>
      <c r="U17" s="19" t="s">
        <v>1253</v>
      </c>
      <c r="V17" s="17" t="s">
        <v>1254</v>
      </c>
      <c r="W17" s="17" t="s">
        <v>1255</v>
      </c>
    </row>
    <row r="18" spans="1:26" ht="15.75">
      <c r="A18" s="121" t="s">
        <v>25</v>
      </c>
      <c r="B18" s="116" t="s">
        <v>1281</v>
      </c>
      <c r="C18" s="29" t="s">
        <v>1314</v>
      </c>
      <c r="D18" s="2"/>
      <c r="E18" s="203">
        <v>44473</v>
      </c>
      <c r="F18" s="2">
        <f t="shared" si="0"/>
        <v>44487</v>
      </c>
      <c r="G18" s="198" t="s">
        <v>364</v>
      </c>
      <c r="H18" s="198">
        <v>1645</v>
      </c>
      <c r="I18" s="1" t="s">
        <v>1315</v>
      </c>
      <c r="J18" s="1" t="s">
        <v>75</v>
      </c>
      <c r="K18" s="1" t="s">
        <v>31</v>
      </c>
      <c r="L18" s="1">
        <v>85142</v>
      </c>
      <c r="M18" s="1" t="s">
        <v>32</v>
      </c>
      <c r="N18" s="38" t="s">
        <v>1227</v>
      </c>
      <c r="O18" s="1" t="s">
        <v>1316</v>
      </c>
      <c r="P18" s="1" t="s">
        <v>1317</v>
      </c>
      <c r="Q18" s="1" t="s">
        <v>1318</v>
      </c>
      <c r="R18" s="1">
        <v>86242</v>
      </c>
      <c r="S18" s="27"/>
      <c r="T18" s="170" t="s">
        <v>1276</v>
      </c>
      <c r="U18" s="171" t="s">
        <v>1277</v>
      </c>
      <c r="V18" t="s">
        <v>1278</v>
      </c>
      <c r="W18" t="s">
        <v>1279</v>
      </c>
    </row>
    <row r="19" spans="1:26" ht="15.75">
      <c r="A19" s="122" t="s">
        <v>1256</v>
      </c>
      <c r="B19" s="104" t="s">
        <v>1281</v>
      </c>
      <c r="C19" s="5" t="s">
        <v>1319</v>
      </c>
      <c r="D19" s="59"/>
      <c r="E19" s="26">
        <v>44495</v>
      </c>
      <c r="F19" s="60">
        <f t="shared" si="0"/>
        <v>44509</v>
      </c>
      <c r="G19" s="60" t="s">
        <v>364</v>
      </c>
      <c r="H19" s="60" t="s">
        <v>364</v>
      </c>
      <c r="I19" s="33" t="s">
        <v>1320</v>
      </c>
      <c r="J19" s="35" t="s">
        <v>434</v>
      </c>
      <c r="K19" s="34" t="s">
        <v>31</v>
      </c>
      <c r="L19" s="34" t="s">
        <v>1321</v>
      </c>
      <c r="M19" s="123" t="s">
        <v>32</v>
      </c>
      <c r="N19" s="38" t="s">
        <v>1227</v>
      </c>
      <c r="O19" s="34" t="s">
        <v>1301</v>
      </c>
      <c r="P19" s="34" t="s">
        <v>1322</v>
      </c>
      <c r="Q19" s="152" t="s">
        <v>1323</v>
      </c>
      <c r="R19" s="36">
        <v>85585</v>
      </c>
      <c r="S19" s="6"/>
      <c r="T19" s="18" t="s">
        <v>1276</v>
      </c>
      <c r="U19" s="19" t="s">
        <v>1277</v>
      </c>
      <c r="V19" s="17" t="s">
        <v>1278</v>
      </c>
      <c r="W19" s="17" t="s">
        <v>1279</v>
      </c>
    </row>
    <row r="20" spans="1:26">
      <c r="A20" s="92" t="s">
        <v>25</v>
      </c>
      <c r="B20" s="29" t="s">
        <v>1281</v>
      </c>
      <c r="C20" s="4" t="s">
        <v>1324</v>
      </c>
      <c r="D20" s="2"/>
      <c r="E20" s="137">
        <v>44536</v>
      </c>
      <c r="F20" s="2">
        <f t="shared" si="0"/>
        <v>44550</v>
      </c>
      <c r="G20" s="2"/>
      <c r="H20" s="41">
        <v>6505</v>
      </c>
      <c r="I20" s="1" t="s">
        <v>1325</v>
      </c>
      <c r="J20" s="1" t="s">
        <v>1326</v>
      </c>
      <c r="K20" s="1" t="s">
        <v>31</v>
      </c>
      <c r="L20" s="1">
        <v>85226</v>
      </c>
      <c r="M20" s="1" t="s">
        <v>32</v>
      </c>
      <c r="N20" s="1" t="s">
        <v>1227</v>
      </c>
      <c r="O20" s="1" t="s">
        <v>1327</v>
      </c>
      <c r="P20" s="1" t="s">
        <v>1328</v>
      </c>
      <c r="Q20" s="87" t="s">
        <v>1329</v>
      </c>
      <c r="R20" s="31">
        <v>88703</v>
      </c>
      <c r="S20" s="172"/>
      <c r="T20" s="172"/>
      <c r="V20" t="s">
        <v>36</v>
      </c>
      <c r="W20" t="s">
        <v>1277</v>
      </c>
      <c r="X20" s="25" t="s">
        <v>59</v>
      </c>
      <c r="Y20" s="134" t="s">
        <v>1330</v>
      </c>
    </row>
    <row r="21" spans="1:26" ht="18" customHeight="1">
      <c r="A21" s="164" t="s">
        <v>1240</v>
      </c>
      <c r="B21" s="102" t="s">
        <v>1331</v>
      </c>
      <c r="C21" s="4" t="s">
        <v>1332</v>
      </c>
      <c r="D21" s="130"/>
      <c r="E21" s="2">
        <v>44832</v>
      </c>
      <c r="F21" s="60">
        <f t="shared" si="0"/>
        <v>44846</v>
      </c>
      <c r="G21" s="2"/>
      <c r="H21" s="41">
        <v>301</v>
      </c>
      <c r="I21" s="15" t="s">
        <v>1333</v>
      </c>
      <c r="J21" s="1" t="s">
        <v>434</v>
      </c>
      <c r="K21" s="32" t="s">
        <v>31</v>
      </c>
      <c r="L21" s="1">
        <v>85041</v>
      </c>
      <c r="M21" s="1" t="s">
        <v>32</v>
      </c>
      <c r="N21" s="4"/>
      <c r="O21" s="1"/>
      <c r="P21" s="1" t="s">
        <v>1334</v>
      </c>
      <c r="Q21" s="1"/>
      <c r="R21" s="31"/>
      <c r="S21" s="4"/>
      <c r="T21" s="4"/>
      <c r="U21" s="17"/>
      <c r="V21" s="17" t="s">
        <v>443</v>
      </c>
      <c r="W21" s="17" t="s">
        <v>37</v>
      </c>
      <c r="X21" t="s">
        <v>616</v>
      </c>
      <c r="Y21" s="226" t="s">
        <v>1247</v>
      </c>
      <c r="Z21" s="227"/>
    </row>
    <row r="22" spans="1:26" ht="15.75">
      <c r="A22" s="4" t="s">
        <v>1280</v>
      </c>
      <c r="B22" s="102" t="s">
        <v>1335</v>
      </c>
      <c r="C22" s="4" t="s">
        <v>1336</v>
      </c>
      <c r="D22" s="2"/>
      <c r="E22" s="26">
        <v>43885</v>
      </c>
      <c r="F22" s="2">
        <f t="shared" si="0"/>
        <v>43899</v>
      </c>
      <c r="G22" s="41" t="s">
        <v>364</v>
      </c>
      <c r="H22" s="41">
        <v>24645</v>
      </c>
      <c r="I22" s="1" t="s">
        <v>1038</v>
      </c>
      <c r="J22" s="1" t="s">
        <v>851</v>
      </c>
      <c r="K22" s="32" t="s">
        <v>31</v>
      </c>
      <c r="L22" s="1">
        <v>85383</v>
      </c>
      <c r="M22" s="1" t="s">
        <v>32</v>
      </c>
      <c r="N22" s="1" t="s">
        <v>1227</v>
      </c>
      <c r="O22" s="33" t="s">
        <v>1337</v>
      </c>
      <c r="P22" s="38" t="s">
        <v>1338</v>
      </c>
      <c r="Q22" s="52"/>
      <c r="R22" s="52"/>
      <c r="S22" s="9"/>
      <c r="T22" s="20" t="s">
        <v>443</v>
      </c>
      <c r="U22" s="21" t="s">
        <v>1253</v>
      </c>
      <c r="V22" s="17" t="s">
        <v>1254</v>
      </c>
      <c r="W22" s="17" t="s">
        <v>1255</v>
      </c>
    </row>
    <row r="23" spans="1:26">
      <c r="A23" s="93" t="s">
        <v>1256</v>
      </c>
      <c r="B23" s="141" t="s">
        <v>1339</v>
      </c>
      <c r="C23" s="29" t="s">
        <v>1340</v>
      </c>
      <c r="D23" s="4"/>
      <c r="E23" s="26">
        <v>44526</v>
      </c>
      <c r="F23" s="2">
        <f t="shared" si="0"/>
        <v>44540</v>
      </c>
      <c r="G23" s="26"/>
      <c r="H23" s="1" t="s">
        <v>184</v>
      </c>
      <c r="I23" s="1" t="s">
        <v>1341</v>
      </c>
      <c r="J23" s="32" t="s">
        <v>837</v>
      </c>
      <c r="K23" s="32" t="s">
        <v>31</v>
      </c>
      <c r="L23" s="32"/>
      <c r="M23" s="1" t="s">
        <v>32</v>
      </c>
      <c r="N23" s="1" t="s">
        <v>1227</v>
      </c>
      <c r="O23" s="1" t="s">
        <v>1342</v>
      </c>
      <c r="P23" s="32" t="s">
        <v>1343</v>
      </c>
      <c r="Q23" s="153" t="s">
        <v>1344</v>
      </c>
      <c r="R23" s="32">
        <v>87325</v>
      </c>
      <c r="S23" s="28"/>
      <c r="T23" s="4"/>
      <c r="U23" s="17"/>
      <c r="V23" s="17" t="s">
        <v>1264</v>
      </c>
      <c r="W23" s="17" t="s">
        <v>1253</v>
      </c>
      <c r="X23" t="s">
        <v>616</v>
      </c>
      <c r="Y23" s="134" t="s">
        <v>1265</v>
      </c>
    </row>
    <row r="24" spans="1:26">
      <c r="A24" s="93" t="s">
        <v>1256</v>
      </c>
      <c r="B24" s="193" t="s">
        <v>1345</v>
      </c>
      <c r="C24" s="107" t="s">
        <v>1346</v>
      </c>
      <c r="D24" s="105"/>
      <c r="E24" s="26">
        <v>44690</v>
      </c>
      <c r="F24" s="105">
        <f t="shared" si="0"/>
        <v>44704</v>
      </c>
      <c r="G24" s="105"/>
      <c r="H24" s="208">
        <v>5301</v>
      </c>
      <c r="I24" s="10" t="s">
        <v>1347</v>
      </c>
      <c r="J24" s="108" t="s">
        <v>1348</v>
      </c>
      <c r="K24" s="108" t="s">
        <v>31</v>
      </c>
      <c r="L24" s="108">
        <v>85301</v>
      </c>
      <c r="M24" s="111" t="s">
        <v>32</v>
      </c>
      <c r="N24" s="4"/>
      <c r="O24" s="108" t="s">
        <v>1349</v>
      </c>
      <c r="P24" s="108" t="s">
        <v>1350</v>
      </c>
      <c r="Q24" s="216" t="s">
        <v>1351</v>
      </c>
      <c r="R24" s="223">
        <v>87435</v>
      </c>
      <c r="S24" s="225"/>
      <c r="T24" s="8"/>
      <c r="U24" s="9"/>
      <c r="V24" s="17" t="s">
        <v>1264</v>
      </c>
      <c r="W24" s="17" t="s">
        <v>1253</v>
      </c>
      <c r="X24" t="s">
        <v>616</v>
      </c>
      <c r="Y24" s="134" t="s">
        <v>1265</v>
      </c>
    </row>
    <row r="25" spans="1:26">
      <c r="A25" s="4" t="s">
        <v>1280</v>
      </c>
      <c r="B25" s="17" t="s">
        <v>1352</v>
      </c>
      <c r="C25" s="4" t="s">
        <v>1353</v>
      </c>
      <c r="D25" s="2">
        <v>24286</v>
      </c>
      <c r="E25" s="26">
        <v>43691</v>
      </c>
      <c r="F25" s="2">
        <f t="shared" si="0"/>
        <v>43705</v>
      </c>
      <c r="G25" s="1" t="s">
        <v>364</v>
      </c>
      <c r="H25" s="1">
        <v>10331</v>
      </c>
      <c r="I25" s="33" t="s">
        <v>1135</v>
      </c>
      <c r="J25" s="33" t="s">
        <v>873</v>
      </c>
      <c r="K25" s="33" t="s">
        <v>31</v>
      </c>
      <c r="L25" s="33" t="s">
        <v>1273</v>
      </c>
      <c r="M25" s="33" t="s">
        <v>32</v>
      </c>
      <c r="N25" s="1" t="s">
        <v>1227</v>
      </c>
      <c r="O25" s="33" t="s">
        <v>1354</v>
      </c>
      <c r="P25" s="38" t="s">
        <v>1355</v>
      </c>
      <c r="Q25" s="52"/>
      <c r="R25" s="127">
        <v>540914</v>
      </c>
      <c r="S25" s="4"/>
      <c r="T25" s="4"/>
      <c r="U25" s="4"/>
      <c r="V25" s="17"/>
      <c r="W25" s="17"/>
    </row>
    <row r="26" spans="1:26" ht="15.75">
      <c r="A26" s="4" t="s">
        <v>1266</v>
      </c>
      <c r="B26" s="102" t="s">
        <v>1352</v>
      </c>
      <c r="C26" s="4" t="s">
        <v>1356</v>
      </c>
      <c r="D26" s="2"/>
      <c r="E26" s="26">
        <v>43859</v>
      </c>
      <c r="F26" s="2">
        <f t="shared" si="0"/>
        <v>43873</v>
      </c>
      <c r="G26" s="41" t="s">
        <v>364</v>
      </c>
      <c r="H26" s="41">
        <v>5450</v>
      </c>
      <c r="I26" s="33" t="s">
        <v>1357</v>
      </c>
      <c r="J26" s="34" t="s">
        <v>1358</v>
      </c>
      <c r="K26" s="34" t="s">
        <v>31</v>
      </c>
      <c r="L26" s="34" t="s">
        <v>1359</v>
      </c>
      <c r="M26" s="33" t="s">
        <v>32</v>
      </c>
      <c r="N26" s="1" t="s">
        <v>1227</v>
      </c>
      <c r="O26" s="34" t="s">
        <v>1360</v>
      </c>
      <c r="P26" s="39" t="s">
        <v>1361</v>
      </c>
      <c r="Q26" s="36"/>
      <c r="R26" s="36">
        <v>76086</v>
      </c>
      <c r="S26" s="6"/>
      <c r="T26" s="18" t="s">
        <v>443</v>
      </c>
      <c r="U26" s="19" t="s">
        <v>1253</v>
      </c>
      <c r="V26" s="17" t="s">
        <v>1254</v>
      </c>
      <c r="W26" s="17" t="s">
        <v>1255</v>
      </c>
    </row>
    <row r="27" spans="1:26" ht="15.75">
      <c r="A27" s="4" t="s">
        <v>1266</v>
      </c>
      <c r="B27" s="17" t="s">
        <v>1352</v>
      </c>
      <c r="C27" s="29" t="s">
        <v>1362</v>
      </c>
      <c r="D27" s="1"/>
      <c r="E27" s="26">
        <v>44056</v>
      </c>
      <c r="F27" s="2">
        <f t="shared" si="0"/>
        <v>44070</v>
      </c>
      <c r="G27" s="1" t="s">
        <v>364</v>
      </c>
      <c r="H27" s="1">
        <v>37100</v>
      </c>
      <c r="I27" s="32" t="s">
        <v>1363</v>
      </c>
      <c r="J27" s="32" t="s">
        <v>398</v>
      </c>
      <c r="K27" s="32" t="s">
        <v>31</v>
      </c>
      <c r="L27" s="32">
        <v>85262</v>
      </c>
      <c r="M27" s="1" t="s">
        <v>32</v>
      </c>
      <c r="N27" s="1" t="s">
        <v>1227</v>
      </c>
      <c r="O27" s="32" t="s">
        <v>1364</v>
      </c>
      <c r="P27" s="32" t="s">
        <v>1365</v>
      </c>
      <c r="Q27" s="32"/>
      <c r="R27" s="32"/>
      <c r="S27" s="6"/>
      <c r="T27" s="20" t="s">
        <v>1276</v>
      </c>
      <c r="U27" s="21" t="s">
        <v>1277</v>
      </c>
      <c r="V27" s="17" t="s">
        <v>1278</v>
      </c>
      <c r="W27" s="17" t="s">
        <v>1279</v>
      </c>
    </row>
    <row r="28" spans="1:26" ht="15.75">
      <c r="A28" s="4" t="s">
        <v>1256</v>
      </c>
      <c r="B28" s="102" t="s">
        <v>1352</v>
      </c>
      <c r="C28" s="29" t="s">
        <v>1366</v>
      </c>
      <c r="D28" s="1"/>
      <c r="E28" s="26">
        <v>44153</v>
      </c>
      <c r="F28" s="2">
        <f t="shared" si="0"/>
        <v>44167</v>
      </c>
      <c r="G28" s="1" t="s">
        <v>364</v>
      </c>
      <c r="H28" s="1">
        <v>5515</v>
      </c>
      <c r="I28" s="1" t="s">
        <v>1367</v>
      </c>
      <c r="J28" s="1" t="s">
        <v>434</v>
      </c>
      <c r="K28" s="32" t="s">
        <v>31</v>
      </c>
      <c r="L28" s="1">
        <v>85054</v>
      </c>
      <c r="M28" s="1" t="s">
        <v>32</v>
      </c>
      <c r="N28" s="1" t="s">
        <v>1227</v>
      </c>
      <c r="O28" s="1" t="s">
        <v>1368</v>
      </c>
      <c r="P28" s="1" t="s">
        <v>1369</v>
      </c>
      <c r="Q28" s="1"/>
      <c r="R28" s="1">
        <v>75949</v>
      </c>
      <c r="S28" s="9"/>
      <c r="T28" s="18" t="s">
        <v>1276</v>
      </c>
      <c r="U28" s="21" t="s">
        <v>1277</v>
      </c>
      <c r="V28" s="17" t="s">
        <v>1278</v>
      </c>
      <c r="W28" s="17" t="s">
        <v>1279</v>
      </c>
    </row>
    <row r="29" spans="1:26" ht="15.75">
      <c r="A29" s="4" t="s">
        <v>1266</v>
      </c>
      <c r="B29" s="29" t="s">
        <v>1352</v>
      </c>
      <c r="C29" s="29" t="s">
        <v>1370</v>
      </c>
      <c r="D29" s="1"/>
      <c r="E29" s="26">
        <v>44258</v>
      </c>
      <c r="F29" s="2">
        <f t="shared" si="0"/>
        <v>44272</v>
      </c>
      <c r="G29" s="1" t="s">
        <v>364</v>
      </c>
      <c r="H29" s="1">
        <v>999</v>
      </c>
      <c r="I29" s="1" t="s">
        <v>1371</v>
      </c>
      <c r="J29" s="1" t="s">
        <v>415</v>
      </c>
      <c r="K29" s="1" t="s">
        <v>31</v>
      </c>
      <c r="L29" s="1">
        <v>85281</v>
      </c>
      <c r="M29" s="111" t="s">
        <v>32</v>
      </c>
      <c r="N29" s="1" t="s">
        <v>1227</v>
      </c>
      <c r="O29" s="1" t="s">
        <v>1372</v>
      </c>
      <c r="P29" s="1" t="s">
        <v>1373</v>
      </c>
      <c r="Q29" s="1"/>
      <c r="R29" s="1"/>
      <c r="S29" s="27"/>
      <c r="T29" s="170" t="s">
        <v>1276</v>
      </c>
      <c r="U29" s="171" t="s">
        <v>1277</v>
      </c>
      <c r="V29" t="s">
        <v>1278</v>
      </c>
      <c r="W29" t="s">
        <v>1279</v>
      </c>
    </row>
    <row r="30" spans="1:26" ht="15.75">
      <c r="A30" s="4" t="s">
        <v>1266</v>
      </c>
      <c r="B30" s="17" t="s">
        <v>1352</v>
      </c>
      <c r="C30" s="29" t="s">
        <v>1374</v>
      </c>
      <c r="D30" s="1"/>
      <c r="E30" s="26">
        <v>44291</v>
      </c>
      <c r="F30" s="2">
        <f t="shared" si="0"/>
        <v>44305</v>
      </c>
      <c r="G30" s="1" t="s">
        <v>364</v>
      </c>
      <c r="H30" s="1" t="s">
        <v>379</v>
      </c>
      <c r="I30" s="1" t="s">
        <v>1375</v>
      </c>
      <c r="J30" s="1" t="s">
        <v>129</v>
      </c>
      <c r="K30" s="32" t="s">
        <v>31</v>
      </c>
      <c r="L30" s="1"/>
      <c r="M30" s="1" t="s">
        <v>32</v>
      </c>
      <c r="N30" s="1" t="s">
        <v>1227</v>
      </c>
      <c r="O30" s="1" t="s">
        <v>1376</v>
      </c>
      <c r="P30" s="1" t="s">
        <v>1377</v>
      </c>
      <c r="Q30" s="1"/>
      <c r="R30" s="1"/>
      <c r="S30" s="9">
        <v>10</v>
      </c>
      <c r="T30" s="18" t="s">
        <v>443</v>
      </c>
      <c r="U30" s="19" t="s">
        <v>1253</v>
      </c>
      <c r="V30" s="17" t="s">
        <v>1254</v>
      </c>
      <c r="W30" s="17" t="s">
        <v>1255</v>
      </c>
    </row>
    <row r="31" spans="1:26" ht="15.75">
      <c r="A31" s="4" t="s">
        <v>1266</v>
      </c>
      <c r="B31" s="102" t="s">
        <v>1352</v>
      </c>
      <c r="C31" s="29" t="s">
        <v>1378</v>
      </c>
      <c r="D31" s="1"/>
      <c r="E31" s="26">
        <v>44291</v>
      </c>
      <c r="F31" s="2">
        <f t="shared" si="0"/>
        <v>44305</v>
      </c>
      <c r="G31" s="1" t="s">
        <v>364</v>
      </c>
      <c r="H31" s="1">
        <v>31500</v>
      </c>
      <c r="I31" s="1" t="s">
        <v>1379</v>
      </c>
      <c r="J31" s="1" t="s">
        <v>1380</v>
      </c>
      <c r="K31" s="32" t="s">
        <v>31</v>
      </c>
      <c r="L31" s="1">
        <v>85143</v>
      </c>
      <c r="M31" s="1" t="s">
        <v>32</v>
      </c>
      <c r="N31" s="38" t="s">
        <v>1227</v>
      </c>
      <c r="O31" s="1" t="s">
        <v>1381</v>
      </c>
      <c r="P31" s="1" t="s">
        <v>1382</v>
      </c>
      <c r="Q31" s="1"/>
      <c r="R31" s="1"/>
      <c r="S31" s="9"/>
      <c r="T31" s="18" t="s">
        <v>443</v>
      </c>
      <c r="U31" s="19" t="s">
        <v>1253</v>
      </c>
      <c r="V31" s="17" t="s">
        <v>1254</v>
      </c>
      <c r="W31" s="17" t="s">
        <v>1255</v>
      </c>
    </row>
    <row r="32" spans="1:26" ht="15.75">
      <c r="A32" s="4" t="s">
        <v>1266</v>
      </c>
      <c r="B32" s="17" t="s">
        <v>1383</v>
      </c>
      <c r="C32" s="4" t="s">
        <v>1384</v>
      </c>
      <c r="D32" s="2">
        <v>24286</v>
      </c>
      <c r="E32" s="26">
        <v>43670</v>
      </c>
      <c r="F32" s="2">
        <f t="shared" si="0"/>
        <v>43684</v>
      </c>
      <c r="G32" s="1" t="s">
        <v>364</v>
      </c>
      <c r="H32" s="1">
        <v>5201</v>
      </c>
      <c r="I32" s="1" t="s">
        <v>1385</v>
      </c>
      <c r="J32" s="33" t="s">
        <v>398</v>
      </c>
      <c r="K32" s="34" t="s">
        <v>31</v>
      </c>
      <c r="L32" s="33" t="s">
        <v>1386</v>
      </c>
      <c r="M32" s="146" t="s">
        <v>32</v>
      </c>
      <c r="N32" s="38" t="s">
        <v>1227</v>
      </c>
      <c r="O32" s="33" t="s">
        <v>1387</v>
      </c>
      <c r="P32" s="11" t="s">
        <v>1388</v>
      </c>
      <c r="Q32" s="52"/>
      <c r="R32" s="52"/>
      <c r="S32" s="9"/>
      <c r="T32" s="20" t="s">
        <v>443</v>
      </c>
      <c r="U32" s="21" t="s">
        <v>1253</v>
      </c>
      <c r="V32" s="17" t="s">
        <v>1254</v>
      </c>
      <c r="W32" s="17" t="s">
        <v>1255</v>
      </c>
    </row>
    <row r="33" spans="1:26" ht="15.75">
      <c r="A33" s="4" t="s">
        <v>1280</v>
      </c>
      <c r="B33" s="17" t="s">
        <v>1383</v>
      </c>
      <c r="C33" s="4" t="s">
        <v>1389</v>
      </c>
      <c r="D33" s="2">
        <v>24286</v>
      </c>
      <c r="E33" s="26">
        <v>43698</v>
      </c>
      <c r="F33" s="106">
        <f t="shared" si="0"/>
        <v>43712</v>
      </c>
      <c r="G33" s="1" t="s">
        <v>364</v>
      </c>
      <c r="H33" s="1">
        <v>6120</v>
      </c>
      <c r="I33" s="1" t="s">
        <v>457</v>
      </c>
      <c r="J33" s="33" t="s">
        <v>910</v>
      </c>
      <c r="K33" s="33" t="s">
        <v>31</v>
      </c>
      <c r="L33" s="33" t="s">
        <v>1390</v>
      </c>
      <c r="M33" s="34" t="s">
        <v>32</v>
      </c>
      <c r="N33" s="1" t="s">
        <v>1227</v>
      </c>
      <c r="O33" s="149" t="s">
        <v>1391</v>
      </c>
      <c r="P33" s="11" t="s">
        <v>1392</v>
      </c>
      <c r="Q33" s="11"/>
      <c r="R33" s="11">
        <v>73820</v>
      </c>
      <c r="S33" s="9"/>
      <c r="T33" s="170" t="s">
        <v>443</v>
      </c>
      <c r="U33" s="21" t="s">
        <v>1253</v>
      </c>
      <c r="V33" t="s">
        <v>1254</v>
      </c>
      <c r="W33" s="17" t="s">
        <v>1255</v>
      </c>
    </row>
    <row r="34" spans="1:26" ht="15" customHeight="1">
      <c r="A34" s="121" t="s">
        <v>1393</v>
      </c>
      <c r="B34" s="17" t="s">
        <v>1383</v>
      </c>
      <c r="C34" s="29" t="s">
        <v>1394</v>
      </c>
      <c r="D34" s="2"/>
      <c r="E34" s="26">
        <v>44462</v>
      </c>
      <c r="F34" s="2">
        <f t="shared" si="0"/>
        <v>44476</v>
      </c>
      <c r="G34" s="1" t="s">
        <v>364</v>
      </c>
      <c r="H34" s="1">
        <v>3305</v>
      </c>
      <c r="I34" s="1" t="s">
        <v>1395</v>
      </c>
      <c r="J34" s="1" t="s">
        <v>398</v>
      </c>
      <c r="K34" s="32" t="s">
        <v>31</v>
      </c>
      <c r="L34" s="1"/>
      <c r="M34" s="1" t="s">
        <v>32</v>
      </c>
      <c r="N34" s="1" t="s">
        <v>1227</v>
      </c>
      <c r="O34" s="1" t="s">
        <v>1396</v>
      </c>
      <c r="P34" s="1" t="s">
        <v>1397</v>
      </c>
      <c r="Q34" s="1"/>
      <c r="R34" s="1"/>
      <c r="S34" s="9"/>
      <c r="T34" s="4"/>
      <c r="U34" s="17"/>
      <c r="V34" s="17"/>
      <c r="W34" s="17"/>
    </row>
    <row r="35" spans="1:26">
      <c r="A35" s="92" t="s">
        <v>25</v>
      </c>
      <c r="B35" s="142" t="s">
        <v>1383</v>
      </c>
      <c r="C35" s="56" t="s">
        <v>1398</v>
      </c>
      <c r="D35" s="60"/>
      <c r="E35" s="26">
        <v>44568</v>
      </c>
      <c r="F35" s="60">
        <f t="shared" si="0"/>
        <v>44582</v>
      </c>
      <c r="G35" s="60"/>
      <c r="H35" s="54" t="s">
        <v>1399</v>
      </c>
      <c r="I35" s="55" t="s">
        <v>1400</v>
      </c>
      <c r="J35" s="55" t="s">
        <v>415</v>
      </c>
      <c r="K35" s="147" t="s">
        <v>31</v>
      </c>
      <c r="L35" s="55" t="s">
        <v>537</v>
      </c>
      <c r="M35" s="55" t="s">
        <v>32</v>
      </c>
      <c r="N35" s="55" t="s">
        <v>1227</v>
      </c>
      <c r="O35" s="55" t="s">
        <v>1401</v>
      </c>
      <c r="P35" s="55" t="s">
        <v>1402</v>
      </c>
      <c r="Q35" s="87" t="s">
        <v>1403</v>
      </c>
      <c r="R35" s="100" t="s">
        <v>314</v>
      </c>
      <c r="S35" s="4"/>
      <c r="T35" s="4"/>
      <c r="U35" s="17"/>
      <c r="V35" s="17" t="s">
        <v>36</v>
      </c>
      <c r="W35" s="17" t="s">
        <v>1277</v>
      </c>
      <c r="X35" s="25" t="s">
        <v>59</v>
      </c>
      <c r="Y35" s="134" t="s">
        <v>1330</v>
      </c>
    </row>
    <row r="36" spans="1:26" ht="15.75">
      <c r="A36" s="4" t="s">
        <v>1266</v>
      </c>
      <c r="B36" s="102" t="s">
        <v>1404</v>
      </c>
      <c r="C36" s="29" t="s">
        <v>1405</v>
      </c>
      <c r="D36" s="1"/>
      <c r="E36" s="26">
        <v>43929</v>
      </c>
      <c r="F36" s="2">
        <f t="shared" si="0"/>
        <v>43943</v>
      </c>
      <c r="G36" s="1" t="s">
        <v>364</v>
      </c>
      <c r="H36" s="1"/>
      <c r="I36" s="1" t="s">
        <v>1406</v>
      </c>
      <c r="J36" s="1" t="s">
        <v>398</v>
      </c>
      <c r="K36" s="32" t="s">
        <v>31</v>
      </c>
      <c r="L36" s="1"/>
      <c r="M36" s="111" t="s">
        <v>32</v>
      </c>
      <c r="N36" s="1" t="s">
        <v>1227</v>
      </c>
      <c r="O36" s="1"/>
      <c r="P36" s="1" t="s">
        <v>1388</v>
      </c>
      <c r="Q36" s="1"/>
      <c r="R36" s="1"/>
      <c r="S36" s="9"/>
      <c r="T36" s="18" t="s">
        <v>1276</v>
      </c>
      <c r="U36" s="19" t="s">
        <v>1277</v>
      </c>
      <c r="V36" s="17" t="s">
        <v>1278</v>
      </c>
      <c r="W36" s="17" t="s">
        <v>1279</v>
      </c>
    </row>
    <row r="37" spans="1:26">
      <c r="A37" s="164" t="s">
        <v>1240</v>
      </c>
      <c r="B37" s="102" t="s">
        <v>412</v>
      </c>
      <c r="C37" s="4" t="s">
        <v>1407</v>
      </c>
      <c r="D37" s="2"/>
      <c r="E37" s="2">
        <v>44846</v>
      </c>
      <c r="F37" s="2">
        <f t="shared" si="0"/>
        <v>44860</v>
      </c>
      <c r="G37" s="26"/>
      <c r="H37" s="1">
        <v>5700</v>
      </c>
      <c r="I37" s="65" t="s">
        <v>1408</v>
      </c>
      <c r="J37" s="1" t="s">
        <v>434</v>
      </c>
      <c r="K37" s="32" t="s">
        <v>31</v>
      </c>
      <c r="L37" s="4"/>
      <c r="M37" s="1" t="s">
        <v>1409</v>
      </c>
      <c r="N37" s="4" t="s">
        <v>1410</v>
      </c>
      <c r="O37" s="1" t="s">
        <v>1410</v>
      </c>
      <c r="P37" s="73" t="s">
        <v>1411</v>
      </c>
      <c r="Q37" s="173"/>
      <c r="R37" s="31">
        <v>91569</v>
      </c>
      <c r="S37" s="4"/>
      <c r="T37" s="4"/>
      <c r="U37" s="4"/>
      <c r="V37" s="17" t="s">
        <v>443</v>
      </c>
      <c r="W37" s="17" t="s">
        <v>37</v>
      </c>
      <c r="X37" t="s">
        <v>616</v>
      </c>
      <c r="Y37" s="226" t="s">
        <v>1247</v>
      </c>
      <c r="Z37" s="227"/>
    </row>
    <row r="38" spans="1:26">
      <c r="A38" s="94" t="s">
        <v>1234</v>
      </c>
      <c r="B38" s="102" t="s">
        <v>1412</v>
      </c>
      <c r="C38" s="4" t="s">
        <v>1413</v>
      </c>
      <c r="D38" s="130"/>
      <c r="E38" s="2"/>
      <c r="F38" s="2"/>
      <c r="G38" s="2"/>
      <c r="H38" s="41">
        <v>64500</v>
      </c>
      <c r="I38" s="15" t="s">
        <v>1414</v>
      </c>
      <c r="J38" s="1" t="s">
        <v>916</v>
      </c>
      <c r="K38" s="32" t="s">
        <v>31</v>
      </c>
      <c r="L38" s="1">
        <v>85739</v>
      </c>
      <c r="M38" s="111" t="s">
        <v>32</v>
      </c>
      <c r="N38" s="4"/>
      <c r="O38" s="1" t="s">
        <v>1415</v>
      </c>
      <c r="P38" s="1" t="s">
        <v>1416</v>
      </c>
      <c r="Q38" s="162" t="s">
        <v>1417</v>
      </c>
      <c r="R38" s="31">
        <v>92929</v>
      </c>
      <c r="S38" s="4"/>
      <c r="T38" s="4"/>
      <c r="U38" s="4"/>
      <c r="V38" s="17"/>
      <c r="W38" s="17" t="s">
        <v>1418</v>
      </c>
      <c r="Y38" s="134"/>
    </row>
    <row r="39" spans="1:26" ht="18" customHeight="1">
      <c r="A39" s="4" t="s">
        <v>1266</v>
      </c>
      <c r="B39" s="17" t="s">
        <v>66</v>
      </c>
      <c r="C39" s="4" t="s">
        <v>1419</v>
      </c>
      <c r="D39" s="2"/>
      <c r="E39" s="26">
        <v>43760</v>
      </c>
      <c r="F39" s="2">
        <f t="shared" ref="F39:F52" si="1">E39+14</f>
        <v>43774</v>
      </c>
      <c r="G39" s="1" t="s">
        <v>364</v>
      </c>
      <c r="H39" s="1">
        <v>2492</v>
      </c>
      <c r="I39" s="33" t="s">
        <v>1420</v>
      </c>
      <c r="J39" s="33" t="s">
        <v>49</v>
      </c>
      <c r="K39" s="34" t="s">
        <v>31</v>
      </c>
      <c r="L39" s="33"/>
      <c r="M39" s="1" t="s">
        <v>32</v>
      </c>
      <c r="N39" s="1" t="s">
        <v>1227</v>
      </c>
      <c r="O39" s="33" t="s">
        <v>1421</v>
      </c>
      <c r="P39" s="38" t="s">
        <v>1422</v>
      </c>
      <c r="Q39" s="37"/>
      <c r="R39" s="37">
        <v>74204</v>
      </c>
      <c r="S39" s="9"/>
      <c r="T39" s="20" t="s">
        <v>1276</v>
      </c>
      <c r="U39" s="21" t="s">
        <v>1277</v>
      </c>
      <c r="V39" s="17" t="s">
        <v>1278</v>
      </c>
      <c r="W39" s="17" t="s">
        <v>1279</v>
      </c>
    </row>
    <row r="40" spans="1:26" ht="15.75">
      <c r="A40" s="4" t="s">
        <v>1280</v>
      </c>
      <c r="B40" s="17" t="s">
        <v>66</v>
      </c>
      <c r="C40" s="4" t="s">
        <v>1423</v>
      </c>
      <c r="D40" s="2"/>
      <c r="E40" s="26">
        <v>43776</v>
      </c>
      <c r="F40" s="2">
        <f t="shared" si="1"/>
        <v>43790</v>
      </c>
      <c r="G40" s="1" t="s">
        <v>364</v>
      </c>
      <c r="H40" s="1">
        <v>466</v>
      </c>
      <c r="I40" s="33" t="s">
        <v>1424</v>
      </c>
      <c r="J40" s="33" t="s">
        <v>1425</v>
      </c>
      <c r="K40" s="34" t="s">
        <v>31</v>
      </c>
      <c r="L40" s="33"/>
      <c r="M40" s="1" t="s">
        <v>32</v>
      </c>
      <c r="N40" s="1" t="s">
        <v>1227</v>
      </c>
      <c r="O40" s="33"/>
      <c r="P40" s="38" t="s">
        <v>1426</v>
      </c>
      <c r="Q40" s="52"/>
      <c r="R40" s="52"/>
      <c r="S40" s="9">
        <v>45</v>
      </c>
      <c r="T40" s="18" t="s">
        <v>443</v>
      </c>
      <c r="U40" s="19" t="s">
        <v>1253</v>
      </c>
      <c r="V40" s="17" t="s">
        <v>1254</v>
      </c>
      <c r="W40" s="17" t="s">
        <v>1255</v>
      </c>
    </row>
    <row r="41" spans="1:26">
      <c r="A41" s="93" t="s">
        <v>1256</v>
      </c>
      <c r="B41" s="142" t="s">
        <v>1427</v>
      </c>
      <c r="C41" s="56" t="s">
        <v>1428</v>
      </c>
      <c r="D41" s="60"/>
      <c r="E41" s="26">
        <v>44551</v>
      </c>
      <c r="F41" s="60">
        <f t="shared" si="1"/>
        <v>44565</v>
      </c>
      <c r="G41" s="60"/>
      <c r="H41" s="54" t="s">
        <v>1429</v>
      </c>
      <c r="I41" s="55" t="s">
        <v>1430</v>
      </c>
      <c r="J41" s="55" t="s">
        <v>844</v>
      </c>
      <c r="K41" s="147" t="s">
        <v>31</v>
      </c>
      <c r="L41" s="55" t="s">
        <v>1431</v>
      </c>
      <c r="M41" s="1" t="s">
        <v>32</v>
      </c>
      <c r="N41" s="1" t="s">
        <v>1227</v>
      </c>
      <c r="O41" s="55" t="s">
        <v>1432</v>
      </c>
      <c r="P41" s="55" t="s">
        <v>1433</v>
      </c>
      <c r="Q41" s="87" t="s">
        <v>1434</v>
      </c>
      <c r="R41" s="57">
        <v>85477</v>
      </c>
      <c r="S41" s="4"/>
      <c r="T41" s="4"/>
      <c r="U41" s="4"/>
      <c r="V41" s="17" t="s">
        <v>1264</v>
      </c>
      <c r="W41" s="17" t="s">
        <v>1253</v>
      </c>
      <c r="X41" t="s">
        <v>616</v>
      </c>
      <c r="Y41" s="134" t="s">
        <v>1265</v>
      </c>
    </row>
    <row r="42" spans="1:26" ht="15.75">
      <c r="A42" s="4" t="s">
        <v>1435</v>
      </c>
      <c r="B42" s="102" t="s">
        <v>1436</v>
      </c>
      <c r="C42" s="29" t="s">
        <v>1437</v>
      </c>
      <c r="D42" s="1"/>
      <c r="E42" s="26">
        <v>44116</v>
      </c>
      <c r="F42" s="2">
        <f t="shared" si="1"/>
        <v>44130</v>
      </c>
      <c r="G42" s="1" t="s">
        <v>364</v>
      </c>
      <c r="H42" s="1">
        <v>3014</v>
      </c>
      <c r="I42" s="1" t="s">
        <v>1438</v>
      </c>
      <c r="J42" s="1" t="s">
        <v>49</v>
      </c>
      <c r="K42" s="32" t="s">
        <v>31</v>
      </c>
      <c r="L42" s="1"/>
      <c r="M42" s="46" t="s">
        <v>32</v>
      </c>
      <c r="N42" s="1" t="s">
        <v>1227</v>
      </c>
      <c r="O42" s="1" t="s">
        <v>1439</v>
      </c>
      <c r="P42" s="1" t="s">
        <v>1440</v>
      </c>
      <c r="Q42" s="1"/>
      <c r="R42" s="1"/>
      <c r="S42" s="9"/>
      <c r="T42" s="18" t="s">
        <v>443</v>
      </c>
      <c r="U42" s="19" t="s">
        <v>1253</v>
      </c>
      <c r="V42" s="17" t="s">
        <v>1254</v>
      </c>
      <c r="W42" s="17" t="s">
        <v>1255</v>
      </c>
    </row>
    <row r="43" spans="1:26" ht="15.75">
      <c r="A43" s="4" t="s">
        <v>1280</v>
      </c>
      <c r="B43" s="29" t="s">
        <v>1441</v>
      </c>
      <c r="C43" s="29" t="s">
        <v>1442</v>
      </c>
      <c r="D43" s="1"/>
      <c r="E43" s="26">
        <v>43963</v>
      </c>
      <c r="F43" s="2">
        <f t="shared" si="1"/>
        <v>43977</v>
      </c>
      <c r="G43" s="1" t="s">
        <v>364</v>
      </c>
      <c r="H43" s="1">
        <v>3535</v>
      </c>
      <c r="I43" s="1" t="s">
        <v>1443</v>
      </c>
      <c r="J43" s="1" t="s">
        <v>434</v>
      </c>
      <c r="K43" s="1" t="s">
        <v>31</v>
      </c>
      <c r="L43" s="1">
        <v>85008</v>
      </c>
      <c r="M43" s="111" t="s">
        <v>32</v>
      </c>
      <c r="N43" s="1" t="s">
        <v>1227</v>
      </c>
      <c r="O43" s="1" t="s">
        <v>867</v>
      </c>
      <c r="P43" s="1" t="s">
        <v>1444</v>
      </c>
      <c r="Q43" s="1"/>
      <c r="R43" s="1"/>
      <c r="S43" s="27"/>
      <c r="T43" s="170" t="s">
        <v>1276</v>
      </c>
      <c r="U43" s="171" t="s">
        <v>1277</v>
      </c>
      <c r="V43" t="s">
        <v>1278</v>
      </c>
      <c r="W43" t="s">
        <v>1279</v>
      </c>
    </row>
    <row r="44" spans="1:26" ht="15.75">
      <c r="A44" t="s">
        <v>1266</v>
      </c>
      <c r="B44" s="192" t="s">
        <v>864</v>
      </c>
      <c r="C44" s="192" t="s">
        <v>1445</v>
      </c>
      <c r="E44" s="200">
        <v>43962</v>
      </c>
      <c r="F44" s="197">
        <f t="shared" si="1"/>
        <v>43976</v>
      </c>
      <c r="G44" s="25" t="s">
        <v>364</v>
      </c>
      <c r="H44" s="25">
        <v>18700</v>
      </c>
      <c r="I44" s="25" t="s">
        <v>1446</v>
      </c>
      <c r="J44" s="25" t="s">
        <v>45</v>
      </c>
      <c r="K44" s="25" t="s">
        <v>31</v>
      </c>
      <c r="L44" s="25">
        <v>85138</v>
      </c>
      <c r="M44" s="1" t="s">
        <v>32</v>
      </c>
      <c r="N44" s="1" t="s">
        <v>1227</v>
      </c>
      <c r="S44" s="27"/>
      <c r="T44" s="170" t="s">
        <v>1276</v>
      </c>
      <c r="U44" s="171" t="s">
        <v>1277</v>
      </c>
      <c r="V44" t="s">
        <v>1278</v>
      </c>
      <c r="W44" t="s">
        <v>1279</v>
      </c>
    </row>
    <row r="45" spans="1:26" ht="15.75">
      <c r="A45" s="143" t="s">
        <v>1256</v>
      </c>
      <c r="B45" s="194" t="s">
        <v>864</v>
      </c>
      <c r="C45" s="196" t="s">
        <v>1447</v>
      </c>
      <c r="D45" s="199"/>
      <c r="E45" s="200">
        <v>44137</v>
      </c>
      <c r="F45" s="2">
        <f t="shared" si="1"/>
        <v>44151</v>
      </c>
      <c r="G45" s="207" t="s">
        <v>364</v>
      </c>
      <c r="H45" s="207">
        <v>4275</v>
      </c>
      <c r="I45" s="209" t="s">
        <v>457</v>
      </c>
      <c r="J45" s="210" t="s">
        <v>1448</v>
      </c>
      <c r="K45" s="199" t="s">
        <v>31</v>
      </c>
      <c r="L45" s="210" t="s">
        <v>1390</v>
      </c>
      <c r="M45" s="1" t="s">
        <v>32</v>
      </c>
      <c r="N45" s="38" t="s">
        <v>1227</v>
      </c>
      <c r="O45" s="210" t="s">
        <v>1449</v>
      </c>
      <c r="P45" s="199" t="s">
        <v>1450</v>
      </c>
      <c r="S45" s="27"/>
      <c r="T45" s="170" t="s">
        <v>1276</v>
      </c>
      <c r="U45" s="171" t="s">
        <v>1277</v>
      </c>
      <c r="V45" t="s">
        <v>1278</v>
      </c>
      <c r="W45" t="s">
        <v>1279</v>
      </c>
    </row>
    <row r="46" spans="1:26" ht="15.75">
      <c r="A46" s="4" t="s">
        <v>1393</v>
      </c>
      <c r="B46" s="69" t="s">
        <v>864</v>
      </c>
      <c r="C46" s="5" t="s">
        <v>1451</v>
      </c>
      <c r="D46" s="33"/>
      <c r="E46" s="26">
        <v>44433</v>
      </c>
      <c r="F46" s="2">
        <f t="shared" si="1"/>
        <v>44447</v>
      </c>
      <c r="G46" s="49" t="s">
        <v>364</v>
      </c>
      <c r="H46" s="49">
        <v>4469</v>
      </c>
      <c r="I46" s="33" t="s">
        <v>1452</v>
      </c>
      <c r="J46" s="33" t="s">
        <v>49</v>
      </c>
      <c r="K46" s="33" t="s">
        <v>31</v>
      </c>
      <c r="L46" s="11">
        <v>85234</v>
      </c>
      <c r="M46" s="33" t="s">
        <v>32</v>
      </c>
      <c r="N46" s="38" t="s">
        <v>1227</v>
      </c>
      <c r="O46" s="33" t="s">
        <v>867</v>
      </c>
      <c r="P46" s="33" t="s">
        <v>1453</v>
      </c>
      <c r="Q46" s="37" t="s">
        <v>364</v>
      </c>
      <c r="R46" s="37" t="s">
        <v>364</v>
      </c>
      <c r="S46" s="27"/>
      <c r="T46" s="170" t="s">
        <v>443</v>
      </c>
      <c r="U46" s="171" t="s">
        <v>1253</v>
      </c>
      <c r="V46" t="s">
        <v>1254</v>
      </c>
      <c r="W46" t="s">
        <v>1255</v>
      </c>
    </row>
    <row r="47" spans="1:26" ht="15.75">
      <c r="A47" s="4" t="s">
        <v>1280</v>
      </c>
      <c r="B47" s="102" t="s">
        <v>1454</v>
      </c>
      <c r="C47" s="29" t="s">
        <v>1455</v>
      </c>
      <c r="D47" s="1"/>
      <c r="E47" s="26">
        <v>43983</v>
      </c>
      <c r="F47" s="2">
        <f t="shared" si="1"/>
        <v>43997</v>
      </c>
      <c r="G47" s="1" t="s">
        <v>364</v>
      </c>
      <c r="H47" s="1">
        <v>755</v>
      </c>
      <c r="I47" s="1" t="s">
        <v>1456</v>
      </c>
      <c r="J47" s="1" t="s">
        <v>434</v>
      </c>
      <c r="K47" s="32" t="s">
        <v>31</v>
      </c>
      <c r="L47" s="1" t="s">
        <v>1321</v>
      </c>
      <c r="M47" s="1" t="s">
        <v>32</v>
      </c>
      <c r="N47" s="1" t="s">
        <v>1227</v>
      </c>
      <c r="O47" s="1" t="s">
        <v>1457</v>
      </c>
      <c r="P47" s="1" t="s">
        <v>1458</v>
      </c>
      <c r="Q47" s="1"/>
      <c r="R47" s="1">
        <v>74483</v>
      </c>
      <c r="S47" s="9"/>
      <c r="T47" s="18" t="s">
        <v>443</v>
      </c>
      <c r="U47" s="21" t="s">
        <v>1253</v>
      </c>
      <c r="V47" s="17" t="s">
        <v>1254</v>
      </c>
      <c r="W47" s="17" t="s">
        <v>1255</v>
      </c>
    </row>
    <row r="48" spans="1:26" ht="15.75">
      <c r="A48" s="4" t="s">
        <v>1280</v>
      </c>
      <c r="B48" s="102" t="s">
        <v>1454</v>
      </c>
      <c r="C48" s="29" t="s">
        <v>1459</v>
      </c>
      <c r="D48" s="1"/>
      <c r="E48" s="26">
        <v>43980</v>
      </c>
      <c r="F48" s="2">
        <f t="shared" si="1"/>
        <v>43994</v>
      </c>
      <c r="G48" s="1" t="s">
        <v>364</v>
      </c>
      <c r="H48" s="1">
        <v>12740</v>
      </c>
      <c r="I48" s="1" t="s">
        <v>1460</v>
      </c>
      <c r="J48" s="1" t="s">
        <v>851</v>
      </c>
      <c r="K48" s="32" t="s">
        <v>31</v>
      </c>
      <c r="L48" s="1" t="s">
        <v>1461</v>
      </c>
      <c r="M48" s="123" t="s">
        <v>32</v>
      </c>
      <c r="N48" s="1" t="s">
        <v>1227</v>
      </c>
      <c r="O48" s="1" t="s">
        <v>1457</v>
      </c>
      <c r="P48" s="1" t="s">
        <v>1458</v>
      </c>
      <c r="Q48" s="1"/>
      <c r="R48" s="1">
        <v>75031</v>
      </c>
      <c r="S48" s="4"/>
      <c r="T48" s="18" t="s">
        <v>443</v>
      </c>
      <c r="U48" s="21" t="s">
        <v>1253</v>
      </c>
      <c r="V48" t="s">
        <v>1254</v>
      </c>
      <c r="W48" s="17" t="s">
        <v>1255</v>
      </c>
    </row>
    <row r="49" spans="1:26">
      <c r="A49" s="92" t="s">
        <v>25</v>
      </c>
      <c r="B49" s="17" t="s">
        <v>1454</v>
      </c>
      <c r="C49" s="65" t="s">
        <v>1462</v>
      </c>
      <c r="D49" s="2"/>
      <c r="E49" s="137">
        <v>44579</v>
      </c>
      <c r="F49" s="2">
        <f t="shared" si="1"/>
        <v>44593</v>
      </c>
      <c r="G49" s="2"/>
      <c r="H49" s="1" t="s">
        <v>184</v>
      </c>
      <c r="I49" s="1" t="s">
        <v>1463</v>
      </c>
      <c r="J49" s="1" t="s">
        <v>63</v>
      </c>
      <c r="K49" s="1" t="s">
        <v>31</v>
      </c>
      <c r="L49" s="1"/>
      <c r="M49" s="1" t="s">
        <v>32</v>
      </c>
      <c r="N49" s="4"/>
      <c r="O49" s="1" t="s">
        <v>1464</v>
      </c>
      <c r="P49" s="1" t="s">
        <v>1465</v>
      </c>
      <c r="Q49" s="87" t="s">
        <v>1466</v>
      </c>
      <c r="R49" s="1">
        <v>86893</v>
      </c>
      <c r="S49" s="4"/>
      <c r="T49" s="4"/>
      <c r="U49" s="17"/>
      <c r="V49" s="17" t="s">
        <v>36</v>
      </c>
      <c r="W49" s="17" t="s">
        <v>1277</v>
      </c>
      <c r="X49" s="25" t="s">
        <v>59</v>
      </c>
      <c r="Y49" s="134" t="s">
        <v>1330</v>
      </c>
    </row>
    <row r="50" spans="1:26">
      <c r="A50" s="92" t="s">
        <v>25</v>
      </c>
      <c r="B50" s="4" t="s">
        <v>1467</v>
      </c>
      <c r="C50" s="65" t="s">
        <v>1468</v>
      </c>
      <c r="D50" s="2"/>
      <c r="E50" s="137">
        <v>44523</v>
      </c>
      <c r="F50" s="2">
        <f t="shared" si="1"/>
        <v>44537</v>
      </c>
      <c r="G50" s="2"/>
      <c r="H50" s="1" t="s">
        <v>528</v>
      </c>
      <c r="I50" s="1" t="s">
        <v>1469</v>
      </c>
      <c r="J50" s="1" t="s">
        <v>63</v>
      </c>
      <c r="K50" s="1" t="s">
        <v>31</v>
      </c>
      <c r="L50" s="1"/>
      <c r="M50" s="1" t="s">
        <v>32</v>
      </c>
      <c r="N50" s="1" t="s">
        <v>1227</v>
      </c>
      <c r="O50" s="1" t="s">
        <v>1470</v>
      </c>
      <c r="P50" s="1" t="s">
        <v>1471</v>
      </c>
      <c r="Q50" s="87" t="s">
        <v>1472</v>
      </c>
      <c r="R50" s="1">
        <v>86179</v>
      </c>
      <c r="S50" s="25"/>
      <c r="T50" s="25"/>
      <c r="U50" s="25"/>
      <c r="V50" t="s">
        <v>36</v>
      </c>
      <c r="W50" t="s">
        <v>1277</v>
      </c>
      <c r="X50" s="25" t="s">
        <v>59</v>
      </c>
      <c r="Y50" s="134" t="s">
        <v>1330</v>
      </c>
    </row>
    <row r="51" spans="1:26" ht="15.75">
      <c r="A51" s="4" t="s">
        <v>1280</v>
      </c>
      <c r="B51" s="102" t="s">
        <v>1473</v>
      </c>
      <c r="C51" s="29" t="s">
        <v>1474</v>
      </c>
      <c r="D51" s="1"/>
      <c r="E51" s="26">
        <v>43824</v>
      </c>
      <c r="F51" s="2">
        <f t="shared" si="1"/>
        <v>43838</v>
      </c>
      <c r="G51" s="41" t="s">
        <v>364</v>
      </c>
      <c r="H51" s="41">
        <v>2635</v>
      </c>
      <c r="I51" s="1" t="s">
        <v>1475</v>
      </c>
      <c r="J51" s="1" t="s">
        <v>434</v>
      </c>
      <c r="K51" s="1" t="s">
        <v>31</v>
      </c>
      <c r="L51" s="1">
        <v>85034</v>
      </c>
      <c r="M51" s="146" t="s">
        <v>32</v>
      </c>
      <c r="N51" s="1" t="s">
        <v>1227</v>
      </c>
      <c r="O51" s="32"/>
      <c r="P51" s="32"/>
      <c r="Q51" s="32"/>
      <c r="R51" s="32"/>
      <c r="S51" s="6"/>
      <c r="T51" s="18" t="s">
        <v>443</v>
      </c>
      <c r="U51" s="21" t="s">
        <v>1253</v>
      </c>
      <c r="V51" s="17" t="s">
        <v>1254</v>
      </c>
      <c r="W51" s="17" t="s">
        <v>1255</v>
      </c>
    </row>
    <row r="52" spans="1:26" ht="15.75">
      <c r="A52" s="4" t="s">
        <v>1266</v>
      </c>
      <c r="B52" s="102" t="s">
        <v>1473</v>
      </c>
      <c r="C52" s="4" t="s">
        <v>1476</v>
      </c>
      <c r="D52" s="1"/>
      <c r="E52" s="26">
        <v>43886</v>
      </c>
      <c r="F52" s="2">
        <f t="shared" si="1"/>
        <v>43900</v>
      </c>
      <c r="G52" s="41" t="s">
        <v>364</v>
      </c>
      <c r="H52" s="41">
        <v>275</v>
      </c>
      <c r="I52" s="33" t="s">
        <v>1477</v>
      </c>
      <c r="J52" s="33" t="s">
        <v>69</v>
      </c>
      <c r="K52" s="33" t="s">
        <v>31</v>
      </c>
      <c r="L52" s="33" t="s">
        <v>1478</v>
      </c>
      <c r="M52" s="32" t="s">
        <v>32</v>
      </c>
      <c r="N52" s="1" t="s">
        <v>1227</v>
      </c>
      <c r="O52" s="33" t="s">
        <v>1479</v>
      </c>
      <c r="P52" s="38" t="s">
        <v>1480</v>
      </c>
      <c r="Q52" s="114"/>
      <c r="R52" s="114"/>
      <c r="S52" s="6"/>
      <c r="T52" s="18" t="s">
        <v>1276</v>
      </c>
      <c r="U52" s="21" t="s">
        <v>1277</v>
      </c>
      <c r="V52" s="17" t="s">
        <v>1278</v>
      </c>
      <c r="W52" s="17" t="s">
        <v>1279</v>
      </c>
    </row>
    <row r="53" spans="1:26" ht="15.75">
      <c r="A53" s="4" t="s">
        <v>1266</v>
      </c>
      <c r="B53" s="102" t="s">
        <v>1473</v>
      </c>
      <c r="C53" s="29" t="s">
        <v>1481</v>
      </c>
      <c r="D53" s="1"/>
      <c r="E53" s="26">
        <v>44280</v>
      </c>
      <c r="F53" s="2">
        <f>E53+30</f>
        <v>44310</v>
      </c>
      <c r="G53" s="1"/>
      <c r="H53" s="1" t="s">
        <v>184</v>
      </c>
      <c r="I53" s="1" t="s">
        <v>1482</v>
      </c>
      <c r="J53" s="1" t="s">
        <v>69</v>
      </c>
      <c r="K53" s="32" t="s">
        <v>31</v>
      </c>
      <c r="L53" s="1"/>
      <c r="M53" s="1" t="s">
        <v>32</v>
      </c>
      <c r="N53" s="1" t="s">
        <v>1227</v>
      </c>
      <c r="O53" s="1" t="s">
        <v>1483</v>
      </c>
      <c r="P53" s="1" t="s">
        <v>1484</v>
      </c>
      <c r="Q53" s="1"/>
      <c r="R53" s="1"/>
      <c r="S53" s="9"/>
      <c r="T53" s="18" t="s">
        <v>443</v>
      </c>
      <c r="U53" s="19" t="s">
        <v>1253</v>
      </c>
      <c r="V53" s="17" t="s">
        <v>1254</v>
      </c>
      <c r="W53" s="17" t="s">
        <v>1255</v>
      </c>
    </row>
    <row r="54" spans="1:26" ht="15.75">
      <c r="A54" s="4" t="s">
        <v>1309</v>
      </c>
      <c r="B54" s="102" t="s">
        <v>1473</v>
      </c>
      <c r="C54" s="29" t="s">
        <v>1485</v>
      </c>
      <c r="D54" s="1"/>
      <c r="E54" s="26">
        <v>44337</v>
      </c>
      <c r="F54" s="2">
        <f>E54+14</f>
        <v>44351</v>
      </c>
      <c r="G54" s="1" t="s">
        <v>364</v>
      </c>
      <c r="H54" s="1">
        <v>31606</v>
      </c>
      <c r="I54" s="1" t="s">
        <v>1486</v>
      </c>
      <c r="J54" s="1" t="s">
        <v>1308</v>
      </c>
      <c r="K54" s="32" t="s">
        <v>31</v>
      </c>
      <c r="L54" s="1">
        <v>85331</v>
      </c>
      <c r="M54" s="1" t="s">
        <v>32</v>
      </c>
      <c r="N54" s="1" t="s">
        <v>1227</v>
      </c>
      <c r="O54" s="1" t="s">
        <v>1487</v>
      </c>
      <c r="P54" s="1" t="s">
        <v>1488</v>
      </c>
      <c r="Q54" s="1"/>
      <c r="R54" s="1">
        <v>78839</v>
      </c>
      <c r="S54" s="9"/>
      <c r="T54" s="18" t="s">
        <v>1276</v>
      </c>
      <c r="U54" s="21" t="s">
        <v>1277</v>
      </c>
      <c r="V54" s="17" t="s">
        <v>1278</v>
      </c>
      <c r="W54" s="17" t="s">
        <v>1279</v>
      </c>
    </row>
    <row r="55" spans="1:26" ht="19.5" customHeight="1">
      <c r="A55" s="4" t="s">
        <v>1309</v>
      </c>
      <c r="B55" s="102" t="s">
        <v>1473</v>
      </c>
      <c r="C55" s="29" t="s">
        <v>1489</v>
      </c>
      <c r="D55" s="1"/>
      <c r="E55" s="26">
        <v>44342</v>
      </c>
      <c r="F55" s="2">
        <f>E55+14</f>
        <v>44356</v>
      </c>
      <c r="G55" s="1" t="s">
        <v>364</v>
      </c>
      <c r="H55" s="1">
        <v>624</v>
      </c>
      <c r="I55" s="1" t="s">
        <v>1490</v>
      </c>
      <c r="J55" s="1" t="s">
        <v>415</v>
      </c>
      <c r="K55" s="32" t="s">
        <v>31</v>
      </c>
      <c r="L55" s="1">
        <v>85281</v>
      </c>
      <c r="M55" s="111" t="s">
        <v>32</v>
      </c>
      <c r="N55" s="1" t="s">
        <v>1227</v>
      </c>
      <c r="O55" s="1" t="s">
        <v>1491</v>
      </c>
      <c r="P55" s="1" t="s">
        <v>1492</v>
      </c>
      <c r="Q55" s="1"/>
      <c r="R55" s="1">
        <v>77974</v>
      </c>
      <c r="S55" s="9"/>
      <c r="T55" s="18" t="s">
        <v>443</v>
      </c>
      <c r="U55" s="19" t="s">
        <v>1253</v>
      </c>
      <c r="V55" s="17" t="s">
        <v>1254</v>
      </c>
      <c r="W55" s="17" t="s">
        <v>1255</v>
      </c>
    </row>
    <row r="56" spans="1:26">
      <c r="A56" s="92" t="s">
        <v>25</v>
      </c>
      <c r="B56" s="102" t="s">
        <v>1473</v>
      </c>
      <c r="C56" s="4" t="s">
        <v>1493</v>
      </c>
      <c r="D56" s="2"/>
      <c r="E56" s="26">
        <v>44656</v>
      </c>
      <c r="F56" s="2">
        <f>E56+14</f>
        <v>44670</v>
      </c>
      <c r="G56" s="2"/>
      <c r="H56" s="41">
        <v>1675</v>
      </c>
      <c r="I56" s="1" t="s">
        <v>1494</v>
      </c>
      <c r="J56" s="1" t="s">
        <v>69</v>
      </c>
      <c r="K56" s="32" t="s">
        <v>31</v>
      </c>
      <c r="L56" s="1">
        <v>85225</v>
      </c>
      <c r="M56" s="1" t="s">
        <v>32</v>
      </c>
      <c r="N56" s="4"/>
      <c r="O56" s="1" t="s">
        <v>1483</v>
      </c>
      <c r="P56" s="1" t="s">
        <v>1484</v>
      </c>
      <c r="Q56" s="1" t="s">
        <v>1495</v>
      </c>
      <c r="R56" s="31">
        <v>89215</v>
      </c>
      <c r="S56" s="1"/>
      <c r="T56" s="1"/>
      <c r="U56" s="1"/>
      <c r="V56" s="17" t="s">
        <v>36</v>
      </c>
      <c r="W56" s="17" t="s">
        <v>1277</v>
      </c>
      <c r="X56" s="25" t="s">
        <v>59</v>
      </c>
      <c r="Y56" s="134" t="s">
        <v>1330</v>
      </c>
    </row>
    <row r="57" spans="1:26" ht="19.5" customHeight="1">
      <c r="A57" s="4" t="s">
        <v>1496</v>
      </c>
      <c r="B57" s="142" t="s">
        <v>1497</v>
      </c>
      <c r="C57" s="56" t="s">
        <v>1498</v>
      </c>
      <c r="D57" s="55"/>
      <c r="E57" s="26">
        <v>44426</v>
      </c>
      <c r="F57" s="204">
        <v>44442</v>
      </c>
      <c r="G57" s="54" t="s">
        <v>364</v>
      </c>
      <c r="H57" s="54" t="s">
        <v>1499</v>
      </c>
      <c r="I57" s="147" t="s">
        <v>1500</v>
      </c>
      <c r="J57" s="147" t="s">
        <v>415</v>
      </c>
      <c r="K57" s="147" t="s">
        <v>31</v>
      </c>
      <c r="L57" s="147" t="s">
        <v>537</v>
      </c>
      <c r="M57" s="111" t="s">
        <v>32</v>
      </c>
      <c r="N57" s="38" t="s">
        <v>1227</v>
      </c>
      <c r="O57" s="147"/>
      <c r="P57" s="147"/>
      <c r="Q57" s="113"/>
      <c r="R57" s="113"/>
      <c r="S57" s="6"/>
      <c r="T57" s="170" t="s">
        <v>1276</v>
      </c>
      <c r="U57" s="171" t="s">
        <v>1277</v>
      </c>
      <c r="V57" t="s">
        <v>1278</v>
      </c>
      <c r="W57" t="s">
        <v>1279</v>
      </c>
    </row>
    <row r="58" spans="1:26" ht="15.75">
      <c r="A58" s="4" t="s">
        <v>1266</v>
      </c>
      <c r="B58" s="29" t="s">
        <v>1501</v>
      </c>
      <c r="C58" s="4" t="s">
        <v>1502</v>
      </c>
      <c r="D58" s="1"/>
      <c r="E58" s="26">
        <v>43852</v>
      </c>
      <c r="F58" s="2">
        <f t="shared" ref="F58:F67" si="2">E58+14</f>
        <v>43866</v>
      </c>
      <c r="G58" s="41" t="s">
        <v>364</v>
      </c>
      <c r="H58" s="41">
        <v>4558</v>
      </c>
      <c r="I58" s="1" t="s">
        <v>1503</v>
      </c>
      <c r="J58" s="33" t="s">
        <v>63</v>
      </c>
      <c r="K58" s="33" t="s">
        <v>31</v>
      </c>
      <c r="L58" s="33" t="s">
        <v>1504</v>
      </c>
      <c r="M58" s="33" t="s">
        <v>32</v>
      </c>
      <c r="N58" s="38" t="s">
        <v>1227</v>
      </c>
      <c r="O58" s="33" t="s">
        <v>1505</v>
      </c>
      <c r="P58" s="11" t="s">
        <v>1506</v>
      </c>
      <c r="Q58" s="37"/>
      <c r="R58" s="37">
        <v>75663</v>
      </c>
      <c r="S58" s="9"/>
      <c r="T58" s="18" t="s">
        <v>1276</v>
      </c>
      <c r="U58" s="171" t="s">
        <v>1277</v>
      </c>
      <c r="V58" t="s">
        <v>1278</v>
      </c>
      <c r="W58" t="s">
        <v>1279</v>
      </c>
    </row>
    <row r="59" spans="1:26" ht="15.75">
      <c r="A59" s="4" t="s">
        <v>1256</v>
      </c>
      <c r="B59" s="102" t="s">
        <v>1507</v>
      </c>
      <c r="C59" s="4" t="s">
        <v>1508</v>
      </c>
      <c r="D59" s="1"/>
      <c r="E59" s="137">
        <v>44384</v>
      </c>
      <c r="F59" s="2">
        <f t="shared" si="2"/>
        <v>44398</v>
      </c>
      <c r="G59" s="41" t="s">
        <v>364</v>
      </c>
      <c r="H59" s="41">
        <v>2747</v>
      </c>
      <c r="I59" s="1" t="s">
        <v>1509</v>
      </c>
      <c r="J59" s="148" t="s">
        <v>1510</v>
      </c>
      <c r="K59" s="32" t="s">
        <v>31</v>
      </c>
      <c r="L59" s="148">
        <v>85027</v>
      </c>
      <c r="M59" s="123" t="s">
        <v>32</v>
      </c>
      <c r="N59" s="1" t="s">
        <v>1227</v>
      </c>
      <c r="O59" s="32" t="s">
        <v>1511</v>
      </c>
      <c r="P59" s="151" t="s">
        <v>1512</v>
      </c>
      <c r="Q59" s="215" t="s">
        <v>1513</v>
      </c>
      <c r="R59" s="115">
        <v>86857</v>
      </c>
      <c r="S59" s="6"/>
      <c r="T59" s="18" t="s">
        <v>1276</v>
      </c>
      <c r="U59" s="19" t="s">
        <v>1277</v>
      </c>
      <c r="V59" s="17" t="s">
        <v>1278</v>
      </c>
      <c r="W59" s="17" t="s">
        <v>1279</v>
      </c>
    </row>
    <row r="60" spans="1:26" ht="15.75">
      <c r="A60" s="4" t="s">
        <v>1309</v>
      </c>
      <c r="B60" s="17" t="s">
        <v>1507</v>
      </c>
      <c r="C60" s="29" t="s">
        <v>1514</v>
      </c>
      <c r="D60" s="1"/>
      <c r="E60" s="137">
        <v>44419</v>
      </c>
      <c r="F60" s="2">
        <f t="shared" si="2"/>
        <v>44433</v>
      </c>
      <c r="G60" s="1" t="s">
        <v>364</v>
      </c>
      <c r="H60" s="1">
        <v>3651</v>
      </c>
      <c r="I60" s="1" t="s">
        <v>1515</v>
      </c>
      <c r="J60" s="1" t="s">
        <v>63</v>
      </c>
      <c r="K60" s="32" t="s">
        <v>31</v>
      </c>
      <c r="L60" s="1">
        <v>85213</v>
      </c>
      <c r="M60" s="1" t="s">
        <v>32</v>
      </c>
      <c r="N60" s="1" t="s">
        <v>1227</v>
      </c>
      <c r="O60" s="1" t="s">
        <v>1516</v>
      </c>
      <c r="P60" s="1" t="s">
        <v>1517</v>
      </c>
      <c r="Q60" s="1"/>
      <c r="R60" s="1">
        <v>86856</v>
      </c>
      <c r="S60" s="9"/>
      <c r="T60" s="18" t="s">
        <v>1276</v>
      </c>
      <c r="U60" s="21" t="s">
        <v>1277</v>
      </c>
      <c r="V60" s="17" t="s">
        <v>1278</v>
      </c>
      <c r="W60" s="17" t="s">
        <v>1279</v>
      </c>
    </row>
    <row r="61" spans="1:26" ht="15.75">
      <c r="A61" s="4" t="s">
        <v>1280</v>
      </c>
      <c r="B61" s="102" t="s">
        <v>1518</v>
      </c>
      <c r="C61" s="29" t="s">
        <v>1519</v>
      </c>
      <c r="D61" s="1"/>
      <c r="E61" s="26">
        <v>44049</v>
      </c>
      <c r="F61" s="2">
        <f t="shared" si="2"/>
        <v>44063</v>
      </c>
      <c r="G61" s="1" t="s">
        <v>364</v>
      </c>
      <c r="H61" s="1" t="s">
        <v>379</v>
      </c>
      <c r="I61" s="1" t="s">
        <v>1520</v>
      </c>
      <c r="J61" s="1" t="s">
        <v>837</v>
      </c>
      <c r="K61" s="32" t="s">
        <v>31</v>
      </c>
      <c r="L61" s="1">
        <v>85388</v>
      </c>
      <c r="M61" s="1" t="s">
        <v>32</v>
      </c>
      <c r="N61" s="1" t="s">
        <v>1227</v>
      </c>
      <c r="O61" s="1"/>
      <c r="P61" s="1"/>
      <c r="Q61" s="1"/>
      <c r="R61" s="1"/>
      <c r="S61" s="9"/>
      <c r="T61" s="18" t="s">
        <v>443</v>
      </c>
      <c r="U61" s="19" t="s">
        <v>1253</v>
      </c>
      <c r="V61" s="17" t="s">
        <v>1254</v>
      </c>
      <c r="W61" s="17" t="s">
        <v>1255</v>
      </c>
    </row>
    <row r="62" spans="1:26">
      <c r="A62" s="163" t="s">
        <v>25</v>
      </c>
      <c r="B62" s="141" t="s">
        <v>1521</v>
      </c>
      <c r="C62" s="29" t="s">
        <v>1522</v>
      </c>
      <c r="D62" s="1"/>
      <c r="E62" s="2">
        <v>44825</v>
      </c>
      <c r="F62" s="60">
        <f t="shared" si="2"/>
        <v>44839</v>
      </c>
      <c r="G62" s="15"/>
      <c r="H62" s="1" t="s">
        <v>184</v>
      </c>
      <c r="I62" s="4" t="s">
        <v>1523</v>
      </c>
      <c r="J62" s="1" t="s">
        <v>1524</v>
      </c>
      <c r="K62" s="32" t="s">
        <v>31</v>
      </c>
      <c r="L62" s="1">
        <v>85143</v>
      </c>
      <c r="M62" s="1" t="s">
        <v>32</v>
      </c>
      <c r="N62" s="4"/>
      <c r="O62" s="1" t="s">
        <v>1525</v>
      </c>
      <c r="P62" s="1" t="s">
        <v>1526</v>
      </c>
      <c r="Q62" s="87" t="s">
        <v>1527</v>
      </c>
      <c r="R62" s="1">
        <v>92391</v>
      </c>
      <c r="S62" s="4"/>
      <c r="T62" s="4"/>
      <c r="U62" s="17"/>
      <c r="V62" s="17" t="s">
        <v>36</v>
      </c>
      <c r="W62" s="17" t="s">
        <v>37</v>
      </c>
      <c r="X62" s="25" t="s">
        <v>59</v>
      </c>
      <c r="Y62" s="226" t="s">
        <v>39</v>
      </c>
      <c r="Z62" s="227"/>
    </row>
    <row r="63" spans="1:26" ht="30">
      <c r="A63" s="191" t="s">
        <v>25</v>
      </c>
      <c r="B63" s="142" t="s">
        <v>1528</v>
      </c>
      <c r="C63" s="56" t="s">
        <v>1529</v>
      </c>
      <c r="D63" s="60"/>
      <c r="E63" s="26">
        <v>44586</v>
      </c>
      <c r="F63" s="60">
        <f t="shared" si="2"/>
        <v>44600</v>
      </c>
      <c r="G63" s="60"/>
      <c r="H63" s="76">
        <v>3545</v>
      </c>
      <c r="I63" s="55" t="s">
        <v>1530</v>
      </c>
      <c r="J63" s="55" t="s">
        <v>49</v>
      </c>
      <c r="K63" s="55" t="s">
        <v>31</v>
      </c>
      <c r="L63" s="112">
        <v>85295</v>
      </c>
      <c r="M63" s="55" t="s">
        <v>32</v>
      </c>
      <c r="N63" s="56"/>
      <c r="O63" s="147" t="s">
        <v>458</v>
      </c>
      <c r="P63" s="147" t="s">
        <v>459</v>
      </c>
      <c r="Q63" s="154" t="s">
        <v>460</v>
      </c>
      <c r="R63" s="155" t="s">
        <v>318</v>
      </c>
      <c r="S63" s="32"/>
      <c r="T63" s="12"/>
      <c r="U63" s="12"/>
      <c r="V63" s="17" t="s">
        <v>36</v>
      </c>
      <c r="W63" s="17" t="s">
        <v>1277</v>
      </c>
      <c r="X63" s="25" t="s">
        <v>59</v>
      </c>
      <c r="Y63" s="134" t="s">
        <v>1330</v>
      </c>
    </row>
    <row r="64" spans="1:26">
      <c r="A64" s="4" t="s">
        <v>1266</v>
      </c>
      <c r="B64" s="4" t="s">
        <v>111</v>
      </c>
      <c r="C64" s="116" t="s">
        <v>1531</v>
      </c>
      <c r="D64" s="198"/>
      <c r="E64" s="140">
        <v>43795</v>
      </c>
      <c r="F64" s="2">
        <f t="shared" si="2"/>
        <v>43809</v>
      </c>
      <c r="G64" s="12" t="s">
        <v>364</v>
      </c>
      <c r="H64" s="12">
        <v>8707</v>
      </c>
      <c r="I64" s="33" t="s">
        <v>1532</v>
      </c>
      <c r="J64" s="33" t="s">
        <v>415</v>
      </c>
      <c r="K64" s="34" t="s">
        <v>31</v>
      </c>
      <c r="L64" s="33" t="s">
        <v>1533</v>
      </c>
      <c r="M64" s="111" t="s">
        <v>32</v>
      </c>
      <c r="N64" s="1" t="s">
        <v>1227</v>
      </c>
      <c r="O64" s="33" t="s">
        <v>458</v>
      </c>
      <c r="P64" s="38" t="s">
        <v>459</v>
      </c>
      <c r="Q64" s="37"/>
      <c r="R64" s="37">
        <v>71714</v>
      </c>
      <c r="S64" s="4"/>
    </row>
    <row r="65" spans="1:26" ht="15" customHeight="1">
      <c r="A65" s="4" t="s">
        <v>1280</v>
      </c>
      <c r="B65" s="102" t="s">
        <v>111</v>
      </c>
      <c r="C65" s="29" t="s">
        <v>1534</v>
      </c>
      <c r="D65" s="1"/>
      <c r="E65" s="26">
        <v>44046</v>
      </c>
      <c r="F65" s="2">
        <f t="shared" si="2"/>
        <v>44060</v>
      </c>
      <c r="G65" s="1" t="s">
        <v>364</v>
      </c>
      <c r="H65" s="1">
        <v>2750</v>
      </c>
      <c r="I65" s="1" t="s">
        <v>1535</v>
      </c>
      <c r="J65" s="1" t="s">
        <v>434</v>
      </c>
      <c r="K65" s="32" t="s">
        <v>31</v>
      </c>
      <c r="L65" s="1">
        <v>85382</v>
      </c>
      <c r="M65" s="1" t="s">
        <v>32</v>
      </c>
      <c r="N65" s="1" t="s">
        <v>1227</v>
      </c>
      <c r="O65" s="1" t="s">
        <v>1536</v>
      </c>
      <c r="P65" s="1" t="s">
        <v>1537</v>
      </c>
      <c r="Q65" s="1"/>
      <c r="R65" s="1"/>
      <c r="S65" s="56"/>
      <c r="T65" s="4"/>
      <c r="U65" s="4"/>
      <c r="V65" s="17"/>
      <c r="W65" s="17"/>
    </row>
    <row r="66" spans="1:26" ht="15" customHeight="1">
      <c r="A66" s="164" t="s">
        <v>1240</v>
      </c>
      <c r="B66" s="141" t="s">
        <v>1538</v>
      </c>
      <c r="C66" s="29" t="s">
        <v>1539</v>
      </c>
      <c r="D66" s="1"/>
      <c r="E66" s="2">
        <v>44818</v>
      </c>
      <c r="F66" s="2">
        <f t="shared" si="2"/>
        <v>44832</v>
      </c>
      <c r="G66" s="2"/>
      <c r="H66" s="1">
        <v>555</v>
      </c>
      <c r="I66" s="15" t="s">
        <v>1540</v>
      </c>
      <c r="J66" s="1" t="s">
        <v>831</v>
      </c>
      <c r="K66" s="32" t="s">
        <v>31</v>
      </c>
      <c r="L66" s="1">
        <v>85326</v>
      </c>
      <c r="M66" s="1" t="s">
        <v>32</v>
      </c>
      <c r="N66" s="4" t="s">
        <v>1541</v>
      </c>
      <c r="O66" s="1" t="s">
        <v>1541</v>
      </c>
      <c r="P66" s="1" t="s">
        <v>1542</v>
      </c>
      <c r="Q66" s="87" t="s">
        <v>1543</v>
      </c>
      <c r="R66" s="1">
        <v>90693</v>
      </c>
      <c r="S66" s="4"/>
      <c r="T66" s="17"/>
      <c r="U66" s="17"/>
      <c r="V66" s="17" t="s">
        <v>443</v>
      </c>
      <c r="W66" s="17" t="s">
        <v>37</v>
      </c>
      <c r="X66" t="s">
        <v>616</v>
      </c>
      <c r="Y66" s="226" t="s">
        <v>1247</v>
      </c>
      <c r="Z66" s="227"/>
    </row>
    <row r="67" spans="1:26" ht="15" customHeight="1">
      <c r="A67" s="4" t="s">
        <v>1256</v>
      </c>
      <c r="B67" s="102" t="s">
        <v>1544</v>
      </c>
      <c r="C67" s="29" t="s">
        <v>1545</v>
      </c>
      <c r="D67" s="1"/>
      <c r="E67" s="26">
        <v>44266</v>
      </c>
      <c r="F67" s="2">
        <f t="shared" si="2"/>
        <v>44280</v>
      </c>
      <c r="G67" s="1" t="s">
        <v>364</v>
      </c>
      <c r="H67" s="1">
        <v>6850</v>
      </c>
      <c r="I67" s="1" t="s">
        <v>596</v>
      </c>
      <c r="J67" s="1" t="s">
        <v>434</v>
      </c>
      <c r="K67" s="32" t="s">
        <v>31</v>
      </c>
      <c r="L67" s="1">
        <v>85054</v>
      </c>
      <c r="M67" s="145" t="s">
        <v>32</v>
      </c>
      <c r="N67" s="1" t="s">
        <v>1227</v>
      </c>
      <c r="O67" s="1"/>
      <c r="P67" s="1"/>
      <c r="Q67" s="1"/>
      <c r="R67" s="1"/>
      <c r="S67" s="4"/>
      <c r="T67" s="18" t="s">
        <v>1276</v>
      </c>
      <c r="U67" s="19" t="s">
        <v>1277</v>
      </c>
      <c r="V67" s="17" t="s">
        <v>1278</v>
      </c>
      <c r="W67" s="17" t="s">
        <v>1279</v>
      </c>
    </row>
    <row r="68" spans="1:26" ht="15" customHeight="1">
      <c r="A68" s="4" t="s">
        <v>1546</v>
      </c>
      <c r="B68" s="102" t="s">
        <v>1547</v>
      </c>
      <c r="C68" s="29" t="s">
        <v>1548</v>
      </c>
      <c r="D68" s="1"/>
      <c r="E68" s="26"/>
      <c r="F68" s="2"/>
      <c r="G68" s="1" t="s">
        <v>364</v>
      </c>
      <c r="H68" s="1">
        <v>9090</v>
      </c>
      <c r="I68" s="1" t="s">
        <v>1549</v>
      </c>
      <c r="J68" s="1" t="s">
        <v>975</v>
      </c>
      <c r="K68" s="32" t="s">
        <v>31</v>
      </c>
      <c r="L68" s="1"/>
      <c r="M68" s="32" t="s">
        <v>32</v>
      </c>
      <c r="N68" s="1" t="s">
        <v>1227</v>
      </c>
      <c r="O68" s="1" t="s">
        <v>1550</v>
      </c>
      <c r="P68" s="1" t="s">
        <v>1551</v>
      </c>
      <c r="Q68" s="1"/>
      <c r="R68" s="1"/>
      <c r="S68" s="9"/>
      <c r="T68" s="18" t="s">
        <v>1276</v>
      </c>
      <c r="U68" s="19" t="s">
        <v>1277</v>
      </c>
      <c r="V68" s="17" t="s">
        <v>1278</v>
      </c>
      <c r="W68" s="17" t="s">
        <v>1279</v>
      </c>
    </row>
    <row r="69" spans="1:26" ht="15" customHeight="1">
      <c r="A69" s="163" t="s">
        <v>25</v>
      </c>
      <c r="B69" s="102" t="s">
        <v>1552</v>
      </c>
      <c r="C69" s="4" t="s">
        <v>1553</v>
      </c>
      <c r="D69" s="130"/>
      <c r="E69" s="2">
        <v>44809</v>
      </c>
      <c r="F69" s="2">
        <f>E69+14</f>
        <v>44823</v>
      </c>
      <c r="G69" s="2"/>
      <c r="H69" s="41">
        <v>1247</v>
      </c>
      <c r="I69" s="134" t="s">
        <v>1554</v>
      </c>
      <c r="J69" s="1" t="s">
        <v>30</v>
      </c>
      <c r="K69" s="32" t="s">
        <v>31</v>
      </c>
      <c r="L69" s="32">
        <v>85122</v>
      </c>
      <c r="M69" s="1" t="s">
        <v>32</v>
      </c>
      <c r="N69" s="4"/>
      <c r="O69" s="32" t="s">
        <v>1555</v>
      </c>
      <c r="P69" s="32" t="s">
        <v>1556</v>
      </c>
      <c r="Q69" s="153" t="s">
        <v>1557</v>
      </c>
      <c r="R69" s="115">
        <v>93127</v>
      </c>
      <c r="S69" s="28"/>
      <c r="T69" s="4"/>
      <c r="U69" s="4"/>
      <c r="V69" s="17" t="s">
        <v>443</v>
      </c>
      <c r="W69" s="17" t="s">
        <v>37</v>
      </c>
      <c r="X69" t="s">
        <v>38</v>
      </c>
      <c r="Y69" s="226" t="s">
        <v>39</v>
      </c>
      <c r="Z69" s="227"/>
    </row>
    <row r="70" spans="1:26" ht="15" customHeight="1">
      <c r="A70" s="4" t="s">
        <v>1256</v>
      </c>
      <c r="B70" s="29" t="s">
        <v>1558</v>
      </c>
      <c r="C70" s="29" t="s">
        <v>1559</v>
      </c>
      <c r="D70" s="1"/>
      <c r="E70" s="26">
        <v>44424</v>
      </c>
      <c r="F70" s="106">
        <f>E70+14</f>
        <v>44438</v>
      </c>
      <c r="G70" s="1" t="s">
        <v>364</v>
      </c>
      <c r="H70" s="1">
        <v>6529</v>
      </c>
      <c r="I70" s="1" t="s">
        <v>1560</v>
      </c>
      <c r="J70" s="1" t="s">
        <v>822</v>
      </c>
      <c r="K70" s="1" t="s">
        <v>31</v>
      </c>
      <c r="L70" s="1">
        <v>85308</v>
      </c>
      <c r="M70" s="1" t="s">
        <v>32</v>
      </c>
      <c r="N70" s="1" t="s">
        <v>1227</v>
      </c>
      <c r="O70" s="1" t="s">
        <v>1561</v>
      </c>
      <c r="P70" s="1" t="s">
        <v>1562</v>
      </c>
      <c r="Q70" s="1"/>
      <c r="R70" s="1">
        <v>77933</v>
      </c>
      <c r="S70" s="9"/>
      <c r="T70" s="170" t="s">
        <v>1276</v>
      </c>
      <c r="U70" s="21" t="s">
        <v>1277</v>
      </c>
      <c r="V70" s="17" t="s">
        <v>1278</v>
      </c>
      <c r="W70" s="17" t="s">
        <v>1279</v>
      </c>
    </row>
    <row r="71" spans="1:26" ht="15" customHeight="1">
      <c r="A71" s="120" t="s">
        <v>1234</v>
      </c>
      <c r="B71" s="29" t="s">
        <v>1563</v>
      </c>
      <c r="C71" s="4" t="s">
        <v>1564</v>
      </c>
      <c r="D71" s="2"/>
      <c r="E71" s="26"/>
      <c r="F71" s="2"/>
      <c r="G71" s="41" t="s">
        <v>364</v>
      </c>
      <c r="H71" s="41" t="s">
        <v>184</v>
      </c>
      <c r="I71" s="1" t="s">
        <v>1565</v>
      </c>
      <c r="J71" s="1" t="s">
        <v>1566</v>
      </c>
      <c r="K71" s="1" t="s">
        <v>31</v>
      </c>
      <c r="L71" s="1"/>
      <c r="M71" s="111" t="s">
        <v>32</v>
      </c>
      <c r="N71" s="38" t="s">
        <v>1227</v>
      </c>
      <c r="O71" s="32"/>
      <c r="P71" s="32"/>
      <c r="Q71" s="115"/>
      <c r="R71" s="115"/>
      <c r="S71" s="6"/>
      <c r="T71" s="18" t="s">
        <v>443</v>
      </c>
      <c r="U71" s="21" t="s">
        <v>1253</v>
      </c>
      <c r="V71" s="17" t="s">
        <v>1254</v>
      </c>
      <c r="W71" s="17" t="s">
        <v>1255</v>
      </c>
    </row>
    <row r="72" spans="1:26" ht="15" customHeight="1">
      <c r="A72" s="94" t="s">
        <v>1234</v>
      </c>
      <c r="B72" s="29" t="s">
        <v>1563</v>
      </c>
      <c r="C72" s="4" t="s">
        <v>1567</v>
      </c>
      <c r="D72" s="2"/>
      <c r="E72" s="26"/>
      <c r="F72" s="106"/>
      <c r="G72" s="2"/>
      <c r="H72" s="41">
        <v>7000</v>
      </c>
      <c r="I72" s="1" t="s">
        <v>1568</v>
      </c>
      <c r="J72" s="1" t="s">
        <v>916</v>
      </c>
      <c r="K72" s="1" t="s">
        <v>31</v>
      </c>
      <c r="L72" s="1">
        <v>85756</v>
      </c>
      <c r="M72" s="1" t="s">
        <v>32</v>
      </c>
      <c r="N72" s="1" t="s">
        <v>1227</v>
      </c>
      <c r="O72" s="1" t="s">
        <v>1569</v>
      </c>
      <c r="P72" s="1" t="s">
        <v>1517</v>
      </c>
      <c r="Q72" s="1"/>
      <c r="R72" s="31">
        <v>89942</v>
      </c>
      <c r="U72" s="17"/>
      <c r="W72" s="17"/>
      <c r="Y72" s="134"/>
    </row>
    <row r="73" spans="1:26" ht="15" customHeight="1">
      <c r="A73" s="4" t="s">
        <v>1435</v>
      </c>
      <c r="B73" s="193" t="s">
        <v>1570</v>
      </c>
      <c r="C73" s="144" t="s">
        <v>1571</v>
      </c>
      <c r="D73" s="1"/>
      <c r="E73" s="26">
        <v>44095</v>
      </c>
      <c r="F73" s="105">
        <f>E73+14</f>
        <v>44109</v>
      </c>
      <c r="G73" s="1" t="s">
        <v>364</v>
      </c>
      <c r="H73" s="1">
        <v>3030</v>
      </c>
      <c r="I73" s="10" t="s">
        <v>1572</v>
      </c>
      <c r="J73" s="10" t="s">
        <v>63</v>
      </c>
      <c r="K73" s="108" t="s">
        <v>31</v>
      </c>
      <c r="L73" s="10"/>
      <c r="M73" s="33" t="s">
        <v>32</v>
      </c>
      <c r="N73" s="38" t="s">
        <v>1227</v>
      </c>
      <c r="O73" s="10" t="s">
        <v>1573</v>
      </c>
      <c r="P73" s="10" t="s">
        <v>1574</v>
      </c>
      <c r="Q73" s="1"/>
      <c r="R73" s="1"/>
      <c r="S73" s="9"/>
      <c r="T73" s="18" t="s">
        <v>443</v>
      </c>
      <c r="U73" s="19" t="s">
        <v>1253</v>
      </c>
      <c r="V73" s="17" t="s">
        <v>1254</v>
      </c>
      <c r="W73" s="17" t="s">
        <v>1255</v>
      </c>
    </row>
    <row r="74" spans="1:26" ht="15" customHeight="1">
      <c r="A74" s="122" t="s">
        <v>1256</v>
      </c>
      <c r="B74" s="103" t="s">
        <v>1575</v>
      </c>
      <c r="C74" s="47" t="s">
        <v>1576</v>
      </c>
      <c r="D74" s="58"/>
      <c r="E74" s="26">
        <v>44487</v>
      </c>
      <c r="F74" s="2">
        <f>E74+14</f>
        <v>44501</v>
      </c>
      <c r="G74" s="66" t="s">
        <v>364</v>
      </c>
      <c r="H74" s="66">
        <v>4343</v>
      </c>
      <c r="I74" s="33" t="s">
        <v>457</v>
      </c>
      <c r="J74" s="46" t="s">
        <v>1448</v>
      </c>
      <c r="K74" s="109" t="s">
        <v>31</v>
      </c>
      <c r="L74" s="46" t="s">
        <v>1390</v>
      </c>
      <c r="M74" s="1" t="s">
        <v>32</v>
      </c>
      <c r="N74" s="1" t="s">
        <v>1227</v>
      </c>
      <c r="O74" s="46" t="s">
        <v>1573</v>
      </c>
      <c r="P74" s="46" t="s">
        <v>1577</v>
      </c>
      <c r="Q74" s="50"/>
      <c r="R74" s="50">
        <v>81236</v>
      </c>
      <c r="S74" s="4"/>
      <c r="T74" s="4"/>
      <c r="U74" s="4"/>
      <c r="V74" s="17"/>
      <c r="W74" s="17"/>
    </row>
    <row r="75" spans="1:26" ht="15" customHeight="1">
      <c r="A75" s="4" t="s">
        <v>1280</v>
      </c>
      <c r="B75" s="17" t="s">
        <v>1578</v>
      </c>
      <c r="C75" s="4" t="s">
        <v>1579</v>
      </c>
      <c r="D75" s="1"/>
      <c r="E75" s="26">
        <v>43747</v>
      </c>
      <c r="F75" s="2">
        <f>E75+14</f>
        <v>43761</v>
      </c>
      <c r="G75" s="1" t="s">
        <v>364</v>
      </c>
      <c r="H75" s="1">
        <v>1500</v>
      </c>
      <c r="I75" s="34" t="s">
        <v>1580</v>
      </c>
      <c r="J75" s="34" t="s">
        <v>434</v>
      </c>
      <c r="K75" s="34" t="s">
        <v>31</v>
      </c>
      <c r="L75" s="32">
        <v>85023</v>
      </c>
      <c r="M75" s="33" t="s">
        <v>32</v>
      </c>
      <c r="N75" s="1" t="s">
        <v>1227</v>
      </c>
      <c r="O75" s="33" t="s">
        <v>1581</v>
      </c>
      <c r="P75" s="32" t="s">
        <v>1582</v>
      </c>
      <c r="Q75" s="115"/>
      <c r="R75" s="115">
        <v>70200</v>
      </c>
      <c r="S75" s="6"/>
      <c r="T75" s="18" t="s">
        <v>443</v>
      </c>
      <c r="U75" s="21" t="s">
        <v>1253</v>
      </c>
      <c r="V75" s="17" t="s">
        <v>1254</v>
      </c>
      <c r="W75" s="17" t="s">
        <v>1255</v>
      </c>
    </row>
    <row r="76" spans="1:26" ht="15" customHeight="1">
      <c r="A76" s="4" t="s">
        <v>1546</v>
      </c>
      <c r="B76" s="68" t="s">
        <v>1583</v>
      </c>
      <c r="C76" s="47" t="s">
        <v>1584</v>
      </c>
      <c r="D76" s="46"/>
      <c r="E76" s="138"/>
      <c r="F76" s="205"/>
      <c r="G76" s="66" t="s">
        <v>364</v>
      </c>
      <c r="H76" s="66">
        <v>3100</v>
      </c>
      <c r="I76" s="33" t="s">
        <v>1585</v>
      </c>
      <c r="J76" s="46" t="s">
        <v>916</v>
      </c>
      <c r="K76" s="46" t="s">
        <v>31</v>
      </c>
      <c r="L76" s="46" t="s">
        <v>1586</v>
      </c>
      <c r="M76" s="33" t="s">
        <v>32</v>
      </c>
      <c r="N76" s="1" t="s">
        <v>1227</v>
      </c>
      <c r="O76" s="46"/>
      <c r="P76" s="50"/>
      <c r="Q76" s="1"/>
      <c r="R76" s="1"/>
      <c r="S76" s="27"/>
      <c r="T76" s="170" t="s">
        <v>1276</v>
      </c>
      <c r="U76" s="171" t="s">
        <v>1277</v>
      </c>
      <c r="V76" t="s">
        <v>1278</v>
      </c>
      <c r="W76" t="s">
        <v>1279</v>
      </c>
    </row>
    <row r="77" spans="1:26" ht="15.75">
      <c r="A77" s="4" t="s">
        <v>1435</v>
      </c>
      <c r="B77" s="29" t="s">
        <v>1587</v>
      </c>
      <c r="C77" s="29" t="s">
        <v>1588</v>
      </c>
      <c r="D77" s="1"/>
      <c r="E77" s="26">
        <v>44013</v>
      </c>
      <c r="F77" s="2">
        <f t="shared" ref="F77:F82" si="3">E77+14</f>
        <v>44027</v>
      </c>
      <c r="G77" s="1"/>
      <c r="H77" s="1"/>
      <c r="I77" s="1" t="s">
        <v>1589</v>
      </c>
      <c r="J77" s="1" t="s">
        <v>69</v>
      </c>
      <c r="K77" s="1" t="s">
        <v>31</v>
      </c>
      <c r="L77" s="1"/>
      <c r="M77" s="1" t="s">
        <v>32</v>
      </c>
      <c r="N77" s="1" t="s">
        <v>1227</v>
      </c>
      <c r="O77" s="1"/>
      <c r="P77" s="1"/>
      <c r="Q77" s="1"/>
      <c r="R77" s="1"/>
      <c r="S77" s="27"/>
      <c r="T77" s="170" t="s">
        <v>1276</v>
      </c>
      <c r="U77" s="171" t="s">
        <v>1277</v>
      </c>
      <c r="V77" t="s">
        <v>1278</v>
      </c>
      <c r="W77" t="s">
        <v>1279</v>
      </c>
    </row>
    <row r="78" spans="1:26" ht="15" customHeight="1">
      <c r="A78" s="4" t="s">
        <v>1266</v>
      </c>
      <c r="B78" s="68" t="s">
        <v>1587</v>
      </c>
      <c r="C78" s="47" t="s">
        <v>1590</v>
      </c>
      <c r="D78" s="46"/>
      <c r="E78" s="138">
        <v>44300</v>
      </c>
      <c r="F78" s="71">
        <f t="shared" si="3"/>
        <v>44314</v>
      </c>
      <c r="G78" s="66" t="s">
        <v>364</v>
      </c>
      <c r="H78" s="66">
        <v>734</v>
      </c>
      <c r="I78" s="33" t="s">
        <v>1591</v>
      </c>
      <c r="J78" s="46" t="s">
        <v>415</v>
      </c>
      <c r="K78" s="46" t="s">
        <v>31</v>
      </c>
      <c r="L78" s="67">
        <v>85282</v>
      </c>
      <c r="M78" s="1" t="s">
        <v>32</v>
      </c>
      <c r="N78" s="38" t="s">
        <v>1227</v>
      </c>
      <c r="O78" s="46" t="s">
        <v>1592</v>
      </c>
      <c r="P78" s="46" t="s">
        <v>1593</v>
      </c>
      <c r="Q78" s="1"/>
      <c r="R78" s="1"/>
      <c r="S78" s="9"/>
      <c r="T78" s="18" t="s">
        <v>1276</v>
      </c>
      <c r="U78" s="19" t="s">
        <v>1277</v>
      </c>
      <c r="V78" s="17" t="s">
        <v>1278</v>
      </c>
      <c r="W78" s="17" t="s">
        <v>1255</v>
      </c>
    </row>
    <row r="79" spans="1:26" ht="15" customHeight="1">
      <c r="A79" s="122" t="s">
        <v>1256</v>
      </c>
      <c r="B79" s="29" t="s">
        <v>1587</v>
      </c>
      <c r="C79" s="4" t="s">
        <v>1594</v>
      </c>
      <c r="D79" s="2"/>
      <c r="E79" s="26">
        <v>44435</v>
      </c>
      <c r="F79" s="2">
        <f t="shared" si="3"/>
        <v>44449</v>
      </c>
      <c r="G79" s="41" t="s">
        <v>364</v>
      </c>
      <c r="H79" s="41">
        <v>4195</v>
      </c>
      <c r="I79" s="1" t="s">
        <v>1595</v>
      </c>
      <c r="J79" s="1" t="s">
        <v>1596</v>
      </c>
      <c r="K79" s="1" t="s">
        <v>31</v>
      </c>
      <c r="L79" s="1">
        <v>85395</v>
      </c>
      <c r="M79" s="33" t="s">
        <v>32</v>
      </c>
      <c r="N79" s="38" t="s">
        <v>1227</v>
      </c>
      <c r="O79" s="1" t="s">
        <v>1597</v>
      </c>
      <c r="P79" s="1" t="s">
        <v>1598</v>
      </c>
      <c r="Q79" s="31"/>
      <c r="R79" s="31">
        <v>85076</v>
      </c>
      <c r="S79" s="6"/>
      <c r="T79" s="18" t="s">
        <v>443</v>
      </c>
      <c r="U79" s="19" t="s">
        <v>1253</v>
      </c>
      <c r="V79" s="17" t="s">
        <v>1254</v>
      </c>
      <c r="W79" s="17" t="s">
        <v>1255</v>
      </c>
    </row>
    <row r="80" spans="1:26" ht="15" customHeight="1">
      <c r="A80" s="4" t="s">
        <v>1266</v>
      </c>
      <c r="B80" s="29" t="s">
        <v>1599</v>
      </c>
      <c r="C80" s="29" t="s">
        <v>1600</v>
      </c>
      <c r="D80" s="1"/>
      <c r="E80" s="26">
        <v>44111</v>
      </c>
      <c r="F80" s="2">
        <f t="shared" si="3"/>
        <v>44125</v>
      </c>
      <c r="G80" s="1" t="s">
        <v>364</v>
      </c>
      <c r="H80" s="1">
        <v>727</v>
      </c>
      <c r="I80" s="1" t="s">
        <v>1601</v>
      </c>
      <c r="J80" s="1" t="s">
        <v>415</v>
      </c>
      <c r="K80" s="1" t="s">
        <v>31</v>
      </c>
      <c r="L80" s="1">
        <v>85283</v>
      </c>
      <c r="M80" s="33" t="s">
        <v>32</v>
      </c>
      <c r="N80" s="1" t="s">
        <v>1227</v>
      </c>
      <c r="O80" s="1" t="s">
        <v>1602</v>
      </c>
      <c r="P80" s="1" t="s">
        <v>1603</v>
      </c>
      <c r="Q80" s="1"/>
      <c r="R80" s="1"/>
      <c r="S80" s="28"/>
      <c r="T80" s="20" t="s">
        <v>443</v>
      </c>
      <c r="U80" s="21" t="s">
        <v>1253</v>
      </c>
      <c r="V80" s="17"/>
      <c r="W80" s="17"/>
    </row>
    <row r="81" spans="1:25" ht="15" customHeight="1">
      <c r="A81" s="4" t="s">
        <v>1280</v>
      </c>
      <c r="B81" s="4" t="s">
        <v>1604</v>
      </c>
      <c r="C81" s="4" t="s">
        <v>1605</v>
      </c>
      <c r="D81" s="1"/>
      <c r="E81" s="26">
        <v>43671</v>
      </c>
      <c r="F81" s="2">
        <f t="shared" si="3"/>
        <v>43685</v>
      </c>
      <c r="G81" s="1" t="s">
        <v>364</v>
      </c>
      <c r="H81" s="1">
        <v>8802</v>
      </c>
      <c r="I81" s="1" t="s">
        <v>1135</v>
      </c>
      <c r="J81" s="33" t="s">
        <v>434</v>
      </c>
      <c r="K81" s="33" t="s">
        <v>31</v>
      </c>
      <c r="L81" s="33" t="s">
        <v>1606</v>
      </c>
      <c r="M81" s="1" t="s">
        <v>32</v>
      </c>
      <c r="N81" s="1" t="s">
        <v>1227</v>
      </c>
      <c r="O81" s="33" t="s">
        <v>1607</v>
      </c>
      <c r="P81" s="11" t="s">
        <v>1608</v>
      </c>
      <c r="Q81" s="11"/>
      <c r="R81" s="11">
        <v>73375</v>
      </c>
      <c r="S81" s="27"/>
    </row>
    <row r="82" spans="1:25" ht="15" customHeight="1">
      <c r="A82" s="4" t="s">
        <v>1280</v>
      </c>
      <c r="B82" s="4" t="s">
        <v>1604</v>
      </c>
      <c r="C82" s="4" t="s">
        <v>1609</v>
      </c>
      <c r="D82" s="1"/>
      <c r="E82" s="26">
        <v>43726</v>
      </c>
      <c r="F82" s="2">
        <f t="shared" si="3"/>
        <v>43740</v>
      </c>
      <c r="G82" s="1" t="s">
        <v>364</v>
      </c>
      <c r="H82" s="1">
        <v>2802</v>
      </c>
      <c r="I82" s="1" t="s">
        <v>1443</v>
      </c>
      <c r="J82" s="33" t="s">
        <v>434</v>
      </c>
      <c r="K82" s="33" t="s">
        <v>31</v>
      </c>
      <c r="L82" s="33" t="s">
        <v>1610</v>
      </c>
      <c r="M82" s="1" t="s">
        <v>32</v>
      </c>
      <c r="N82" s="1" t="s">
        <v>1227</v>
      </c>
      <c r="O82" s="33" t="s">
        <v>1611</v>
      </c>
      <c r="P82" s="11" t="s">
        <v>1612</v>
      </c>
      <c r="Q82" s="37"/>
      <c r="R82" s="37">
        <v>74442</v>
      </c>
      <c r="S82" s="9"/>
      <c r="T82" s="18" t="s">
        <v>1276</v>
      </c>
      <c r="U82" s="19" t="s">
        <v>1277</v>
      </c>
      <c r="V82" s="17" t="s">
        <v>1278</v>
      </c>
      <c r="W82" s="17" t="s">
        <v>1279</v>
      </c>
    </row>
    <row r="83" spans="1:25" ht="15" customHeight="1">
      <c r="A83" s="4" t="s">
        <v>1266</v>
      </c>
      <c r="B83" s="4" t="s">
        <v>1604</v>
      </c>
      <c r="C83" s="4" t="s">
        <v>1613</v>
      </c>
      <c r="D83" s="1"/>
      <c r="E83" s="26">
        <v>43732</v>
      </c>
      <c r="F83" s="2">
        <v>43732</v>
      </c>
      <c r="G83" s="1" t="s">
        <v>364</v>
      </c>
      <c r="H83" s="1">
        <v>8409</v>
      </c>
      <c r="I83" s="33" t="s">
        <v>1614</v>
      </c>
      <c r="J83" s="33" t="s">
        <v>1615</v>
      </c>
      <c r="K83" s="33" t="s">
        <v>31</v>
      </c>
      <c r="L83" s="33" t="s">
        <v>1616</v>
      </c>
      <c r="M83" s="1" t="s">
        <v>32</v>
      </c>
      <c r="N83" s="1" t="s">
        <v>1227</v>
      </c>
      <c r="O83" s="33" t="s">
        <v>1617</v>
      </c>
      <c r="P83" s="38" t="s">
        <v>1618</v>
      </c>
      <c r="Q83" s="37"/>
      <c r="R83" s="37">
        <v>70753</v>
      </c>
      <c r="S83" s="6"/>
      <c r="T83" s="170" t="s">
        <v>1276</v>
      </c>
      <c r="U83" s="171" t="s">
        <v>1277</v>
      </c>
      <c r="V83" t="s">
        <v>1278</v>
      </c>
      <c r="W83" t="s">
        <v>1279</v>
      </c>
    </row>
    <row r="84" spans="1:25" ht="15" customHeight="1">
      <c r="A84" s="4" t="s">
        <v>1280</v>
      </c>
      <c r="B84" s="4" t="s">
        <v>1604</v>
      </c>
      <c r="C84" s="4" t="s">
        <v>1619</v>
      </c>
      <c r="D84" s="1"/>
      <c r="E84" s="26">
        <v>43733</v>
      </c>
      <c r="F84" s="2">
        <f t="shared" ref="F84:F99" si="4">E84+14</f>
        <v>43747</v>
      </c>
      <c r="G84" s="1" t="s">
        <v>364</v>
      </c>
      <c r="H84" s="1">
        <v>609</v>
      </c>
      <c r="I84" s="33" t="s">
        <v>1620</v>
      </c>
      <c r="J84" s="33" t="s">
        <v>434</v>
      </c>
      <c r="K84" s="33" t="s">
        <v>31</v>
      </c>
      <c r="L84" s="33" t="s">
        <v>1621</v>
      </c>
      <c r="M84" s="1" t="s">
        <v>32</v>
      </c>
      <c r="N84" s="1" t="s">
        <v>1227</v>
      </c>
      <c r="O84" s="33" t="s">
        <v>1622</v>
      </c>
      <c r="P84" s="38" t="s">
        <v>1623</v>
      </c>
      <c r="Q84" s="37"/>
      <c r="R84" s="222">
        <v>70121</v>
      </c>
      <c r="S84" s="9"/>
      <c r="T84" s="18" t="s">
        <v>443</v>
      </c>
      <c r="U84" s="19" t="s">
        <v>1253</v>
      </c>
      <c r="V84" s="17" t="s">
        <v>1254</v>
      </c>
      <c r="W84" s="17" t="s">
        <v>1255</v>
      </c>
    </row>
    <row r="85" spans="1:25" ht="15" customHeight="1">
      <c r="A85" s="4" t="s">
        <v>1280</v>
      </c>
      <c r="B85" s="4" t="s">
        <v>1604</v>
      </c>
      <c r="C85" s="4" t="s">
        <v>1624</v>
      </c>
      <c r="D85" s="1"/>
      <c r="E85" s="140">
        <v>43823</v>
      </c>
      <c r="F85" s="2">
        <f t="shared" si="4"/>
        <v>43837</v>
      </c>
      <c r="G85" s="1" t="s">
        <v>364</v>
      </c>
      <c r="H85" s="1">
        <v>4747</v>
      </c>
      <c r="I85" s="33" t="s">
        <v>1625</v>
      </c>
      <c r="J85" s="33" t="s">
        <v>434</v>
      </c>
      <c r="K85" s="33" t="s">
        <v>31</v>
      </c>
      <c r="L85" s="33" t="s">
        <v>1626</v>
      </c>
      <c r="M85" s="46" t="s">
        <v>32</v>
      </c>
      <c r="N85" s="1" t="s">
        <v>1227</v>
      </c>
      <c r="O85" s="33" t="s">
        <v>1627</v>
      </c>
      <c r="P85" s="38" t="s">
        <v>1628</v>
      </c>
      <c r="Q85" s="37"/>
      <c r="R85" s="222">
        <v>68954</v>
      </c>
      <c r="S85" s="9"/>
      <c r="T85" s="4"/>
      <c r="U85" s="17"/>
      <c r="V85" s="17"/>
      <c r="W85" s="17"/>
    </row>
    <row r="86" spans="1:25" ht="15" customHeight="1">
      <c r="A86" s="4" t="s">
        <v>1280</v>
      </c>
      <c r="B86" s="29" t="s">
        <v>1604</v>
      </c>
      <c r="C86" s="4" t="s">
        <v>1629</v>
      </c>
      <c r="D86" s="1"/>
      <c r="E86" s="26">
        <v>43853</v>
      </c>
      <c r="F86" s="2">
        <f t="shared" si="4"/>
        <v>43867</v>
      </c>
      <c r="G86" s="41" t="s">
        <v>364</v>
      </c>
      <c r="H86" s="41">
        <v>11500</v>
      </c>
      <c r="I86" s="1" t="s">
        <v>1630</v>
      </c>
      <c r="J86" s="33" t="s">
        <v>873</v>
      </c>
      <c r="K86" s="33" t="s">
        <v>31</v>
      </c>
      <c r="L86" s="33" t="s">
        <v>1273</v>
      </c>
      <c r="M86" s="1" t="s">
        <v>32</v>
      </c>
      <c r="N86" s="1" t="s">
        <v>1227</v>
      </c>
      <c r="O86" s="33" t="s">
        <v>1631</v>
      </c>
      <c r="P86" s="11" t="s">
        <v>1632</v>
      </c>
      <c r="Q86" s="37"/>
      <c r="R86" s="36">
        <v>71862</v>
      </c>
      <c r="S86" s="28"/>
      <c r="V86" s="17"/>
      <c r="W86" s="17"/>
    </row>
    <row r="87" spans="1:25" ht="15" customHeight="1">
      <c r="A87" s="4" t="s">
        <v>1280</v>
      </c>
      <c r="B87" s="29" t="s">
        <v>1604</v>
      </c>
      <c r="C87" s="4" t="s">
        <v>1633</v>
      </c>
      <c r="D87" s="1"/>
      <c r="E87" s="140">
        <v>43893</v>
      </c>
      <c r="F87" s="2">
        <f t="shared" si="4"/>
        <v>43907</v>
      </c>
      <c r="G87" s="41" t="s">
        <v>364</v>
      </c>
      <c r="H87" s="41">
        <v>600</v>
      </c>
      <c r="I87" s="33" t="s">
        <v>1634</v>
      </c>
      <c r="J87" s="33" t="s">
        <v>434</v>
      </c>
      <c r="K87" s="33" t="s">
        <v>31</v>
      </c>
      <c r="L87" s="33" t="s">
        <v>1610</v>
      </c>
      <c r="M87" s="1" t="s">
        <v>32</v>
      </c>
      <c r="N87" s="1" t="s">
        <v>1227</v>
      </c>
      <c r="O87" s="33" t="s">
        <v>1635</v>
      </c>
      <c r="P87" s="38" t="s">
        <v>1636</v>
      </c>
      <c r="Q87" s="37"/>
      <c r="R87" s="222">
        <v>75486</v>
      </c>
      <c r="S87" s="9"/>
      <c r="T87" s="18" t="s">
        <v>443</v>
      </c>
      <c r="U87" s="19" t="s">
        <v>1253</v>
      </c>
      <c r="V87" s="17" t="s">
        <v>1254</v>
      </c>
      <c r="W87" s="17" t="s">
        <v>1255</v>
      </c>
    </row>
    <row r="88" spans="1:25" ht="15" customHeight="1">
      <c r="A88" s="4" t="s">
        <v>1256</v>
      </c>
      <c r="B88" s="29" t="s">
        <v>1604</v>
      </c>
      <c r="C88" s="29" t="s">
        <v>1637</v>
      </c>
      <c r="D88" s="1"/>
      <c r="E88" s="139">
        <v>44343</v>
      </c>
      <c r="F88" s="2">
        <f t="shared" si="4"/>
        <v>44357</v>
      </c>
      <c r="G88" s="1" t="s">
        <v>364</v>
      </c>
      <c r="H88" s="1">
        <v>225</v>
      </c>
      <c r="I88" s="1" t="s">
        <v>1560</v>
      </c>
      <c r="J88" s="1" t="s">
        <v>434</v>
      </c>
      <c r="K88" s="1" t="s">
        <v>31</v>
      </c>
      <c r="L88" s="1">
        <v>85013</v>
      </c>
      <c r="M88" s="1" t="s">
        <v>32</v>
      </c>
      <c r="N88" s="38" t="s">
        <v>1227</v>
      </c>
      <c r="O88" s="1" t="s">
        <v>1638</v>
      </c>
      <c r="P88" s="1" t="s">
        <v>1639</v>
      </c>
      <c r="Q88" s="1"/>
      <c r="R88" s="32">
        <v>79450</v>
      </c>
      <c r="S88" s="28"/>
      <c r="T88" s="4"/>
      <c r="U88" s="17"/>
      <c r="V88" s="17"/>
      <c r="W88" s="17"/>
    </row>
    <row r="89" spans="1:25" ht="15" customHeight="1">
      <c r="A89" s="4" t="s">
        <v>1309</v>
      </c>
      <c r="B89" s="4" t="s">
        <v>1604</v>
      </c>
      <c r="C89" s="29" t="s">
        <v>1640</v>
      </c>
      <c r="D89" s="1"/>
      <c r="E89" s="26">
        <v>44406</v>
      </c>
      <c r="F89" s="2">
        <f t="shared" si="4"/>
        <v>44420</v>
      </c>
      <c r="G89" s="1" t="s">
        <v>364</v>
      </c>
      <c r="H89" s="1">
        <v>8451</v>
      </c>
      <c r="I89" s="1" t="s">
        <v>1641</v>
      </c>
      <c r="J89" s="1" t="s">
        <v>398</v>
      </c>
      <c r="K89" s="1" t="s">
        <v>31</v>
      </c>
      <c r="L89" s="1">
        <v>85257</v>
      </c>
      <c r="M89" s="33" t="s">
        <v>32</v>
      </c>
      <c r="N89" s="38" t="s">
        <v>1227</v>
      </c>
      <c r="O89" s="1" t="s">
        <v>1642</v>
      </c>
      <c r="P89" s="1" t="s">
        <v>1643</v>
      </c>
      <c r="Q89" s="32"/>
      <c r="R89" s="32">
        <v>82437</v>
      </c>
      <c r="S89" s="6"/>
      <c r="T89" s="18" t="s">
        <v>1276</v>
      </c>
      <c r="U89" s="19" t="s">
        <v>1277</v>
      </c>
      <c r="V89" s="17" t="s">
        <v>1278</v>
      </c>
      <c r="W89" s="17" t="s">
        <v>1279</v>
      </c>
    </row>
    <row r="90" spans="1:25" ht="15.75">
      <c r="A90" t="s">
        <v>1393</v>
      </c>
      <c r="B90" t="s">
        <v>1644</v>
      </c>
      <c r="C90" s="192" t="s">
        <v>1645</v>
      </c>
      <c r="E90" s="200">
        <v>44421</v>
      </c>
      <c r="F90" s="197">
        <f t="shared" si="4"/>
        <v>44435</v>
      </c>
      <c r="G90" s="25" t="s">
        <v>364</v>
      </c>
      <c r="H90" s="25">
        <v>16648</v>
      </c>
      <c r="I90" s="25" t="s">
        <v>1646</v>
      </c>
      <c r="J90" s="25" t="s">
        <v>398</v>
      </c>
      <c r="K90" s="25" t="s">
        <v>31</v>
      </c>
      <c r="L90" s="25">
        <v>85260</v>
      </c>
      <c r="M90" s="1" t="s">
        <v>32</v>
      </c>
      <c r="N90" s="1" t="s">
        <v>1227</v>
      </c>
      <c r="O90" s="25" t="s">
        <v>1647</v>
      </c>
      <c r="P90" s="25" t="s">
        <v>1648</v>
      </c>
      <c r="Q90" s="25" t="s">
        <v>1649</v>
      </c>
      <c r="R90" s="25">
        <v>88932</v>
      </c>
      <c r="S90" s="27">
        <v>30</v>
      </c>
      <c r="T90" s="170" t="s">
        <v>1276</v>
      </c>
      <c r="U90" s="171" t="s">
        <v>1277</v>
      </c>
      <c r="V90" t="s">
        <v>1278</v>
      </c>
      <c r="W90" t="s">
        <v>1279</v>
      </c>
    </row>
    <row r="91" spans="1:25" s="4" customFormat="1" ht="15" customHeight="1">
      <c r="A91" s="4" t="s">
        <v>1393</v>
      </c>
      <c r="B91" s="70" t="s">
        <v>1604</v>
      </c>
      <c r="C91" s="56" t="s">
        <v>1650</v>
      </c>
      <c r="D91" s="55"/>
      <c r="E91" s="26">
        <v>44433</v>
      </c>
      <c r="F91" s="60">
        <f t="shared" si="4"/>
        <v>44447</v>
      </c>
      <c r="G91" s="76" t="s">
        <v>364</v>
      </c>
      <c r="H91" s="76">
        <v>2700</v>
      </c>
      <c r="I91" s="55" t="s">
        <v>1651</v>
      </c>
      <c r="J91" s="55" t="s">
        <v>63</v>
      </c>
      <c r="K91" s="55" t="s">
        <v>31</v>
      </c>
      <c r="L91" s="3">
        <v>85213</v>
      </c>
      <c r="M91" s="33" t="s">
        <v>32</v>
      </c>
      <c r="N91" s="1" t="s">
        <v>1227</v>
      </c>
      <c r="O91" s="55" t="s">
        <v>1652</v>
      </c>
      <c r="P91" s="55" t="s">
        <v>1653</v>
      </c>
      <c r="Q91" s="85"/>
      <c r="R91" s="57">
        <v>88763</v>
      </c>
      <c r="S91" s="9"/>
      <c r="T91" s="18" t="s">
        <v>1276</v>
      </c>
      <c r="U91" s="19" t="s">
        <v>1277</v>
      </c>
      <c r="V91" s="4" t="s">
        <v>1278</v>
      </c>
      <c r="W91" s="4" t="s">
        <v>1279</v>
      </c>
    </row>
    <row r="92" spans="1:25" s="4" customFormat="1" ht="15.75">
      <c r="A92" s="122" t="s">
        <v>1256</v>
      </c>
      <c r="B92" s="70" t="s">
        <v>1604</v>
      </c>
      <c r="C92" s="56" t="s">
        <v>1654</v>
      </c>
      <c r="D92" s="60"/>
      <c r="E92" s="26">
        <v>44495</v>
      </c>
      <c r="F92" s="60">
        <f t="shared" si="4"/>
        <v>44509</v>
      </c>
      <c r="G92" s="76" t="s">
        <v>364</v>
      </c>
      <c r="H92" s="76">
        <v>2700</v>
      </c>
      <c r="I92" s="55" t="s">
        <v>1655</v>
      </c>
      <c r="J92" s="55" t="s">
        <v>844</v>
      </c>
      <c r="K92" s="55" t="s">
        <v>31</v>
      </c>
      <c r="L92" s="55" t="s">
        <v>1431</v>
      </c>
      <c r="M92" s="1" t="s">
        <v>32</v>
      </c>
      <c r="N92" s="1" t="s">
        <v>1227</v>
      </c>
      <c r="O92" s="55" t="s">
        <v>1656</v>
      </c>
      <c r="P92" s="55" t="s">
        <v>1657</v>
      </c>
      <c r="Q92" s="82" t="s">
        <v>1658</v>
      </c>
      <c r="R92" s="82"/>
      <c r="S92" s="9"/>
      <c r="T92" s="18" t="s">
        <v>443</v>
      </c>
      <c r="U92" s="19" t="s">
        <v>1253</v>
      </c>
      <c r="V92" s="4" t="s">
        <v>1254</v>
      </c>
      <c r="W92" s="4" t="s">
        <v>1255</v>
      </c>
    </row>
    <row r="93" spans="1:25" s="4" customFormat="1" ht="15" customHeight="1">
      <c r="A93" s="93" t="s">
        <v>1256</v>
      </c>
      <c r="B93" s="29" t="s">
        <v>478</v>
      </c>
      <c r="C93" s="29" t="s">
        <v>1659</v>
      </c>
      <c r="D93" s="2"/>
      <c r="E93" s="26">
        <v>44522</v>
      </c>
      <c r="F93" s="2">
        <f t="shared" si="4"/>
        <v>44536</v>
      </c>
      <c r="G93" s="2"/>
      <c r="H93" s="1">
        <v>555</v>
      </c>
      <c r="I93" s="1" t="s">
        <v>1660</v>
      </c>
      <c r="J93" s="1" t="s">
        <v>1661</v>
      </c>
      <c r="K93" s="1" t="s">
        <v>31</v>
      </c>
      <c r="L93" s="1">
        <v>85003</v>
      </c>
      <c r="M93" s="1" t="s">
        <v>32</v>
      </c>
      <c r="N93" s="1" t="s">
        <v>1227</v>
      </c>
      <c r="O93" s="1" t="s">
        <v>1662</v>
      </c>
      <c r="P93" s="1" t="s">
        <v>1663</v>
      </c>
      <c r="Q93" s="1"/>
      <c r="R93" s="1">
        <v>77876</v>
      </c>
      <c r="S93" s="47"/>
      <c r="T93" s="47"/>
      <c r="U93" s="51"/>
      <c r="V93" s="4" t="s">
        <v>1264</v>
      </c>
      <c r="W93" s="4" t="s">
        <v>1253</v>
      </c>
      <c r="X93" s="4" t="s">
        <v>616</v>
      </c>
      <c r="Y93" s="15" t="s">
        <v>1265</v>
      </c>
    </row>
    <row r="94" spans="1:25" s="4" customFormat="1" ht="15" customHeight="1">
      <c r="A94" s="93" t="s">
        <v>1256</v>
      </c>
      <c r="B94" s="68" t="s">
        <v>478</v>
      </c>
      <c r="C94" s="47" t="s">
        <v>1664</v>
      </c>
      <c r="D94" s="58"/>
      <c r="E94" s="26">
        <v>44690</v>
      </c>
      <c r="F94" s="2">
        <f t="shared" si="4"/>
        <v>44704</v>
      </c>
      <c r="G94" s="2"/>
      <c r="H94" s="66">
        <v>31</v>
      </c>
      <c r="I94" s="46" t="s">
        <v>1665</v>
      </c>
      <c r="J94" s="46" t="s">
        <v>434</v>
      </c>
      <c r="K94" s="46" t="s">
        <v>31</v>
      </c>
      <c r="L94" s="46" t="s">
        <v>1666</v>
      </c>
      <c r="M94" s="46" t="s">
        <v>32</v>
      </c>
      <c r="N94" s="47"/>
      <c r="O94" s="46" t="s">
        <v>1662</v>
      </c>
      <c r="P94" s="46" t="s">
        <v>1667</v>
      </c>
      <c r="Q94" s="46"/>
      <c r="R94" s="50">
        <v>78480</v>
      </c>
      <c r="S94" s="1"/>
      <c r="T94" s="1"/>
      <c r="U94" s="1"/>
      <c r="V94" s="4" t="s">
        <v>1264</v>
      </c>
      <c r="W94" s="4" t="s">
        <v>1253</v>
      </c>
      <c r="X94" s="4" t="s">
        <v>616</v>
      </c>
      <c r="Y94" s="15" t="s">
        <v>1265</v>
      </c>
    </row>
    <row r="95" spans="1:25" s="4" customFormat="1" ht="15" customHeight="1">
      <c r="A95" s="92" t="s">
        <v>25</v>
      </c>
      <c r="B95" s="15" t="s">
        <v>478</v>
      </c>
      <c r="C95" s="29" t="s">
        <v>1668</v>
      </c>
      <c r="D95" s="1"/>
      <c r="E95" s="26">
        <v>44697</v>
      </c>
      <c r="F95" s="2">
        <f t="shared" si="4"/>
        <v>44711</v>
      </c>
      <c r="G95" s="15"/>
      <c r="H95" s="1">
        <v>6900</v>
      </c>
      <c r="I95" s="1" t="s">
        <v>1669</v>
      </c>
      <c r="J95" s="1" t="s">
        <v>207</v>
      </c>
      <c r="K95" s="1" t="s">
        <v>31</v>
      </c>
      <c r="L95" s="1">
        <v>85226</v>
      </c>
      <c r="M95" s="1" t="s">
        <v>32</v>
      </c>
      <c r="O95" s="1" t="s">
        <v>487</v>
      </c>
      <c r="P95" s="1" t="s">
        <v>488</v>
      </c>
      <c r="Q95" s="87" t="s">
        <v>1670</v>
      </c>
      <c r="R95" s="1">
        <v>91352</v>
      </c>
      <c r="V95" s="4" t="s">
        <v>36</v>
      </c>
      <c r="W95" s="4" t="s">
        <v>1277</v>
      </c>
      <c r="X95" s="1" t="s">
        <v>59</v>
      </c>
      <c r="Y95" s="15" t="s">
        <v>1330</v>
      </c>
    </row>
    <row r="96" spans="1:25" s="4" customFormat="1" ht="15" customHeight="1">
      <c r="A96" s="163" t="s">
        <v>25</v>
      </c>
      <c r="B96" s="15" t="s">
        <v>478</v>
      </c>
      <c r="C96" s="65" t="s">
        <v>1671</v>
      </c>
      <c r="D96" s="2"/>
      <c r="E96" s="2">
        <v>44784</v>
      </c>
      <c r="F96" s="132">
        <f t="shared" si="4"/>
        <v>44798</v>
      </c>
      <c r="G96" s="2"/>
      <c r="H96" s="1" t="s">
        <v>1672</v>
      </c>
      <c r="I96" s="15" t="s">
        <v>420</v>
      </c>
      <c r="J96" s="1" t="s">
        <v>398</v>
      </c>
      <c r="K96" s="1" t="s">
        <v>31</v>
      </c>
      <c r="L96" s="1">
        <v>85257</v>
      </c>
      <c r="M96" s="1" t="s">
        <v>32</v>
      </c>
      <c r="O96" s="1" t="s">
        <v>1673</v>
      </c>
      <c r="P96" s="1" t="s">
        <v>1674</v>
      </c>
      <c r="Q96" s="1"/>
      <c r="R96" s="1">
        <v>85767</v>
      </c>
      <c r="S96" s="1"/>
      <c r="T96" s="1"/>
      <c r="U96" s="1"/>
      <c r="V96" s="4" t="s">
        <v>36</v>
      </c>
      <c r="W96" s="4" t="s">
        <v>37</v>
      </c>
      <c r="X96" s="1" t="s">
        <v>59</v>
      </c>
      <c r="Y96" s="15" t="s">
        <v>39</v>
      </c>
    </row>
    <row r="97" spans="1:26" s="4" customFormat="1">
      <c r="A97" s="164" t="s">
        <v>1240</v>
      </c>
      <c r="B97" s="15" t="s">
        <v>478</v>
      </c>
      <c r="C97" s="29" t="s">
        <v>1675</v>
      </c>
      <c r="D97" s="1"/>
      <c r="E97" s="2">
        <v>44872</v>
      </c>
      <c r="F97" s="60">
        <f t="shared" si="4"/>
        <v>44886</v>
      </c>
      <c r="G97" s="26"/>
      <c r="H97" s="1" t="s">
        <v>184</v>
      </c>
      <c r="I97" s="15" t="s">
        <v>1676</v>
      </c>
      <c r="J97" s="1" t="s">
        <v>844</v>
      </c>
      <c r="K97" s="1" t="s">
        <v>31</v>
      </c>
      <c r="L97" s="1">
        <v>85338</v>
      </c>
      <c r="M97" s="1" t="s">
        <v>32</v>
      </c>
      <c r="N97" s="4" t="s">
        <v>1677</v>
      </c>
      <c r="O97" s="1" t="s">
        <v>1678</v>
      </c>
      <c r="P97" s="1" t="s">
        <v>1679</v>
      </c>
      <c r="Q97" s="87" t="s">
        <v>1680</v>
      </c>
      <c r="R97" s="1">
        <v>89414</v>
      </c>
      <c r="V97" s="4" t="s">
        <v>443</v>
      </c>
      <c r="W97" s="4" t="s">
        <v>37</v>
      </c>
      <c r="X97" s="4" t="s">
        <v>616</v>
      </c>
      <c r="Y97" s="167" t="s">
        <v>1247</v>
      </c>
      <c r="Z97" s="168"/>
    </row>
    <row r="98" spans="1:26" s="4" customFormat="1" ht="15" customHeight="1">
      <c r="A98" s="163" t="s">
        <v>25</v>
      </c>
      <c r="B98" s="29" t="s">
        <v>478</v>
      </c>
      <c r="C98" s="4" t="s">
        <v>1681</v>
      </c>
      <c r="D98" s="130">
        <v>44692</v>
      </c>
      <c r="E98" s="2">
        <v>44867</v>
      </c>
      <c r="F98" s="2">
        <f t="shared" si="4"/>
        <v>44881</v>
      </c>
      <c r="G98" s="2"/>
      <c r="H98" s="41">
        <v>18730</v>
      </c>
      <c r="I98" s="15" t="s">
        <v>1682</v>
      </c>
      <c r="J98" s="1" t="s">
        <v>129</v>
      </c>
      <c r="K98" s="1" t="s">
        <v>31</v>
      </c>
      <c r="L98" s="1">
        <v>85142</v>
      </c>
      <c r="M98" s="1" t="s">
        <v>32</v>
      </c>
      <c r="O98" s="1" t="s">
        <v>487</v>
      </c>
      <c r="P98" s="1" t="s">
        <v>488</v>
      </c>
      <c r="Q98" s="87" t="s">
        <v>489</v>
      </c>
      <c r="R98" s="31">
        <v>94372</v>
      </c>
      <c r="V98" s="4" t="s">
        <v>443</v>
      </c>
      <c r="W98" s="4" t="s">
        <v>37</v>
      </c>
      <c r="X98" s="1" t="s">
        <v>59</v>
      </c>
      <c r="Y98" s="167" t="s">
        <v>39</v>
      </c>
      <c r="Z98" s="168"/>
    </row>
    <row r="99" spans="1:26" s="4" customFormat="1" ht="15" customHeight="1">
      <c r="A99" s="93" t="s">
        <v>1256</v>
      </c>
      <c r="B99" s="70" t="s">
        <v>139</v>
      </c>
      <c r="C99" s="56" t="s">
        <v>1683</v>
      </c>
      <c r="D99" s="60"/>
      <c r="E99" s="26">
        <v>44687</v>
      </c>
      <c r="F99" s="2">
        <f t="shared" si="4"/>
        <v>44701</v>
      </c>
      <c r="G99" s="2"/>
      <c r="H99" s="54"/>
      <c r="I99" s="55" t="s">
        <v>1684</v>
      </c>
      <c r="J99" s="55" t="s">
        <v>1596</v>
      </c>
      <c r="K99" s="55" t="s">
        <v>31</v>
      </c>
      <c r="L99" s="55" t="s">
        <v>1685</v>
      </c>
      <c r="M99" s="55" t="s">
        <v>32</v>
      </c>
      <c r="N99" s="56"/>
      <c r="O99" s="55" t="s">
        <v>1686</v>
      </c>
      <c r="P99" s="55" t="s">
        <v>1687</v>
      </c>
      <c r="Q99" s="55"/>
      <c r="R99" s="57"/>
      <c r="V99" s="4" t="s">
        <v>1264</v>
      </c>
      <c r="W99" s="4" t="s">
        <v>1253</v>
      </c>
      <c r="X99" s="4" t="s">
        <v>616</v>
      </c>
      <c r="Y99" s="15" t="s">
        <v>1265</v>
      </c>
    </row>
    <row r="100" spans="1:26" s="4" customFormat="1">
      <c r="A100" s="164" t="s">
        <v>1240</v>
      </c>
      <c r="B100" s="4" t="s">
        <v>139</v>
      </c>
      <c r="C100" s="4" t="s">
        <v>1688</v>
      </c>
      <c r="D100" s="1"/>
      <c r="E100" s="4">
        <v>44820</v>
      </c>
      <c r="F100" s="1">
        <v>44834</v>
      </c>
      <c r="G100" s="1"/>
      <c r="H100" s="1"/>
      <c r="I100" s="1" t="s">
        <v>1689</v>
      </c>
      <c r="J100" s="1" t="s">
        <v>822</v>
      </c>
      <c r="K100" s="1" t="s">
        <v>31</v>
      </c>
      <c r="L100" s="1"/>
      <c r="M100" s="1" t="s">
        <v>32</v>
      </c>
      <c r="N100" s="1"/>
      <c r="O100" s="1" t="s">
        <v>1690</v>
      </c>
      <c r="P100" s="1" t="s">
        <v>1691</v>
      </c>
      <c r="Q100" s="1" t="s">
        <v>1692</v>
      </c>
      <c r="R100" s="1"/>
      <c r="V100" s="4" t="s">
        <v>443</v>
      </c>
      <c r="W100" s="4" t="s">
        <v>37</v>
      </c>
      <c r="X100" s="4" t="s">
        <v>616</v>
      </c>
      <c r="Y100" s="4" t="s">
        <v>1247</v>
      </c>
    </row>
    <row r="101" spans="1:26" s="4" customFormat="1" ht="15" customHeight="1">
      <c r="A101" s="1" t="s">
        <v>1693</v>
      </c>
      <c r="B101" s="15" t="s">
        <v>1694</v>
      </c>
      <c r="C101" s="29" t="s">
        <v>1695</v>
      </c>
      <c r="F101" s="1"/>
      <c r="G101" s="15"/>
      <c r="H101" s="1" t="s">
        <v>184</v>
      </c>
      <c r="I101" s="1" t="s">
        <v>1696</v>
      </c>
      <c r="J101" s="1" t="s">
        <v>1697</v>
      </c>
      <c r="K101" s="1" t="s">
        <v>31</v>
      </c>
      <c r="L101" s="1">
        <v>85323</v>
      </c>
      <c r="M101" s="1" t="s">
        <v>32</v>
      </c>
      <c r="O101" s="1" t="s">
        <v>1698</v>
      </c>
      <c r="P101" s="1" t="s">
        <v>1699</v>
      </c>
      <c r="Q101" s="87" t="s">
        <v>1700</v>
      </c>
      <c r="R101" s="1">
        <v>92276</v>
      </c>
    </row>
    <row r="102" spans="1:26" s="4" customFormat="1" ht="15" customHeight="1">
      <c r="A102" s="92" t="s">
        <v>25</v>
      </c>
      <c r="B102" s="29" t="s">
        <v>1701</v>
      </c>
      <c r="C102" s="4" t="s">
        <v>1702</v>
      </c>
      <c r="D102" s="2"/>
      <c r="E102" s="26">
        <v>44530</v>
      </c>
      <c r="F102" s="2">
        <f>E102+14</f>
        <v>44544</v>
      </c>
      <c r="G102" s="2"/>
      <c r="H102" s="41">
        <v>1358</v>
      </c>
      <c r="I102" s="1" t="s">
        <v>1703</v>
      </c>
      <c r="J102" s="1" t="s">
        <v>49</v>
      </c>
      <c r="K102" s="1" t="s">
        <v>31</v>
      </c>
      <c r="L102" s="1">
        <v>85297</v>
      </c>
      <c r="M102" s="1" t="s">
        <v>32</v>
      </c>
      <c r="N102" s="1" t="s">
        <v>1227</v>
      </c>
      <c r="O102" s="1" t="s">
        <v>1704</v>
      </c>
      <c r="P102" s="1" t="s">
        <v>1705</v>
      </c>
      <c r="Q102" s="87" t="s">
        <v>1706</v>
      </c>
      <c r="R102" s="31">
        <v>87943</v>
      </c>
      <c r="S102" s="1"/>
      <c r="T102" s="1"/>
      <c r="U102" s="1"/>
      <c r="V102" s="4" t="s">
        <v>36</v>
      </c>
      <c r="W102" s="4" t="s">
        <v>1277</v>
      </c>
      <c r="X102" s="1" t="s">
        <v>59</v>
      </c>
      <c r="Y102" s="15" t="s">
        <v>1330</v>
      </c>
    </row>
    <row r="103" spans="1:26" s="4" customFormat="1" ht="15.75">
      <c r="A103" s="4" t="s">
        <v>1266</v>
      </c>
      <c r="B103" s="4" t="s">
        <v>1707</v>
      </c>
      <c r="C103" s="29" t="s">
        <v>1708</v>
      </c>
      <c r="D103" s="1"/>
      <c r="E103" s="26">
        <v>44264</v>
      </c>
      <c r="F103" s="71">
        <f>E103+14</f>
        <v>44278</v>
      </c>
      <c r="G103" s="1" t="s">
        <v>364</v>
      </c>
      <c r="H103" s="1">
        <v>1358</v>
      </c>
      <c r="I103" s="1" t="s">
        <v>1703</v>
      </c>
      <c r="J103" s="1" t="s">
        <v>49</v>
      </c>
      <c r="K103" s="1" t="s">
        <v>31</v>
      </c>
      <c r="L103" s="1">
        <v>85297</v>
      </c>
      <c r="M103" s="1" t="s">
        <v>32</v>
      </c>
      <c r="N103" s="1" t="s">
        <v>1227</v>
      </c>
      <c r="O103" s="1" t="s">
        <v>1704</v>
      </c>
      <c r="P103" s="1" t="s">
        <v>1705</v>
      </c>
      <c r="Q103" s="1"/>
      <c r="R103" s="1"/>
      <c r="S103" s="9"/>
      <c r="T103" s="18" t="s">
        <v>443</v>
      </c>
      <c r="U103" s="19" t="s">
        <v>1253</v>
      </c>
      <c r="V103" s="4" t="s">
        <v>1254</v>
      </c>
      <c r="W103" s="4" t="s">
        <v>1255</v>
      </c>
    </row>
    <row r="104" spans="1:26" s="4" customFormat="1" ht="15" customHeight="1">
      <c r="A104" s="4" t="s">
        <v>1280</v>
      </c>
      <c r="B104" s="4" t="s">
        <v>1709</v>
      </c>
      <c r="C104" s="4" t="s">
        <v>1710</v>
      </c>
      <c r="D104" s="1"/>
      <c r="E104" s="26">
        <v>43703</v>
      </c>
      <c r="F104" s="2">
        <f>E104+14</f>
        <v>43717</v>
      </c>
      <c r="G104" s="1" t="s">
        <v>364</v>
      </c>
      <c r="H104" s="1">
        <v>7720</v>
      </c>
      <c r="I104" s="33" t="s">
        <v>1260</v>
      </c>
      <c r="J104" s="33" t="s">
        <v>851</v>
      </c>
      <c r="K104" s="33" t="s">
        <v>31</v>
      </c>
      <c r="L104" s="33" t="s">
        <v>1711</v>
      </c>
      <c r="M104" s="1" t="s">
        <v>32</v>
      </c>
      <c r="N104" s="1" t="s">
        <v>1227</v>
      </c>
      <c r="O104" s="33" t="s">
        <v>1712</v>
      </c>
      <c r="P104" s="38" t="s">
        <v>1713</v>
      </c>
      <c r="Q104" s="37"/>
      <c r="R104" s="37">
        <v>68716</v>
      </c>
      <c r="S104" s="9"/>
      <c r="T104" s="18" t="s">
        <v>443</v>
      </c>
      <c r="U104" s="19" t="s">
        <v>1253</v>
      </c>
      <c r="V104" s="4" t="s">
        <v>1254</v>
      </c>
      <c r="W104" s="4" t="s">
        <v>1255</v>
      </c>
    </row>
    <row r="105" spans="1:26" s="4" customFormat="1" ht="15" customHeight="1">
      <c r="A105" s="93" t="s">
        <v>1256</v>
      </c>
      <c r="B105" s="68" t="s">
        <v>1714</v>
      </c>
      <c r="C105" s="47" t="s">
        <v>1715</v>
      </c>
      <c r="D105" s="58"/>
      <c r="E105" s="26">
        <v>44524</v>
      </c>
      <c r="F105" s="2">
        <f>E105+14</f>
        <v>44538</v>
      </c>
      <c r="G105" s="2"/>
      <c r="H105" s="66">
        <v>6055</v>
      </c>
      <c r="I105" s="33" t="s">
        <v>1716</v>
      </c>
      <c r="J105" s="46" t="s">
        <v>434</v>
      </c>
      <c r="K105" s="46" t="s">
        <v>31</v>
      </c>
      <c r="L105" s="46" t="s">
        <v>1717</v>
      </c>
      <c r="M105" s="1" t="s">
        <v>32</v>
      </c>
      <c r="N105" s="1" t="s">
        <v>1227</v>
      </c>
      <c r="O105" s="46" t="s">
        <v>1718</v>
      </c>
      <c r="P105" s="46" t="s">
        <v>1719</v>
      </c>
      <c r="Q105" s="46"/>
      <c r="R105" s="50">
        <v>82819</v>
      </c>
      <c r="V105" s="4" t="s">
        <v>1264</v>
      </c>
      <c r="W105" s="4" t="s">
        <v>1253</v>
      </c>
      <c r="X105" s="4" t="s">
        <v>616</v>
      </c>
      <c r="Y105" s="15" t="s">
        <v>1265</v>
      </c>
    </row>
    <row r="106" spans="1:26" s="4" customFormat="1" ht="15" customHeight="1">
      <c r="A106" s="4" t="s">
        <v>1280</v>
      </c>
      <c r="B106" s="4" t="s">
        <v>1720</v>
      </c>
      <c r="C106" s="4" t="s">
        <v>1721</v>
      </c>
      <c r="D106" s="2" t="s">
        <v>364</v>
      </c>
      <c r="E106" s="26" t="s">
        <v>1722</v>
      </c>
      <c r="F106" s="1" t="s">
        <v>1723</v>
      </c>
      <c r="G106" s="1" t="s">
        <v>364</v>
      </c>
      <c r="H106" s="1">
        <v>1209</v>
      </c>
      <c r="I106" s="1" t="s">
        <v>1724</v>
      </c>
      <c r="J106" s="33" t="s">
        <v>434</v>
      </c>
      <c r="K106" s="33" t="s">
        <v>31</v>
      </c>
      <c r="L106" s="127">
        <v>85014</v>
      </c>
      <c r="M106" s="1" t="s">
        <v>32</v>
      </c>
      <c r="N106" s="1" t="s">
        <v>1227</v>
      </c>
      <c r="O106" s="33" t="s">
        <v>1725</v>
      </c>
      <c r="P106" s="11" t="s">
        <v>1726</v>
      </c>
      <c r="Q106" s="52"/>
      <c r="R106" s="127">
        <v>75396</v>
      </c>
      <c r="S106" s="9"/>
      <c r="T106" s="18" t="s">
        <v>1276</v>
      </c>
      <c r="U106" s="19" t="s">
        <v>1277</v>
      </c>
      <c r="V106" s="4" t="s">
        <v>1278</v>
      </c>
      <c r="W106" s="4" t="s">
        <v>1279</v>
      </c>
    </row>
    <row r="107" spans="1:26" s="4" customFormat="1" ht="15" customHeight="1">
      <c r="A107" s="4" t="s">
        <v>1280</v>
      </c>
      <c r="B107" s="4" t="s">
        <v>1720</v>
      </c>
      <c r="C107" s="4" t="s">
        <v>1727</v>
      </c>
      <c r="D107" s="1"/>
      <c r="E107" s="26">
        <v>43682</v>
      </c>
      <c r="F107" s="2">
        <f>E107+14</f>
        <v>43696</v>
      </c>
      <c r="G107" s="1" t="s">
        <v>364</v>
      </c>
      <c r="H107" s="1">
        <v>4525</v>
      </c>
      <c r="I107" s="33" t="s">
        <v>1728</v>
      </c>
      <c r="J107" s="33" t="s">
        <v>434</v>
      </c>
      <c r="K107" s="33" t="s">
        <v>31</v>
      </c>
      <c r="L107" s="33" t="s">
        <v>1729</v>
      </c>
      <c r="M107" s="1" t="s">
        <v>32</v>
      </c>
      <c r="N107" s="1" t="s">
        <v>1227</v>
      </c>
      <c r="O107" s="33" t="s">
        <v>1730</v>
      </c>
      <c r="P107" s="38" t="s">
        <v>1731</v>
      </c>
      <c r="Q107" s="11"/>
      <c r="R107" s="11">
        <v>70138</v>
      </c>
      <c r="S107" s="9"/>
      <c r="T107" s="18" t="s">
        <v>1276</v>
      </c>
      <c r="U107" s="19" t="s">
        <v>1277</v>
      </c>
      <c r="V107" s="4" t="s">
        <v>1278</v>
      </c>
      <c r="W107" s="4" t="s">
        <v>1279</v>
      </c>
    </row>
    <row r="108" spans="1:26" s="4" customFormat="1" ht="15" customHeight="1">
      <c r="A108" s="4" t="s">
        <v>1266</v>
      </c>
      <c r="B108" s="4" t="s">
        <v>1720</v>
      </c>
      <c r="C108" s="4" t="s">
        <v>1732</v>
      </c>
      <c r="D108" s="1"/>
      <c r="E108" s="26">
        <v>43706</v>
      </c>
      <c r="F108" s="2">
        <f>E108+14</f>
        <v>43720</v>
      </c>
      <c r="G108" s="1" t="s">
        <v>364</v>
      </c>
      <c r="H108" s="1">
        <v>6937</v>
      </c>
      <c r="I108" s="33" t="s">
        <v>1733</v>
      </c>
      <c r="J108" s="33" t="s">
        <v>63</v>
      </c>
      <c r="K108" s="33" t="s">
        <v>31</v>
      </c>
      <c r="L108" s="33" t="s">
        <v>1533</v>
      </c>
      <c r="M108" s="1" t="s">
        <v>32</v>
      </c>
      <c r="N108" s="1" t="s">
        <v>1227</v>
      </c>
      <c r="O108" s="33" t="s">
        <v>1734</v>
      </c>
      <c r="P108" s="38" t="s">
        <v>1735</v>
      </c>
      <c r="Q108" s="11"/>
      <c r="R108" s="11">
        <v>72316</v>
      </c>
      <c r="S108" s="9"/>
      <c r="T108" s="18" t="s">
        <v>443</v>
      </c>
      <c r="U108" s="19" t="s">
        <v>1253</v>
      </c>
      <c r="V108" s="4" t="s">
        <v>1254</v>
      </c>
      <c r="W108" s="4" t="s">
        <v>1255</v>
      </c>
    </row>
    <row r="109" spans="1:26" s="4" customFormat="1" ht="15" customHeight="1">
      <c r="A109" s="4" t="s">
        <v>1224</v>
      </c>
      <c r="B109" s="29" t="s">
        <v>1720</v>
      </c>
      <c r="C109" s="29" t="s">
        <v>1736</v>
      </c>
      <c r="D109" s="1"/>
      <c r="E109" s="26">
        <v>43657</v>
      </c>
      <c r="F109" s="2">
        <f>E109+14</f>
        <v>43671</v>
      </c>
      <c r="G109" s="1" t="s">
        <v>364</v>
      </c>
      <c r="H109" s="1">
        <v>10205</v>
      </c>
      <c r="I109" s="1" t="s">
        <v>1737</v>
      </c>
      <c r="J109" s="1" t="s">
        <v>916</v>
      </c>
      <c r="K109" s="1" t="s">
        <v>31</v>
      </c>
      <c r="L109" s="1">
        <v>85704</v>
      </c>
      <c r="M109" s="1" t="s">
        <v>32</v>
      </c>
      <c r="N109" s="1" t="s">
        <v>1227</v>
      </c>
      <c r="O109" s="1"/>
      <c r="P109" s="1"/>
      <c r="Q109" s="1"/>
      <c r="R109" s="1"/>
      <c r="S109" s="9"/>
      <c r="T109" s="18" t="s">
        <v>1276</v>
      </c>
      <c r="U109" s="19" t="s">
        <v>1277</v>
      </c>
      <c r="V109" s="4" t="s">
        <v>1278</v>
      </c>
      <c r="W109" s="4" t="s">
        <v>1279</v>
      </c>
    </row>
    <row r="110" spans="1:26" s="4" customFormat="1" ht="15.75">
      <c r="A110" s="4" t="s">
        <v>1266</v>
      </c>
      <c r="B110" s="29" t="s">
        <v>1720</v>
      </c>
      <c r="C110" s="29" t="s">
        <v>1738</v>
      </c>
      <c r="D110" s="1"/>
      <c r="E110" s="26">
        <v>43963</v>
      </c>
      <c r="F110" s="2">
        <f>E110+14</f>
        <v>43977</v>
      </c>
      <c r="G110" s="1" t="s">
        <v>364</v>
      </c>
      <c r="H110" s="1">
        <v>24759</v>
      </c>
      <c r="I110" s="1" t="s">
        <v>1739</v>
      </c>
      <c r="J110" s="1" t="s">
        <v>129</v>
      </c>
      <c r="K110" s="1" t="s">
        <v>31</v>
      </c>
      <c r="L110" s="1">
        <v>85142</v>
      </c>
      <c r="M110" s="1" t="s">
        <v>32</v>
      </c>
      <c r="N110" s="1" t="s">
        <v>1227</v>
      </c>
      <c r="O110" s="1" t="s">
        <v>1740</v>
      </c>
      <c r="P110" s="1" t="s">
        <v>1741</v>
      </c>
      <c r="Q110" s="1"/>
      <c r="R110" s="1">
        <v>74942</v>
      </c>
      <c r="T110" s="18" t="s">
        <v>1276</v>
      </c>
      <c r="U110" s="19" t="s">
        <v>1277</v>
      </c>
      <c r="V110" s="4" t="s">
        <v>1278</v>
      </c>
      <c r="W110" s="4" t="s">
        <v>1279</v>
      </c>
    </row>
    <row r="111" spans="1:26" s="4" customFormat="1" ht="15" customHeight="1">
      <c r="A111" s="4" t="s">
        <v>1546</v>
      </c>
      <c r="B111" s="69" t="s">
        <v>144</v>
      </c>
      <c r="C111" s="47" t="s">
        <v>1742</v>
      </c>
      <c r="D111" s="46"/>
      <c r="E111" s="138"/>
      <c r="F111" s="58"/>
      <c r="G111" s="45" t="s">
        <v>364</v>
      </c>
      <c r="H111" s="45" t="s">
        <v>1743</v>
      </c>
      <c r="I111" s="33" t="s">
        <v>1737</v>
      </c>
      <c r="J111" s="46" t="s">
        <v>916</v>
      </c>
      <c r="K111" s="46" t="s">
        <v>31</v>
      </c>
      <c r="L111" s="46" t="s">
        <v>1744</v>
      </c>
      <c r="M111" s="1" t="s">
        <v>32</v>
      </c>
      <c r="N111" s="1" t="s">
        <v>1227</v>
      </c>
      <c r="O111" s="46" t="s">
        <v>364</v>
      </c>
      <c r="P111" s="46"/>
      <c r="Q111" s="50"/>
      <c r="R111" s="50"/>
      <c r="S111" s="9"/>
      <c r="T111" s="18" t="s">
        <v>1276</v>
      </c>
      <c r="U111" s="19" t="s">
        <v>1277</v>
      </c>
      <c r="V111" s="4" t="s">
        <v>1278</v>
      </c>
      <c r="W111" s="4" t="s">
        <v>1279</v>
      </c>
    </row>
    <row r="112" spans="1:26" s="4" customFormat="1" ht="30">
      <c r="A112" s="4" t="s">
        <v>1256</v>
      </c>
      <c r="B112" s="68" t="s">
        <v>144</v>
      </c>
      <c r="C112" s="47" t="s">
        <v>1745</v>
      </c>
      <c r="D112" s="46"/>
      <c r="E112" s="138">
        <v>44169</v>
      </c>
      <c r="F112" s="2">
        <f>E112+14</f>
        <v>44183</v>
      </c>
      <c r="G112" s="66" t="s">
        <v>364</v>
      </c>
      <c r="H112" s="66">
        <v>2675</v>
      </c>
      <c r="I112" s="33" t="s">
        <v>1746</v>
      </c>
      <c r="J112" s="46" t="s">
        <v>1747</v>
      </c>
      <c r="K112" s="46" t="s">
        <v>31</v>
      </c>
      <c r="L112" s="46"/>
      <c r="M112" s="1" t="s">
        <v>32</v>
      </c>
      <c r="N112" s="1" t="s">
        <v>1227</v>
      </c>
      <c r="O112" s="46" t="s">
        <v>1734</v>
      </c>
      <c r="P112" s="46" t="s">
        <v>1748</v>
      </c>
      <c r="Q112" s="50"/>
      <c r="R112" s="50">
        <v>82672</v>
      </c>
    </row>
    <row r="113" spans="1:25" s="4" customFormat="1" ht="15" customHeight="1">
      <c r="A113" s="4" t="s">
        <v>1256</v>
      </c>
      <c r="B113" s="69" t="s">
        <v>144</v>
      </c>
      <c r="C113" s="5" t="s">
        <v>1749</v>
      </c>
      <c r="D113" s="33"/>
      <c r="E113" s="139">
        <v>44216</v>
      </c>
      <c r="F113" s="2">
        <f>E113+14</f>
        <v>44230</v>
      </c>
      <c r="G113" s="73" t="s">
        <v>364</v>
      </c>
      <c r="H113" s="73">
        <v>38739</v>
      </c>
      <c r="I113" s="73" t="s">
        <v>1750</v>
      </c>
      <c r="J113" s="33" t="s">
        <v>1751</v>
      </c>
      <c r="K113" s="33" t="s">
        <v>31</v>
      </c>
      <c r="L113" s="33" t="s">
        <v>1752</v>
      </c>
      <c r="M113" s="1" t="s">
        <v>32</v>
      </c>
      <c r="N113" s="1" t="s">
        <v>1227</v>
      </c>
      <c r="O113" s="33" t="s">
        <v>1753</v>
      </c>
      <c r="P113" s="33" t="s">
        <v>1741</v>
      </c>
      <c r="Q113" s="37"/>
      <c r="R113" s="37">
        <v>84801</v>
      </c>
      <c r="T113" s="18" t="s">
        <v>1276</v>
      </c>
      <c r="U113" s="19" t="s">
        <v>1277</v>
      </c>
      <c r="V113" s="4" t="s">
        <v>1278</v>
      </c>
      <c r="W113" s="4" t="s">
        <v>1279</v>
      </c>
    </row>
    <row r="114" spans="1:25" s="4" customFormat="1" ht="15" customHeight="1">
      <c r="A114" s="4" t="s">
        <v>1266</v>
      </c>
      <c r="B114" s="69" t="s">
        <v>144</v>
      </c>
      <c r="C114" s="29" t="s">
        <v>1754</v>
      </c>
      <c r="D114" s="1"/>
      <c r="E114" s="26">
        <v>44293</v>
      </c>
      <c r="F114" s="2">
        <f>E114+14</f>
        <v>44307</v>
      </c>
      <c r="G114" s="1" t="s">
        <v>364</v>
      </c>
      <c r="H114" s="1">
        <v>3065</v>
      </c>
      <c r="I114" s="1" t="s">
        <v>1755</v>
      </c>
      <c r="J114" s="1" t="s">
        <v>63</v>
      </c>
      <c r="K114" s="1" t="s">
        <v>31</v>
      </c>
      <c r="L114" s="1">
        <v>85212</v>
      </c>
      <c r="M114" s="1" t="s">
        <v>32</v>
      </c>
      <c r="N114" s="1" t="s">
        <v>1227</v>
      </c>
      <c r="O114" s="1" t="s">
        <v>1756</v>
      </c>
      <c r="P114" s="1" t="s">
        <v>1757</v>
      </c>
      <c r="Q114" s="1"/>
      <c r="R114" s="1"/>
      <c r="S114" s="11"/>
      <c r="T114" s="18" t="s">
        <v>443</v>
      </c>
      <c r="U114" s="19" t="s">
        <v>1253</v>
      </c>
      <c r="V114" s="4" t="s">
        <v>1254</v>
      </c>
      <c r="W114" s="4" t="s">
        <v>1255</v>
      </c>
    </row>
    <row r="115" spans="1:25" s="4" customFormat="1" ht="15" customHeight="1">
      <c r="A115" s="4" t="s">
        <v>1309</v>
      </c>
      <c r="B115" s="69" t="s">
        <v>144</v>
      </c>
      <c r="C115" s="29" t="s">
        <v>1758</v>
      </c>
      <c r="D115" s="1"/>
      <c r="E115" s="26">
        <v>44341</v>
      </c>
      <c r="F115" s="2">
        <f>E115+14</f>
        <v>44355</v>
      </c>
      <c r="G115" s="1" t="s">
        <v>364</v>
      </c>
      <c r="H115" s="1">
        <v>5545</v>
      </c>
      <c r="I115" s="1" t="s">
        <v>1759</v>
      </c>
      <c r="J115" s="1" t="s">
        <v>49</v>
      </c>
      <c r="K115" s="1" t="s">
        <v>31</v>
      </c>
      <c r="L115" s="1"/>
      <c r="M115" s="1" t="s">
        <v>32</v>
      </c>
      <c r="N115" s="1" t="s">
        <v>1227</v>
      </c>
      <c r="O115" s="1" t="s">
        <v>1760</v>
      </c>
      <c r="P115" s="1" t="s">
        <v>148</v>
      </c>
      <c r="Q115" s="1"/>
      <c r="R115" s="1">
        <v>79809</v>
      </c>
      <c r="S115" s="51"/>
    </row>
    <row r="116" spans="1:25" s="4" customFormat="1" ht="15" customHeight="1">
      <c r="A116" s="4" t="s">
        <v>1546</v>
      </c>
      <c r="B116" s="69" t="s">
        <v>144</v>
      </c>
      <c r="C116" s="47" t="s">
        <v>1761</v>
      </c>
      <c r="D116" s="46"/>
      <c r="E116" s="138"/>
      <c r="F116" s="58"/>
      <c r="G116" s="66" t="s">
        <v>364</v>
      </c>
      <c r="H116" s="66">
        <v>670</v>
      </c>
      <c r="I116" s="33" t="s">
        <v>1762</v>
      </c>
      <c r="J116" s="46" t="s">
        <v>1763</v>
      </c>
      <c r="K116" s="46" t="s">
        <v>31</v>
      </c>
      <c r="L116" s="67">
        <v>85629</v>
      </c>
      <c r="M116" s="1" t="s">
        <v>32</v>
      </c>
      <c r="N116" s="1" t="s">
        <v>1227</v>
      </c>
      <c r="O116" s="46" t="s">
        <v>1764</v>
      </c>
      <c r="P116" s="46" t="s">
        <v>1765</v>
      </c>
      <c r="Q116" s="46"/>
      <c r="R116" s="50">
        <v>82056</v>
      </c>
      <c r="S116" s="9"/>
    </row>
    <row r="117" spans="1:25" s="4" customFormat="1" ht="15" customHeight="1">
      <c r="A117" s="4" t="s">
        <v>1309</v>
      </c>
      <c r="B117" s="69" t="s">
        <v>144</v>
      </c>
      <c r="C117" s="47" t="s">
        <v>1766</v>
      </c>
      <c r="D117" s="46"/>
      <c r="E117" s="26">
        <v>44384</v>
      </c>
      <c r="F117" s="71">
        <f>E117+14</f>
        <v>44398</v>
      </c>
      <c r="G117" s="66" t="s">
        <v>364</v>
      </c>
      <c r="H117" s="66">
        <v>2250</v>
      </c>
      <c r="I117" s="33" t="s">
        <v>1767</v>
      </c>
      <c r="J117" s="46" t="s">
        <v>415</v>
      </c>
      <c r="K117" s="46" t="s">
        <v>31</v>
      </c>
      <c r="L117" s="67">
        <v>85282</v>
      </c>
      <c r="M117" s="1" t="s">
        <v>32</v>
      </c>
      <c r="N117" s="1" t="s">
        <v>1227</v>
      </c>
      <c r="O117" s="46" t="s">
        <v>1768</v>
      </c>
      <c r="P117" s="46" t="s">
        <v>1769</v>
      </c>
      <c r="Q117" s="46"/>
      <c r="R117" s="50" t="s">
        <v>364</v>
      </c>
      <c r="S117" s="9"/>
      <c r="T117" s="18" t="s">
        <v>443</v>
      </c>
      <c r="U117" s="19" t="s">
        <v>1253</v>
      </c>
      <c r="V117" s="4" t="s">
        <v>1254</v>
      </c>
      <c r="W117" s="4" t="s">
        <v>1255</v>
      </c>
    </row>
    <row r="118" spans="1:25" s="4" customFormat="1" ht="15.75">
      <c r="A118" s="4" t="s">
        <v>1546</v>
      </c>
      <c r="B118" s="29" t="s">
        <v>144</v>
      </c>
      <c r="C118" s="4" t="s">
        <v>1770</v>
      </c>
      <c r="D118" s="1"/>
      <c r="E118" s="26"/>
      <c r="F118" s="2"/>
      <c r="G118" s="41" t="s">
        <v>364</v>
      </c>
      <c r="H118" s="41">
        <v>1412</v>
      </c>
      <c r="I118" s="1" t="s">
        <v>1771</v>
      </c>
      <c r="J118" s="1" t="s">
        <v>1772</v>
      </c>
      <c r="K118" s="1" t="s">
        <v>31</v>
      </c>
      <c r="L118" s="1">
        <v>85648</v>
      </c>
      <c r="M118" s="1" t="s">
        <v>32</v>
      </c>
      <c r="N118" s="1" t="s">
        <v>1227</v>
      </c>
      <c r="O118" s="1" t="s">
        <v>1773</v>
      </c>
      <c r="P118" s="1" t="s">
        <v>1774</v>
      </c>
      <c r="Q118" s="83" t="s">
        <v>1775</v>
      </c>
      <c r="R118" s="31">
        <v>88683</v>
      </c>
      <c r="S118" s="9"/>
      <c r="T118" s="18" t="s">
        <v>443</v>
      </c>
      <c r="U118" s="19" t="s">
        <v>1253</v>
      </c>
      <c r="V118" s="4" t="s">
        <v>1254</v>
      </c>
      <c r="W118" s="4" t="s">
        <v>1255</v>
      </c>
    </row>
    <row r="119" spans="1:25" s="4" customFormat="1" ht="15.75">
      <c r="A119" s="93" t="s">
        <v>1256</v>
      </c>
      <c r="B119" s="69" t="s">
        <v>144</v>
      </c>
      <c r="C119" s="5" t="s">
        <v>1776</v>
      </c>
      <c r="D119" s="59"/>
      <c r="E119" s="26">
        <v>44547</v>
      </c>
      <c r="F119" s="2">
        <f t="shared" ref="F119:F132" si="5">E119+14</f>
        <v>44561</v>
      </c>
      <c r="G119" s="2"/>
      <c r="H119" s="49">
        <v>8590</v>
      </c>
      <c r="I119" s="33" t="s">
        <v>1286</v>
      </c>
      <c r="J119" s="33" t="s">
        <v>851</v>
      </c>
      <c r="K119" s="33" t="s">
        <v>31</v>
      </c>
      <c r="L119" s="33" t="s">
        <v>1777</v>
      </c>
      <c r="M119" s="1" t="s">
        <v>32</v>
      </c>
      <c r="N119" s="1" t="s">
        <v>1227</v>
      </c>
      <c r="O119" s="33" t="s">
        <v>1778</v>
      </c>
      <c r="P119" s="33" t="s">
        <v>1779</v>
      </c>
      <c r="Q119" s="82" t="s">
        <v>1780</v>
      </c>
      <c r="R119" s="37">
        <v>87178</v>
      </c>
      <c r="S119" s="47"/>
      <c r="T119" s="47"/>
      <c r="U119" s="51"/>
      <c r="V119" s="4" t="s">
        <v>1264</v>
      </c>
      <c r="W119" s="4" t="s">
        <v>1253</v>
      </c>
      <c r="X119" s="4" t="s">
        <v>616</v>
      </c>
      <c r="Y119" s="15" t="s">
        <v>1265</v>
      </c>
    </row>
    <row r="120" spans="1:25" s="4" customFormat="1" ht="15" customHeight="1">
      <c r="A120" s="92" t="s">
        <v>25</v>
      </c>
      <c r="B120" s="15" t="s">
        <v>144</v>
      </c>
      <c r="C120" s="29" t="s">
        <v>1781</v>
      </c>
      <c r="D120" s="1" t="s">
        <v>364</v>
      </c>
      <c r="E120" s="26">
        <v>44659</v>
      </c>
      <c r="F120" s="2">
        <f t="shared" si="5"/>
        <v>44673</v>
      </c>
      <c r="G120" s="26"/>
      <c r="H120" s="1">
        <v>1595</v>
      </c>
      <c r="I120" s="1" t="s">
        <v>1782</v>
      </c>
      <c r="J120" s="1" t="s">
        <v>69</v>
      </c>
      <c r="K120" s="1" t="s">
        <v>31</v>
      </c>
      <c r="L120" s="1">
        <v>85286</v>
      </c>
      <c r="M120" s="1" t="s">
        <v>32</v>
      </c>
      <c r="N120" s="4" t="s">
        <v>364</v>
      </c>
      <c r="O120" s="1" t="s">
        <v>1783</v>
      </c>
      <c r="P120" s="1" t="s">
        <v>1784</v>
      </c>
      <c r="Q120" s="87" t="s">
        <v>1785</v>
      </c>
      <c r="R120" s="1">
        <v>90257</v>
      </c>
      <c r="V120" s="4" t="s">
        <v>36</v>
      </c>
      <c r="W120" s="4" t="s">
        <v>1277</v>
      </c>
      <c r="X120" s="1" t="s">
        <v>59</v>
      </c>
      <c r="Y120" s="15" t="s">
        <v>1330</v>
      </c>
    </row>
    <row r="121" spans="1:25" s="4" customFormat="1" ht="15" customHeight="1">
      <c r="A121" s="4" t="s">
        <v>1266</v>
      </c>
      <c r="B121" s="4" t="s">
        <v>1786</v>
      </c>
      <c r="C121" s="4" t="s">
        <v>1787</v>
      </c>
      <c r="D121" s="2">
        <v>43689</v>
      </c>
      <c r="E121" s="26">
        <v>43791</v>
      </c>
      <c r="F121" s="2">
        <f t="shared" si="5"/>
        <v>43805</v>
      </c>
      <c r="G121" s="1"/>
      <c r="H121" s="1"/>
      <c r="I121" s="1" t="s">
        <v>1788</v>
      </c>
      <c r="J121" s="1" t="s">
        <v>69</v>
      </c>
      <c r="K121" s="1" t="s">
        <v>31</v>
      </c>
      <c r="L121" s="1">
        <v>85286</v>
      </c>
      <c r="M121" s="1" t="s">
        <v>32</v>
      </c>
      <c r="N121" s="1" t="s">
        <v>1227</v>
      </c>
      <c r="O121" s="1"/>
      <c r="P121" s="31"/>
      <c r="Q121" s="1"/>
      <c r="R121" s="1"/>
      <c r="S121" s="9"/>
      <c r="T121" s="18" t="s">
        <v>443</v>
      </c>
      <c r="U121" s="19" t="s">
        <v>1253</v>
      </c>
      <c r="V121" s="4" t="s">
        <v>1254</v>
      </c>
      <c r="W121" s="4" t="s">
        <v>1255</v>
      </c>
    </row>
    <row r="122" spans="1:25" s="4" customFormat="1" ht="15" customHeight="1">
      <c r="A122" s="4" t="s">
        <v>1266</v>
      </c>
      <c r="B122" s="29" t="s">
        <v>150</v>
      </c>
      <c r="C122" s="29" t="s">
        <v>1789</v>
      </c>
      <c r="D122" s="1"/>
      <c r="E122" s="26">
        <v>43955</v>
      </c>
      <c r="F122" s="2">
        <f t="shared" si="5"/>
        <v>43969</v>
      </c>
      <c r="G122" s="1" t="s">
        <v>364</v>
      </c>
      <c r="H122" s="1">
        <v>9600</v>
      </c>
      <c r="I122" s="1" t="s">
        <v>1790</v>
      </c>
      <c r="J122" s="1" t="s">
        <v>63</v>
      </c>
      <c r="K122" s="1" t="s">
        <v>31</v>
      </c>
      <c r="L122" s="1">
        <v>85212</v>
      </c>
      <c r="M122" s="1" t="s">
        <v>32</v>
      </c>
      <c r="N122" s="1" t="s">
        <v>1227</v>
      </c>
      <c r="O122" s="1" t="s">
        <v>1791</v>
      </c>
      <c r="P122" s="1" t="s">
        <v>1792</v>
      </c>
      <c r="Q122" s="1"/>
      <c r="R122" s="1">
        <v>69651</v>
      </c>
    </row>
    <row r="123" spans="1:25" s="4" customFormat="1" ht="15" customHeight="1">
      <c r="A123" s="4" t="s">
        <v>1256</v>
      </c>
      <c r="B123" s="68" t="s">
        <v>150</v>
      </c>
      <c r="C123" s="47" t="s">
        <v>1793</v>
      </c>
      <c r="D123" s="46"/>
      <c r="E123" s="138">
        <v>44159</v>
      </c>
      <c r="F123" s="2">
        <f t="shared" si="5"/>
        <v>44173</v>
      </c>
      <c r="G123" s="66" t="s">
        <v>364</v>
      </c>
      <c r="H123" s="66">
        <v>18430</v>
      </c>
      <c r="I123" s="33" t="s">
        <v>843</v>
      </c>
      <c r="J123" s="46" t="s">
        <v>844</v>
      </c>
      <c r="K123" s="46" t="s">
        <v>31</v>
      </c>
      <c r="L123" s="46" t="s">
        <v>1685</v>
      </c>
      <c r="M123" s="1" t="s">
        <v>32</v>
      </c>
      <c r="N123" s="1" t="s">
        <v>1227</v>
      </c>
      <c r="O123" s="46" t="s">
        <v>1794</v>
      </c>
      <c r="P123" s="46" t="s">
        <v>1795</v>
      </c>
      <c r="Q123" s="74"/>
      <c r="R123" s="74" t="s">
        <v>364</v>
      </c>
      <c r="S123" s="1"/>
      <c r="T123" s="1" t="s">
        <v>1276</v>
      </c>
      <c r="U123" s="1" t="s">
        <v>1277</v>
      </c>
      <c r="V123" s="1" t="s">
        <v>1278</v>
      </c>
      <c r="W123" s="1" t="s">
        <v>1279</v>
      </c>
    </row>
    <row r="124" spans="1:25" s="4" customFormat="1" ht="15" customHeight="1">
      <c r="A124" s="4" t="s">
        <v>1256</v>
      </c>
      <c r="B124" s="68" t="s">
        <v>150</v>
      </c>
      <c r="C124" s="47" t="s">
        <v>1796</v>
      </c>
      <c r="D124" s="46"/>
      <c r="E124" s="138">
        <v>44243</v>
      </c>
      <c r="F124" s="2">
        <f t="shared" si="5"/>
        <v>44257</v>
      </c>
      <c r="G124" s="45" t="s">
        <v>364</v>
      </c>
      <c r="H124" s="45"/>
      <c r="I124" s="33" t="s">
        <v>1797</v>
      </c>
      <c r="J124" s="46" t="s">
        <v>844</v>
      </c>
      <c r="K124" s="46" t="s">
        <v>31</v>
      </c>
      <c r="L124" s="46" t="s">
        <v>1685</v>
      </c>
      <c r="M124" s="1" t="s">
        <v>32</v>
      </c>
      <c r="N124" s="1" t="s">
        <v>1227</v>
      </c>
      <c r="O124" s="46" t="s">
        <v>1798</v>
      </c>
      <c r="P124" s="46" t="s">
        <v>1799</v>
      </c>
      <c r="Q124" s="74"/>
      <c r="R124" s="74" t="s">
        <v>364</v>
      </c>
      <c r="S124" s="1"/>
      <c r="T124" s="1" t="s">
        <v>1276</v>
      </c>
      <c r="U124" s="1" t="s">
        <v>1277</v>
      </c>
      <c r="V124" s="1" t="s">
        <v>1278</v>
      </c>
      <c r="W124" s="1" t="s">
        <v>1279</v>
      </c>
    </row>
    <row r="125" spans="1:25" s="4" customFormat="1">
      <c r="A125" s="4" t="s">
        <v>1256</v>
      </c>
      <c r="B125" s="29" t="s">
        <v>150</v>
      </c>
      <c r="C125" s="29" t="s">
        <v>1800</v>
      </c>
      <c r="D125" s="1"/>
      <c r="E125" s="26">
        <v>44294</v>
      </c>
      <c r="F125" s="2">
        <f t="shared" si="5"/>
        <v>44308</v>
      </c>
      <c r="G125" s="1" t="s">
        <v>364</v>
      </c>
      <c r="H125" s="1">
        <v>8801</v>
      </c>
      <c r="I125" s="1" t="s">
        <v>1801</v>
      </c>
      <c r="J125" s="1" t="s">
        <v>427</v>
      </c>
      <c r="K125" s="1" t="s">
        <v>31</v>
      </c>
      <c r="L125" s="1">
        <v>85253</v>
      </c>
      <c r="M125" s="1" t="s">
        <v>32</v>
      </c>
      <c r="N125" s="1" t="s">
        <v>1227</v>
      </c>
      <c r="O125" s="1" t="s">
        <v>1802</v>
      </c>
      <c r="P125" s="1" t="s">
        <v>1803</v>
      </c>
      <c r="Q125" s="74"/>
      <c r="R125" s="74" t="s">
        <v>364</v>
      </c>
      <c r="S125" s="1"/>
      <c r="T125" s="1" t="s">
        <v>1276</v>
      </c>
      <c r="U125" s="1" t="s">
        <v>1277</v>
      </c>
      <c r="V125" s="1" t="s">
        <v>1278</v>
      </c>
      <c r="W125" s="1" t="s">
        <v>1279</v>
      </c>
    </row>
    <row r="126" spans="1:25" s="4" customFormat="1" ht="15.75" customHeight="1">
      <c r="A126" s="4" t="s">
        <v>1309</v>
      </c>
      <c r="B126" s="29" t="s">
        <v>150</v>
      </c>
      <c r="C126" s="29" t="s">
        <v>1804</v>
      </c>
      <c r="D126" s="1"/>
      <c r="E126" s="26">
        <v>44361</v>
      </c>
      <c r="F126" s="2">
        <f t="shared" si="5"/>
        <v>44375</v>
      </c>
      <c r="G126" s="1" t="s">
        <v>364</v>
      </c>
      <c r="H126" s="1"/>
      <c r="I126" s="1" t="s">
        <v>1805</v>
      </c>
      <c r="J126" s="1" t="s">
        <v>129</v>
      </c>
      <c r="K126" s="1" t="s">
        <v>31</v>
      </c>
      <c r="L126" s="1"/>
      <c r="M126" s="1" t="s">
        <v>32</v>
      </c>
      <c r="N126" s="1" t="s">
        <v>1227</v>
      </c>
      <c r="O126" s="1" t="s">
        <v>1806</v>
      </c>
      <c r="P126" s="1" t="s">
        <v>1807</v>
      </c>
      <c r="Q126" s="1" t="s">
        <v>364</v>
      </c>
      <c r="R126" s="1" t="s">
        <v>364</v>
      </c>
      <c r="S126" s="1"/>
      <c r="T126" s="1" t="s">
        <v>443</v>
      </c>
      <c r="U126" s="1" t="s">
        <v>1253</v>
      </c>
      <c r="V126" s="1" t="s">
        <v>1254</v>
      </c>
      <c r="W126" s="1" t="s">
        <v>1255</v>
      </c>
    </row>
    <row r="127" spans="1:25" s="4" customFormat="1" ht="15" customHeight="1">
      <c r="A127" s="4" t="s">
        <v>1309</v>
      </c>
      <c r="B127" s="69" t="s">
        <v>150</v>
      </c>
      <c r="C127" s="5" t="s">
        <v>1808</v>
      </c>
      <c r="D127" s="33"/>
      <c r="E127" s="26">
        <v>44361</v>
      </c>
      <c r="F127" s="60">
        <f t="shared" si="5"/>
        <v>44375</v>
      </c>
      <c r="G127" s="43" t="s">
        <v>364</v>
      </c>
      <c r="H127" s="43" t="s">
        <v>184</v>
      </c>
      <c r="I127" s="33" t="s">
        <v>1809</v>
      </c>
      <c r="J127" s="33" t="s">
        <v>129</v>
      </c>
      <c r="K127" s="33" t="s">
        <v>31</v>
      </c>
      <c r="L127" s="33"/>
      <c r="M127" s="1" t="s">
        <v>32</v>
      </c>
      <c r="N127" s="1" t="s">
        <v>1227</v>
      </c>
      <c r="O127" s="33" t="s">
        <v>1791</v>
      </c>
      <c r="P127" s="33" t="s">
        <v>1792</v>
      </c>
      <c r="Q127" s="37"/>
      <c r="R127" s="37">
        <v>85583</v>
      </c>
      <c r="S127" s="1"/>
      <c r="T127" s="1" t="s">
        <v>443</v>
      </c>
      <c r="U127" s="1" t="s">
        <v>1253</v>
      </c>
      <c r="V127" s="1" t="s">
        <v>1254</v>
      </c>
      <c r="W127" s="1" t="s">
        <v>1255</v>
      </c>
    </row>
    <row r="128" spans="1:25">
      <c r="A128" t="s">
        <v>1256</v>
      </c>
      <c r="B128" t="s">
        <v>150</v>
      </c>
      <c r="C128" s="192" t="s">
        <v>1810</v>
      </c>
      <c r="E128" s="202">
        <v>44410</v>
      </c>
      <c r="F128" s="197">
        <f t="shared" si="5"/>
        <v>44424</v>
      </c>
      <c r="G128" s="206" t="s">
        <v>364</v>
      </c>
      <c r="H128" s="206" t="s">
        <v>528</v>
      </c>
      <c r="I128" s="25" t="s">
        <v>1811</v>
      </c>
      <c r="J128" s="25" t="s">
        <v>1812</v>
      </c>
      <c r="K128" s="25" t="s">
        <v>31</v>
      </c>
      <c r="L128" s="25">
        <v>85121</v>
      </c>
      <c r="M128" s="1" t="s">
        <v>32</v>
      </c>
      <c r="N128" s="1" t="s">
        <v>1227</v>
      </c>
      <c r="O128" s="25" t="s">
        <v>1813</v>
      </c>
      <c r="P128" s="25" t="s">
        <v>1814</v>
      </c>
      <c r="R128" s="25" t="s">
        <v>1815</v>
      </c>
      <c r="S128" s="25"/>
      <c r="T128" s="25" t="s">
        <v>443</v>
      </c>
      <c r="U128" s="25" t="s">
        <v>1253</v>
      </c>
      <c r="V128" s="25" t="s">
        <v>1254</v>
      </c>
      <c r="W128" s="25" t="s">
        <v>1255</v>
      </c>
    </row>
    <row r="129" spans="1:26" s="4" customFormat="1">
      <c r="A129" s="4" t="s">
        <v>1309</v>
      </c>
      <c r="B129" s="68" t="s">
        <v>150</v>
      </c>
      <c r="C129" s="47" t="s">
        <v>1816</v>
      </c>
      <c r="D129" s="46"/>
      <c r="E129" s="26">
        <v>44421</v>
      </c>
      <c r="F129" s="71">
        <f t="shared" si="5"/>
        <v>44435</v>
      </c>
      <c r="G129" s="45" t="s">
        <v>364</v>
      </c>
      <c r="H129" s="45"/>
      <c r="I129" s="33" t="s">
        <v>1817</v>
      </c>
      <c r="J129" s="46" t="s">
        <v>434</v>
      </c>
      <c r="K129" s="46" t="s">
        <v>31</v>
      </c>
      <c r="L129" s="46"/>
      <c r="M129" s="1" t="s">
        <v>32</v>
      </c>
      <c r="N129" s="1" t="s">
        <v>1227</v>
      </c>
      <c r="O129" s="46" t="s">
        <v>1818</v>
      </c>
      <c r="P129" s="46" t="s">
        <v>1819</v>
      </c>
      <c r="Q129" s="50"/>
      <c r="R129" s="50">
        <v>82387</v>
      </c>
      <c r="S129" s="1"/>
      <c r="T129" s="1"/>
      <c r="U129" s="1"/>
      <c r="V129" s="1"/>
      <c r="W129" s="1"/>
    </row>
    <row r="130" spans="1:26" s="4" customFormat="1" ht="15" customHeight="1">
      <c r="A130" s="121" t="s">
        <v>25</v>
      </c>
      <c r="B130" s="4" t="s">
        <v>150</v>
      </c>
      <c r="C130" s="29" t="s">
        <v>1820</v>
      </c>
      <c r="D130" s="2"/>
      <c r="E130" s="26">
        <v>44490</v>
      </c>
      <c r="F130" s="2">
        <f t="shared" si="5"/>
        <v>44504</v>
      </c>
      <c r="G130" s="1" t="s">
        <v>364</v>
      </c>
      <c r="H130" s="1">
        <v>1630</v>
      </c>
      <c r="I130" s="1" t="s">
        <v>697</v>
      </c>
      <c r="J130" s="1" t="s">
        <v>63</v>
      </c>
      <c r="K130" s="1" t="s">
        <v>31</v>
      </c>
      <c r="L130" s="1">
        <v>85204</v>
      </c>
      <c r="M130" s="1" t="s">
        <v>32</v>
      </c>
      <c r="N130" s="1" t="s">
        <v>1227</v>
      </c>
      <c r="O130" s="1" t="s">
        <v>1802</v>
      </c>
      <c r="P130" s="1" t="s">
        <v>1821</v>
      </c>
      <c r="Q130" s="99" t="s">
        <v>1822</v>
      </c>
      <c r="R130" s="1">
        <v>87484</v>
      </c>
      <c r="S130" s="1"/>
      <c r="T130" s="1"/>
      <c r="U130" s="1"/>
      <c r="V130" s="1"/>
      <c r="W130" s="1"/>
    </row>
    <row r="131" spans="1:26" s="4" customFormat="1" ht="15" customHeight="1">
      <c r="A131" s="121" t="s">
        <v>25</v>
      </c>
      <c r="B131" s="29" t="s">
        <v>150</v>
      </c>
      <c r="C131" s="4" t="s">
        <v>1823</v>
      </c>
      <c r="D131" s="2"/>
      <c r="E131" s="26">
        <v>44489</v>
      </c>
      <c r="F131" s="2">
        <f t="shared" si="5"/>
        <v>44503</v>
      </c>
      <c r="G131" s="41" t="s">
        <v>364</v>
      </c>
      <c r="H131" s="41">
        <v>9320</v>
      </c>
      <c r="I131" s="1" t="s">
        <v>1824</v>
      </c>
      <c r="J131" s="1" t="s">
        <v>63</v>
      </c>
      <c r="K131" s="1" t="s">
        <v>31</v>
      </c>
      <c r="L131" s="1">
        <v>85212</v>
      </c>
      <c r="M131" s="1" t="s">
        <v>32</v>
      </c>
      <c r="N131" s="1" t="s">
        <v>1227</v>
      </c>
      <c r="O131" s="1" t="s">
        <v>1825</v>
      </c>
      <c r="P131" s="1" t="s">
        <v>1826</v>
      </c>
      <c r="Q131" s="87" t="s">
        <v>1827</v>
      </c>
      <c r="R131" s="31">
        <v>85867</v>
      </c>
      <c r="S131" s="1"/>
      <c r="T131" s="1"/>
      <c r="U131" s="1"/>
      <c r="V131" s="1"/>
      <c r="W131" s="1"/>
    </row>
    <row r="132" spans="1:26" s="4" customFormat="1" ht="15" customHeight="1">
      <c r="A132" s="92" t="s">
        <v>25</v>
      </c>
      <c r="B132" s="29" t="s">
        <v>150</v>
      </c>
      <c r="C132" s="56" t="s">
        <v>1828</v>
      </c>
      <c r="D132" s="60"/>
      <c r="E132" s="60">
        <v>44760</v>
      </c>
      <c r="F132" s="133">
        <f t="shared" si="5"/>
        <v>44774</v>
      </c>
      <c r="G132" s="60"/>
      <c r="H132" s="54" t="s">
        <v>379</v>
      </c>
      <c r="I132" s="80" t="s">
        <v>1829</v>
      </c>
      <c r="J132" s="55" t="s">
        <v>129</v>
      </c>
      <c r="K132" s="55" t="s">
        <v>31</v>
      </c>
      <c r="L132" s="55"/>
      <c r="M132" s="55" t="s">
        <v>32</v>
      </c>
      <c r="N132" s="56"/>
      <c r="O132" s="55" t="s">
        <v>1791</v>
      </c>
      <c r="P132" s="55" t="s">
        <v>1830</v>
      </c>
      <c r="Q132" s="161" t="s">
        <v>1831</v>
      </c>
      <c r="R132" s="57">
        <v>89891</v>
      </c>
      <c r="V132" s="4" t="s">
        <v>36</v>
      </c>
      <c r="W132" s="4" t="s">
        <v>37</v>
      </c>
      <c r="X132" s="1" t="s">
        <v>59</v>
      </c>
      <c r="Y132" s="15" t="s">
        <v>39</v>
      </c>
    </row>
    <row r="133" spans="1:26" s="4" customFormat="1" ht="16.5" customHeight="1">
      <c r="A133" s="93" t="s">
        <v>1240</v>
      </c>
      <c r="B133" s="29" t="s">
        <v>1832</v>
      </c>
      <c r="C133" s="4" t="s">
        <v>1833</v>
      </c>
      <c r="D133" s="130"/>
      <c r="E133" s="26">
        <v>44725</v>
      </c>
      <c r="F133" s="2">
        <f>E133+28</f>
        <v>44753</v>
      </c>
      <c r="G133" s="2"/>
      <c r="H133" s="41">
        <v>2519</v>
      </c>
      <c r="I133" s="1" t="s">
        <v>1834</v>
      </c>
      <c r="J133" s="1" t="s">
        <v>30</v>
      </c>
      <c r="K133" s="1" t="s">
        <v>31</v>
      </c>
      <c r="L133" s="1">
        <v>85122</v>
      </c>
      <c r="M133" s="1" t="s">
        <v>32</v>
      </c>
      <c r="O133" s="1" t="s">
        <v>1835</v>
      </c>
      <c r="P133" s="1" t="s">
        <v>1836</v>
      </c>
      <c r="Q133" s="87" t="s">
        <v>1837</v>
      </c>
      <c r="R133" s="31">
        <v>88929</v>
      </c>
      <c r="V133" s="4" t="s">
        <v>443</v>
      </c>
      <c r="W133" s="4" t="s">
        <v>1253</v>
      </c>
      <c r="X133" s="4" t="s">
        <v>616</v>
      </c>
      <c r="Y133" s="15" t="s">
        <v>1247</v>
      </c>
    </row>
    <row r="134" spans="1:26" s="4" customFormat="1" ht="15" customHeight="1">
      <c r="A134" s="4" t="s">
        <v>1280</v>
      </c>
      <c r="B134" s="29" t="s">
        <v>1838</v>
      </c>
      <c r="C134" s="29" t="s">
        <v>1839</v>
      </c>
      <c r="D134" s="1"/>
      <c r="E134" s="26">
        <v>44011</v>
      </c>
      <c r="F134" s="2">
        <f>E134+14</f>
        <v>44025</v>
      </c>
      <c r="G134" s="1" t="s">
        <v>364</v>
      </c>
      <c r="H134" s="1">
        <v>1370</v>
      </c>
      <c r="I134" s="1" t="s">
        <v>1655</v>
      </c>
      <c r="J134" s="1" t="s">
        <v>844</v>
      </c>
      <c r="K134" s="1" t="s">
        <v>31</v>
      </c>
      <c r="L134" s="1" t="s">
        <v>1685</v>
      </c>
      <c r="M134" s="1" t="s">
        <v>32</v>
      </c>
      <c r="N134" s="1" t="s">
        <v>1227</v>
      </c>
      <c r="O134" s="1" t="s">
        <v>1840</v>
      </c>
      <c r="P134" s="1" t="s">
        <v>1841</v>
      </c>
      <c r="Q134" s="1"/>
      <c r="R134" s="1" t="s">
        <v>364</v>
      </c>
      <c r="S134" s="1"/>
      <c r="T134" s="1" t="s">
        <v>1276</v>
      </c>
      <c r="U134" s="1" t="s">
        <v>1277</v>
      </c>
      <c r="V134" s="1" t="s">
        <v>1278</v>
      </c>
      <c r="W134" s="1" t="s">
        <v>1279</v>
      </c>
    </row>
    <row r="135" spans="1:26">
      <c r="A135" s="189" t="s">
        <v>1234</v>
      </c>
      <c r="B135" s="192" t="s">
        <v>1842</v>
      </c>
      <c r="C135" t="s">
        <v>1843</v>
      </c>
      <c r="D135" s="197"/>
      <c r="E135" s="200"/>
      <c r="F135" s="2"/>
      <c r="G135" s="197"/>
      <c r="H135" s="206">
        <v>4030</v>
      </c>
      <c r="I135" s="25" t="s">
        <v>1844</v>
      </c>
      <c r="J135" s="25" t="s">
        <v>916</v>
      </c>
      <c r="K135" s="25" t="s">
        <v>31</v>
      </c>
      <c r="L135" s="25">
        <v>85711</v>
      </c>
      <c r="M135" s="1" t="s">
        <v>32</v>
      </c>
      <c r="N135" s="1" t="s">
        <v>1227</v>
      </c>
      <c r="O135" s="30" t="s">
        <v>1845</v>
      </c>
      <c r="P135" s="25" t="s">
        <v>1846</v>
      </c>
      <c r="R135" s="221">
        <v>88103</v>
      </c>
      <c r="S135" s="25"/>
      <c r="T135" s="1"/>
      <c r="U135" s="1"/>
      <c r="V135" s="4"/>
      <c r="W135" s="4"/>
      <c r="Y135" s="134"/>
    </row>
    <row r="136" spans="1:26" s="4" customFormat="1" ht="15" customHeight="1">
      <c r="A136" s="164" t="s">
        <v>1240</v>
      </c>
      <c r="B136" s="68" t="s">
        <v>1847</v>
      </c>
      <c r="C136" s="47" t="s">
        <v>1848</v>
      </c>
      <c r="D136" s="58"/>
      <c r="E136" s="2">
        <v>44776</v>
      </c>
      <c r="F136" s="132" t="s">
        <v>1849</v>
      </c>
      <c r="G136" s="2"/>
      <c r="H136" s="66">
        <v>6320</v>
      </c>
      <c r="I136" s="48" t="s">
        <v>1850</v>
      </c>
      <c r="J136" s="46" t="s">
        <v>434</v>
      </c>
      <c r="K136" s="46" t="s">
        <v>31</v>
      </c>
      <c r="L136" s="67">
        <v>85042</v>
      </c>
      <c r="M136" s="46" t="s">
        <v>32</v>
      </c>
      <c r="N136" s="47"/>
      <c r="O136" s="46" t="s">
        <v>1851</v>
      </c>
      <c r="P136" s="46" t="s">
        <v>1852</v>
      </c>
      <c r="Q136" s="96" t="s">
        <v>1853</v>
      </c>
      <c r="R136" s="50">
        <v>80708</v>
      </c>
      <c r="V136" s="4" t="s">
        <v>443</v>
      </c>
      <c r="W136" s="4" t="s">
        <v>37</v>
      </c>
      <c r="X136" s="4" t="s">
        <v>616</v>
      </c>
      <c r="Y136" s="15" t="s">
        <v>1247</v>
      </c>
    </row>
    <row r="137" spans="1:26" s="4" customFormat="1" ht="15" customHeight="1">
      <c r="A137" s="4" t="s">
        <v>1266</v>
      </c>
      <c r="B137" s="29" t="s">
        <v>1854</v>
      </c>
      <c r="C137" s="29" t="s">
        <v>1855</v>
      </c>
      <c r="D137" s="1">
        <v>43697</v>
      </c>
      <c r="E137" s="26">
        <v>44117</v>
      </c>
      <c r="F137" s="2">
        <f t="shared" ref="F137:F146" si="6">E137+14</f>
        <v>44131</v>
      </c>
      <c r="G137" s="1" t="s">
        <v>364</v>
      </c>
      <c r="H137" s="1">
        <v>35</v>
      </c>
      <c r="I137" s="1" t="s">
        <v>1856</v>
      </c>
      <c r="J137" s="1" t="s">
        <v>49</v>
      </c>
      <c r="K137" s="1" t="s">
        <v>31</v>
      </c>
      <c r="L137" s="1">
        <v>85225</v>
      </c>
      <c r="M137" s="1" t="s">
        <v>32</v>
      </c>
      <c r="N137" s="1" t="s">
        <v>1227</v>
      </c>
      <c r="O137" s="1" t="s">
        <v>1857</v>
      </c>
      <c r="P137" s="1" t="s">
        <v>1858</v>
      </c>
      <c r="Q137" s="1"/>
      <c r="R137" s="1"/>
      <c r="S137" s="1"/>
      <c r="T137" s="1" t="s">
        <v>443</v>
      </c>
      <c r="U137" s="1" t="s">
        <v>1253</v>
      </c>
      <c r="V137" s="1" t="s">
        <v>1254</v>
      </c>
      <c r="W137" s="1" t="s">
        <v>1255</v>
      </c>
    </row>
    <row r="138" spans="1:26" s="4" customFormat="1" ht="15" customHeight="1">
      <c r="A138" s="4" t="s">
        <v>1266</v>
      </c>
      <c r="B138" s="29" t="s">
        <v>1854</v>
      </c>
      <c r="C138" s="29" t="s">
        <v>1859</v>
      </c>
      <c r="D138" s="1"/>
      <c r="E138" s="26">
        <v>44166</v>
      </c>
      <c r="F138" s="2">
        <f t="shared" si="6"/>
        <v>44180</v>
      </c>
      <c r="G138" s="1" t="s">
        <v>364</v>
      </c>
      <c r="H138" s="1">
        <v>3025</v>
      </c>
      <c r="I138" s="1" t="s">
        <v>1860</v>
      </c>
      <c r="J138" s="1" t="s">
        <v>49</v>
      </c>
      <c r="K138" s="1" t="s">
        <v>31</v>
      </c>
      <c r="L138" s="1">
        <v>85294</v>
      </c>
      <c r="M138" s="1" t="s">
        <v>32</v>
      </c>
      <c r="N138" s="1" t="s">
        <v>1227</v>
      </c>
      <c r="O138" s="1" t="s">
        <v>1861</v>
      </c>
      <c r="P138" s="1" t="s">
        <v>1862</v>
      </c>
      <c r="Q138" s="1"/>
      <c r="R138" s="1"/>
      <c r="S138" s="1"/>
      <c r="T138" s="1"/>
      <c r="U138" s="1"/>
      <c r="V138" s="1"/>
      <c r="W138" s="1"/>
    </row>
    <row r="139" spans="1:26" s="4" customFormat="1" ht="15" customHeight="1">
      <c r="A139" s="4" t="s">
        <v>1309</v>
      </c>
      <c r="B139" s="4" t="s">
        <v>1854</v>
      </c>
      <c r="C139" s="29" t="s">
        <v>1863</v>
      </c>
      <c r="D139" s="1"/>
      <c r="E139" s="26">
        <v>44404</v>
      </c>
      <c r="F139" s="2">
        <f t="shared" si="6"/>
        <v>44418</v>
      </c>
      <c r="G139" s="1" t="s">
        <v>364</v>
      </c>
      <c r="H139" s="1">
        <v>7540</v>
      </c>
      <c r="I139" s="1" t="s">
        <v>278</v>
      </c>
      <c r="J139" s="1" t="s">
        <v>49</v>
      </c>
      <c r="K139" s="1" t="s">
        <v>31</v>
      </c>
      <c r="L139" s="1">
        <v>85297</v>
      </c>
      <c r="M139" s="1" t="s">
        <v>32</v>
      </c>
      <c r="N139" s="1" t="s">
        <v>1227</v>
      </c>
      <c r="O139" s="1" t="s">
        <v>1864</v>
      </c>
      <c r="P139" s="1" t="s">
        <v>1865</v>
      </c>
      <c r="Q139" s="1"/>
      <c r="R139" s="1">
        <v>84161</v>
      </c>
      <c r="S139" s="1"/>
      <c r="T139" s="1" t="s">
        <v>1276</v>
      </c>
      <c r="U139" s="1" t="s">
        <v>1277</v>
      </c>
      <c r="V139" s="1" t="s">
        <v>1278</v>
      </c>
      <c r="W139" s="1" t="s">
        <v>1279</v>
      </c>
    </row>
    <row r="140" spans="1:26">
      <c r="A140" s="190" t="s">
        <v>25</v>
      </c>
      <c r="B140" s="134" t="s">
        <v>1866</v>
      </c>
      <c r="C140" s="192" t="s">
        <v>1867</v>
      </c>
      <c r="D140" s="197"/>
      <c r="E140" s="200">
        <v>44529</v>
      </c>
      <c r="F140" s="2">
        <f t="shared" si="6"/>
        <v>44543</v>
      </c>
      <c r="G140" s="197"/>
      <c r="H140" s="25" t="s">
        <v>43</v>
      </c>
      <c r="I140" s="25" t="s">
        <v>1868</v>
      </c>
      <c r="J140" s="25" t="s">
        <v>129</v>
      </c>
      <c r="K140" s="25" t="s">
        <v>31</v>
      </c>
      <c r="L140" s="25">
        <v>89056</v>
      </c>
      <c r="M140" s="1" t="s">
        <v>32</v>
      </c>
      <c r="N140" s="1" t="s">
        <v>1227</v>
      </c>
      <c r="O140" s="25" t="s">
        <v>1869</v>
      </c>
      <c r="P140" s="25" t="s">
        <v>1870</v>
      </c>
      <c r="Q140" s="217"/>
      <c r="R140" s="25">
        <v>89056</v>
      </c>
      <c r="S140" s="25"/>
      <c r="T140" s="1"/>
      <c r="U140" s="1"/>
      <c r="V140" s="4" t="s">
        <v>36</v>
      </c>
      <c r="W140" s="4" t="s">
        <v>1277</v>
      </c>
      <c r="X140" s="25" t="s">
        <v>59</v>
      </c>
      <c r="Y140" s="134" t="s">
        <v>1330</v>
      </c>
    </row>
    <row r="141" spans="1:26" s="4" customFormat="1" ht="15" customHeight="1">
      <c r="A141" s="92" t="s">
        <v>25</v>
      </c>
      <c r="B141" s="15" t="s">
        <v>1871</v>
      </c>
      <c r="C141" s="29" t="s">
        <v>1872</v>
      </c>
      <c r="D141" s="1"/>
      <c r="E141" s="26">
        <v>44680</v>
      </c>
      <c r="F141" s="2">
        <f t="shared" si="6"/>
        <v>44694</v>
      </c>
      <c r="G141" s="2"/>
      <c r="H141" s="1">
        <v>1110</v>
      </c>
      <c r="I141" s="1" t="s">
        <v>1873</v>
      </c>
      <c r="J141" s="1" t="s">
        <v>434</v>
      </c>
      <c r="K141" s="1" t="s">
        <v>31</v>
      </c>
      <c r="L141" s="1">
        <v>85008</v>
      </c>
      <c r="M141" s="1" t="s">
        <v>32</v>
      </c>
      <c r="O141" s="1" t="s">
        <v>1874</v>
      </c>
      <c r="P141" s="1" t="s">
        <v>1875</v>
      </c>
      <c r="Q141" s="87" t="s">
        <v>1876</v>
      </c>
      <c r="R141" s="1">
        <v>91091</v>
      </c>
      <c r="V141" s="4" t="s">
        <v>36</v>
      </c>
      <c r="W141" s="4" t="s">
        <v>1277</v>
      </c>
      <c r="X141" s="1" t="s">
        <v>59</v>
      </c>
      <c r="Y141" s="15" t="s">
        <v>1330</v>
      </c>
    </row>
    <row r="142" spans="1:26" s="4" customFormat="1" ht="15" customHeight="1">
      <c r="A142" s="164" t="s">
        <v>1240</v>
      </c>
      <c r="B142" s="29" t="s">
        <v>1877</v>
      </c>
      <c r="C142" s="4" t="s">
        <v>1878</v>
      </c>
      <c r="D142" s="2">
        <v>44768</v>
      </c>
      <c r="E142" s="2">
        <v>44874</v>
      </c>
      <c r="F142" s="2">
        <f t="shared" si="6"/>
        <v>44888</v>
      </c>
      <c r="G142" s="2"/>
      <c r="H142" s="41">
        <v>9225</v>
      </c>
      <c r="I142" s="15" t="s">
        <v>1879</v>
      </c>
      <c r="J142" s="1" t="s">
        <v>434</v>
      </c>
      <c r="K142" s="1" t="s">
        <v>31</v>
      </c>
      <c r="L142" s="1"/>
      <c r="M142" s="1" t="s">
        <v>32</v>
      </c>
      <c r="O142" s="1" t="s">
        <v>1880</v>
      </c>
      <c r="P142" s="1" t="s">
        <v>1881</v>
      </c>
      <c r="Q142" s="87" t="s">
        <v>1882</v>
      </c>
      <c r="R142" s="174"/>
      <c r="V142" s="4" t="s">
        <v>443</v>
      </c>
      <c r="W142" s="4" t="s">
        <v>37</v>
      </c>
      <c r="X142" s="4" t="s">
        <v>616</v>
      </c>
      <c r="Y142" s="167" t="s">
        <v>1247</v>
      </c>
      <c r="Z142" s="168"/>
    </row>
    <row r="143" spans="1:26" s="4" customFormat="1" ht="15" customHeight="1">
      <c r="A143" s="164" t="s">
        <v>1240</v>
      </c>
      <c r="B143" s="29" t="s">
        <v>1883</v>
      </c>
      <c r="C143" s="5" t="s">
        <v>1884</v>
      </c>
      <c r="D143" s="59"/>
      <c r="E143" s="2">
        <v>44834</v>
      </c>
      <c r="F143" s="2">
        <f t="shared" si="6"/>
        <v>44848</v>
      </c>
      <c r="G143" s="2"/>
      <c r="H143" s="43"/>
      <c r="I143" s="7" t="s">
        <v>1885</v>
      </c>
      <c r="J143" s="33" t="s">
        <v>934</v>
      </c>
      <c r="K143" s="33" t="s">
        <v>31</v>
      </c>
      <c r="L143" s="33"/>
      <c r="M143" s="33" t="s">
        <v>32</v>
      </c>
      <c r="N143" s="5"/>
      <c r="O143" s="33" t="s">
        <v>1886</v>
      </c>
      <c r="P143" s="33" t="s">
        <v>1887</v>
      </c>
      <c r="Q143" s="87" t="s">
        <v>1888</v>
      </c>
      <c r="R143" s="37">
        <v>83724</v>
      </c>
      <c r="S143" s="53"/>
      <c r="T143" s="53"/>
      <c r="V143" s="4" t="s">
        <v>443</v>
      </c>
      <c r="W143" s="4" t="s">
        <v>37</v>
      </c>
      <c r="X143" s="4" t="s">
        <v>616</v>
      </c>
      <c r="Y143" s="167" t="s">
        <v>1247</v>
      </c>
      <c r="Z143" s="168"/>
    </row>
    <row r="144" spans="1:26" s="4" customFormat="1" ht="15" customHeight="1">
      <c r="A144" s="164" t="s">
        <v>1240</v>
      </c>
      <c r="B144" s="29" t="s">
        <v>1883</v>
      </c>
      <c r="C144" s="4" t="s">
        <v>1889</v>
      </c>
      <c r="D144" s="2"/>
      <c r="E144" s="2">
        <v>44873</v>
      </c>
      <c r="F144" s="60">
        <f t="shared" si="6"/>
        <v>44887</v>
      </c>
      <c r="G144" s="60"/>
      <c r="H144" s="41" t="s">
        <v>379</v>
      </c>
      <c r="I144" s="15" t="s">
        <v>1890</v>
      </c>
      <c r="J144" s="1" t="s">
        <v>837</v>
      </c>
      <c r="K144" s="1" t="s">
        <v>31</v>
      </c>
      <c r="L144" s="1"/>
      <c r="M144" s="1" t="s">
        <v>32</v>
      </c>
      <c r="O144" s="1" t="s">
        <v>1880</v>
      </c>
      <c r="P144" s="1" t="s">
        <v>1881</v>
      </c>
      <c r="Q144" s="87" t="s">
        <v>1882</v>
      </c>
      <c r="R144" s="31">
        <v>80026</v>
      </c>
      <c r="S144" s="1"/>
      <c r="T144" s="1"/>
      <c r="U144" s="1"/>
      <c r="V144" s="4" t="s">
        <v>443</v>
      </c>
      <c r="W144" s="4" t="s">
        <v>37</v>
      </c>
      <c r="X144" s="4" t="s">
        <v>616</v>
      </c>
      <c r="Y144" s="167" t="s">
        <v>1247</v>
      </c>
      <c r="Z144" s="168"/>
    </row>
    <row r="145" spans="1:26" s="4" customFormat="1" ht="15" customHeight="1">
      <c r="A145" s="164" t="s">
        <v>1240</v>
      </c>
      <c r="B145" s="29" t="s">
        <v>1883</v>
      </c>
      <c r="C145" s="4" t="s">
        <v>1891</v>
      </c>
      <c r="D145" s="130"/>
      <c r="E145" s="2">
        <v>44874</v>
      </c>
      <c r="F145" s="2">
        <f t="shared" si="6"/>
        <v>44888</v>
      </c>
      <c r="G145" s="2"/>
      <c r="H145" s="41">
        <v>4724</v>
      </c>
      <c r="I145" s="15" t="s">
        <v>1892</v>
      </c>
      <c r="J145" s="1" t="s">
        <v>434</v>
      </c>
      <c r="K145" s="1" t="s">
        <v>31</v>
      </c>
      <c r="L145" s="1">
        <v>85041</v>
      </c>
      <c r="M145" s="1" t="s">
        <v>32</v>
      </c>
      <c r="O145" s="1" t="s">
        <v>1893</v>
      </c>
      <c r="P145" s="1" t="s">
        <v>1894</v>
      </c>
      <c r="Q145" s="87" t="s">
        <v>1895</v>
      </c>
      <c r="R145" s="31">
        <v>93164</v>
      </c>
      <c r="V145" s="4" t="s">
        <v>443</v>
      </c>
      <c r="W145" s="4" t="s">
        <v>37</v>
      </c>
      <c r="X145" s="4" t="s">
        <v>616</v>
      </c>
      <c r="Y145" s="167" t="s">
        <v>1247</v>
      </c>
      <c r="Z145" s="168"/>
    </row>
    <row r="146" spans="1:26" s="4" customFormat="1" ht="15" customHeight="1">
      <c r="A146" s="164" t="s">
        <v>1240</v>
      </c>
      <c r="B146" s="29" t="s">
        <v>1883</v>
      </c>
      <c r="C146" s="4" t="s">
        <v>1896</v>
      </c>
      <c r="D146" s="2"/>
      <c r="E146" s="2">
        <v>44876</v>
      </c>
      <c r="F146" s="2">
        <f t="shared" si="6"/>
        <v>44890</v>
      </c>
      <c r="G146" s="2"/>
      <c r="H146" s="41">
        <v>16400</v>
      </c>
      <c r="I146" s="15" t="s">
        <v>1897</v>
      </c>
      <c r="J146" s="1" t="s">
        <v>1111</v>
      </c>
      <c r="K146" s="1" t="s">
        <v>31</v>
      </c>
      <c r="L146" s="1"/>
      <c r="M146" s="1" t="s">
        <v>32</v>
      </c>
      <c r="O146" s="1" t="s">
        <v>1886</v>
      </c>
      <c r="P146" s="1" t="s">
        <v>1887</v>
      </c>
      <c r="Q146" s="87" t="s">
        <v>1888</v>
      </c>
      <c r="R146" s="174"/>
      <c r="V146" s="4" t="s">
        <v>443</v>
      </c>
      <c r="W146" s="4" t="s">
        <v>37</v>
      </c>
      <c r="X146" s="4" t="s">
        <v>616</v>
      </c>
      <c r="Y146" s="167" t="s">
        <v>1247</v>
      </c>
      <c r="Z146" s="168"/>
    </row>
    <row r="147" spans="1:26" s="4" customFormat="1" ht="15" customHeight="1">
      <c r="A147" s="4" t="s">
        <v>1256</v>
      </c>
      <c r="B147" s="4" t="s">
        <v>1898</v>
      </c>
      <c r="C147" s="29" t="s">
        <v>1899</v>
      </c>
      <c r="D147" s="1" t="s">
        <v>1900</v>
      </c>
      <c r="E147" s="4" t="s">
        <v>364</v>
      </c>
      <c r="F147" s="1"/>
      <c r="G147" s="1" t="s">
        <v>364</v>
      </c>
      <c r="H147" s="1" t="s">
        <v>364</v>
      </c>
      <c r="I147" s="1" t="s">
        <v>1901</v>
      </c>
      <c r="J147" s="1" t="s">
        <v>837</v>
      </c>
      <c r="K147" s="1" t="s">
        <v>31</v>
      </c>
      <c r="L147" s="1" t="s">
        <v>364</v>
      </c>
      <c r="M147" s="1" t="s">
        <v>32</v>
      </c>
      <c r="N147" s="1" t="s">
        <v>1227</v>
      </c>
      <c r="O147" s="1" t="s">
        <v>1902</v>
      </c>
      <c r="P147" s="1" t="s">
        <v>1903</v>
      </c>
      <c r="Q147" s="1" t="s">
        <v>1904</v>
      </c>
      <c r="R147" s="1">
        <v>89551</v>
      </c>
      <c r="S147" s="1"/>
      <c r="T147" s="1" t="s">
        <v>443</v>
      </c>
      <c r="U147" s="1" t="s">
        <v>1253</v>
      </c>
      <c r="V147" s="1" t="s">
        <v>1254</v>
      </c>
      <c r="W147" s="1" t="s">
        <v>1255</v>
      </c>
    </row>
    <row r="148" spans="1:26" s="4" customFormat="1" ht="15" customHeight="1">
      <c r="A148" s="4" t="s">
        <v>1280</v>
      </c>
      <c r="B148" s="29" t="s">
        <v>1905</v>
      </c>
      <c r="C148" s="29" t="s">
        <v>1906</v>
      </c>
      <c r="D148" s="1"/>
      <c r="E148" s="26">
        <v>43985</v>
      </c>
      <c r="F148" s="2">
        <f>E148+28</f>
        <v>44013</v>
      </c>
      <c r="G148" s="1" t="s">
        <v>364</v>
      </c>
      <c r="H148" s="1">
        <v>15200</v>
      </c>
      <c r="I148" s="1" t="s">
        <v>1907</v>
      </c>
      <c r="J148" s="1" t="s">
        <v>398</v>
      </c>
      <c r="K148" s="1" t="s">
        <v>31</v>
      </c>
      <c r="L148" s="1"/>
      <c r="M148" s="1" t="s">
        <v>32</v>
      </c>
      <c r="N148" s="1" t="s">
        <v>1227</v>
      </c>
      <c r="O148" s="1" t="s">
        <v>1908</v>
      </c>
      <c r="P148" s="1" t="s">
        <v>1909</v>
      </c>
      <c r="Q148" s="1"/>
      <c r="R148" s="1" t="s">
        <v>364</v>
      </c>
      <c r="S148" s="1"/>
      <c r="T148" s="1" t="s">
        <v>1276</v>
      </c>
      <c r="U148" s="1" t="s">
        <v>1277</v>
      </c>
      <c r="V148" s="1" t="s">
        <v>1278</v>
      </c>
      <c r="W148" s="1" t="s">
        <v>1279</v>
      </c>
    </row>
    <row r="149" spans="1:26" s="4" customFormat="1" ht="15" customHeight="1">
      <c r="A149" s="4" t="s">
        <v>1280</v>
      </c>
      <c r="B149" s="29" t="s">
        <v>1910</v>
      </c>
      <c r="C149" s="29" t="s">
        <v>1911</v>
      </c>
      <c r="D149" s="1"/>
      <c r="E149" s="138">
        <v>44054</v>
      </c>
      <c r="F149" s="2">
        <f t="shared" ref="F149:F158" si="7">E149+14</f>
        <v>44068</v>
      </c>
      <c r="G149" s="1" t="s">
        <v>364</v>
      </c>
      <c r="H149" s="1">
        <v>2950</v>
      </c>
      <c r="I149" s="1" t="s">
        <v>1912</v>
      </c>
      <c r="J149" s="1" t="s">
        <v>844</v>
      </c>
      <c r="K149" s="1" t="s">
        <v>31</v>
      </c>
      <c r="L149" s="1" t="s">
        <v>1685</v>
      </c>
      <c r="M149" s="1" t="s">
        <v>32</v>
      </c>
      <c r="N149" s="1" t="s">
        <v>1227</v>
      </c>
      <c r="O149" s="1" t="s">
        <v>1913</v>
      </c>
      <c r="P149" s="1" t="s">
        <v>1914</v>
      </c>
      <c r="Q149" s="1"/>
      <c r="R149" s="1" t="s">
        <v>364</v>
      </c>
      <c r="S149" s="1"/>
      <c r="T149" s="1" t="s">
        <v>1276</v>
      </c>
      <c r="U149" s="1" t="s">
        <v>1277</v>
      </c>
      <c r="V149" s="1" t="s">
        <v>1278</v>
      </c>
      <c r="W149" s="1" t="s">
        <v>1279</v>
      </c>
    </row>
    <row r="150" spans="1:26" s="4" customFormat="1" ht="15" customHeight="1">
      <c r="A150" s="92" t="s">
        <v>25</v>
      </c>
      <c r="B150" s="29" t="s">
        <v>1915</v>
      </c>
      <c r="C150" s="4" t="s">
        <v>1916</v>
      </c>
      <c r="D150" s="2"/>
      <c r="E150" s="26">
        <v>44505</v>
      </c>
      <c r="F150" s="2">
        <f t="shared" si="7"/>
        <v>44519</v>
      </c>
      <c r="G150" s="41" t="s">
        <v>364</v>
      </c>
      <c r="H150" s="1">
        <v>13400</v>
      </c>
      <c r="I150" s="1" t="s">
        <v>1917</v>
      </c>
      <c r="J150" s="1" t="s">
        <v>1918</v>
      </c>
      <c r="K150" s="1" t="s">
        <v>31</v>
      </c>
      <c r="L150" s="1" t="s">
        <v>364</v>
      </c>
      <c r="M150" s="1" t="s">
        <v>32</v>
      </c>
      <c r="N150" s="1" t="s">
        <v>1227</v>
      </c>
      <c r="O150" s="1" t="s">
        <v>1919</v>
      </c>
      <c r="P150" s="1" t="s">
        <v>1920</v>
      </c>
      <c r="Q150" s="1" t="s">
        <v>364</v>
      </c>
      <c r="R150" s="1">
        <v>87624</v>
      </c>
      <c r="S150" s="1"/>
      <c r="T150" s="1"/>
      <c r="U150" s="1"/>
      <c r="V150" s="4" t="s">
        <v>36</v>
      </c>
      <c r="W150" s="4" t="s">
        <v>1277</v>
      </c>
      <c r="X150" s="1" t="s">
        <v>59</v>
      </c>
      <c r="Y150" s="1" t="s">
        <v>1330</v>
      </c>
    </row>
    <row r="151" spans="1:26" s="4" customFormat="1" ht="15" customHeight="1">
      <c r="A151" s="92" t="s">
        <v>25</v>
      </c>
      <c r="B151" s="70" t="s">
        <v>1915</v>
      </c>
      <c r="C151" s="56" t="s">
        <v>1921</v>
      </c>
      <c r="D151" s="60"/>
      <c r="E151" s="26">
        <v>44532</v>
      </c>
      <c r="F151" s="60">
        <f t="shared" si="7"/>
        <v>44546</v>
      </c>
      <c r="G151" s="60"/>
      <c r="H151" s="54" t="s">
        <v>184</v>
      </c>
      <c r="I151" s="55" t="s">
        <v>1922</v>
      </c>
      <c r="J151" s="55" t="s">
        <v>63</v>
      </c>
      <c r="K151" s="55" t="s">
        <v>31</v>
      </c>
      <c r="L151" s="55" t="s">
        <v>1923</v>
      </c>
      <c r="M151" s="1" t="s">
        <v>32</v>
      </c>
      <c r="N151" s="1" t="s">
        <v>1227</v>
      </c>
      <c r="O151" s="55" t="s">
        <v>1924</v>
      </c>
      <c r="P151" s="55" t="s">
        <v>1925</v>
      </c>
      <c r="Q151" s="89" t="s">
        <v>1926</v>
      </c>
      <c r="R151" s="57"/>
      <c r="V151" s="4" t="s">
        <v>36</v>
      </c>
      <c r="W151" s="4" t="s">
        <v>1277</v>
      </c>
      <c r="X151" s="1" t="s">
        <v>59</v>
      </c>
      <c r="Y151" s="15" t="s">
        <v>1330</v>
      </c>
    </row>
    <row r="152" spans="1:26" s="4" customFormat="1" ht="15" customHeight="1">
      <c r="A152" s="93" t="s">
        <v>1256</v>
      </c>
      <c r="B152" s="15" t="s">
        <v>1915</v>
      </c>
      <c r="C152" s="29" t="s">
        <v>1927</v>
      </c>
      <c r="D152" s="2"/>
      <c r="E152" s="26">
        <v>44573</v>
      </c>
      <c r="F152" s="2">
        <f t="shared" si="7"/>
        <v>44587</v>
      </c>
      <c r="G152" s="2"/>
      <c r="H152" s="1">
        <v>5777</v>
      </c>
      <c r="I152" s="1" t="s">
        <v>596</v>
      </c>
      <c r="J152" s="1" t="s">
        <v>434</v>
      </c>
      <c r="K152" s="1" t="s">
        <v>31</v>
      </c>
      <c r="L152" s="1">
        <v>85054</v>
      </c>
      <c r="M152" s="1" t="s">
        <v>32</v>
      </c>
      <c r="N152" s="1" t="s">
        <v>1227</v>
      </c>
      <c r="O152" s="1" t="s">
        <v>1928</v>
      </c>
      <c r="P152" s="1" t="s">
        <v>1929</v>
      </c>
      <c r="Q152" s="83" t="s">
        <v>1930</v>
      </c>
      <c r="R152" s="1">
        <v>86521</v>
      </c>
      <c r="V152" s="4" t="s">
        <v>1264</v>
      </c>
      <c r="W152" s="4" t="s">
        <v>1253</v>
      </c>
      <c r="X152" s="4" t="s">
        <v>616</v>
      </c>
      <c r="Y152" s="15" t="s">
        <v>1265</v>
      </c>
    </row>
    <row r="153" spans="1:26" s="4" customFormat="1" ht="15" customHeight="1">
      <c r="A153" s="164" t="s">
        <v>1240</v>
      </c>
      <c r="B153" s="29" t="s">
        <v>1915</v>
      </c>
      <c r="C153" s="4" t="s">
        <v>1931</v>
      </c>
      <c r="D153" s="130"/>
      <c r="E153" s="2">
        <v>44853</v>
      </c>
      <c r="F153" s="2">
        <f t="shared" si="7"/>
        <v>44867</v>
      </c>
      <c r="G153" s="2"/>
      <c r="H153" s="41">
        <v>5931</v>
      </c>
      <c r="I153" s="15" t="s">
        <v>596</v>
      </c>
      <c r="J153" s="1" t="s">
        <v>434</v>
      </c>
      <c r="K153" s="1" t="s">
        <v>31</v>
      </c>
      <c r="L153" s="1">
        <v>85054</v>
      </c>
      <c r="M153" s="1" t="s">
        <v>32</v>
      </c>
      <c r="O153" s="1" t="s">
        <v>1932</v>
      </c>
      <c r="P153" s="1" t="s">
        <v>1933</v>
      </c>
      <c r="Q153" s="87" t="s">
        <v>1934</v>
      </c>
      <c r="R153" s="174"/>
      <c r="V153" s="4" t="s">
        <v>443</v>
      </c>
      <c r="W153" s="4" t="s">
        <v>37</v>
      </c>
      <c r="X153" s="4" t="s">
        <v>616</v>
      </c>
      <c r="Y153" s="167" t="s">
        <v>1247</v>
      </c>
      <c r="Z153" s="168"/>
    </row>
    <row r="154" spans="1:26" s="4" customFormat="1" ht="15" customHeight="1">
      <c r="A154" s="164" t="s">
        <v>1240</v>
      </c>
      <c r="B154" s="29" t="s">
        <v>1915</v>
      </c>
      <c r="C154" s="29" t="s">
        <v>1935</v>
      </c>
      <c r="D154" s="2"/>
      <c r="E154" s="2">
        <v>44867</v>
      </c>
      <c r="F154" s="2">
        <f t="shared" si="7"/>
        <v>44881</v>
      </c>
      <c r="G154" s="2"/>
      <c r="H154" s="1">
        <v>10205</v>
      </c>
      <c r="I154" s="15" t="s">
        <v>596</v>
      </c>
      <c r="J154" s="1" t="s">
        <v>434</v>
      </c>
      <c r="K154" s="1" t="s">
        <v>31</v>
      </c>
      <c r="L154" s="1" t="s">
        <v>1936</v>
      </c>
      <c r="M154" s="1" t="s">
        <v>32</v>
      </c>
      <c r="N154" s="1" t="s">
        <v>1227</v>
      </c>
      <c r="O154" s="1" t="s">
        <v>1937</v>
      </c>
      <c r="P154" s="1" t="s">
        <v>1938</v>
      </c>
      <c r="Q154" s="87" t="s">
        <v>1939</v>
      </c>
      <c r="R154" s="173"/>
      <c r="S154" s="1"/>
      <c r="T154" s="1"/>
      <c r="U154" s="1"/>
      <c r="V154" s="4" t="s">
        <v>443</v>
      </c>
      <c r="W154" s="4" t="s">
        <v>37</v>
      </c>
      <c r="X154" s="4" t="s">
        <v>616</v>
      </c>
      <c r="Y154" s="167" t="s">
        <v>1247</v>
      </c>
      <c r="Z154" s="168"/>
    </row>
    <row r="155" spans="1:26" s="4" customFormat="1" ht="15" customHeight="1">
      <c r="A155" s="4" t="s">
        <v>1266</v>
      </c>
      <c r="B155" s="4" t="s">
        <v>1940</v>
      </c>
      <c r="C155" s="4" t="s">
        <v>1941</v>
      </c>
      <c r="D155" s="1"/>
      <c r="E155" s="26">
        <v>43788</v>
      </c>
      <c r="F155" s="2">
        <f t="shared" si="7"/>
        <v>43802</v>
      </c>
      <c r="G155" s="1" t="s">
        <v>364</v>
      </c>
      <c r="H155" s="33" t="s">
        <v>1942</v>
      </c>
      <c r="I155" s="33" t="s">
        <v>1943</v>
      </c>
      <c r="J155" s="33" t="s">
        <v>69</v>
      </c>
      <c r="K155" s="33" t="s">
        <v>31</v>
      </c>
      <c r="L155" s="33" t="s">
        <v>1944</v>
      </c>
      <c r="M155" s="1" t="s">
        <v>32</v>
      </c>
      <c r="N155" s="1" t="s">
        <v>1227</v>
      </c>
      <c r="O155" s="33" t="s">
        <v>1945</v>
      </c>
      <c r="P155" s="38" t="s">
        <v>1946</v>
      </c>
      <c r="Q155" s="37"/>
      <c r="R155" s="37">
        <v>69846</v>
      </c>
      <c r="S155" s="1"/>
      <c r="T155" s="1"/>
      <c r="U155" s="1"/>
      <c r="V155" s="1"/>
      <c r="W155" s="1"/>
    </row>
    <row r="156" spans="1:26" s="4" customFormat="1" ht="15" customHeight="1">
      <c r="A156" s="4" t="s">
        <v>1256</v>
      </c>
      <c r="B156" s="29" t="s">
        <v>1940</v>
      </c>
      <c r="C156" s="29" t="s">
        <v>1947</v>
      </c>
      <c r="D156" s="1"/>
      <c r="E156" s="139">
        <v>44203</v>
      </c>
      <c r="F156" s="2">
        <f t="shared" si="7"/>
        <v>44217</v>
      </c>
      <c r="G156" s="1" t="s">
        <v>364</v>
      </c>
      <c r="H156" s="1">
        <v>7951</v>
      </c>
      <c r="I156" s="1" t="s">
        <v>1948</v>
      </c>
      <c r="J156" s="1" t="s">
        <v>822</v>
      </c>
      <c r="K156" s="1" t="s">
        <v>31</v>
      </c>
      <c r="L156" s="1" t="s">
        <v>1949</v>
      </c>
      <c r="M156" s="1" t="s">
        <v>32</v>
      </c>
      <c r="N156" s="1" t="s">
        <v>1227</v>
      </c>
      <c r="O156" s="1" t="s">
        <v>1950</v>
      </c>
      <c r="P156" s="1" t="s">
        <v>1951</v>
      </c>
      <c r="Q156" s="1"/>
      <c r="R156" s="1">
        <v>74326</v>
      </c>
      <c r="S156" s="1"/>
      <c r="T156" s="1" t="s">
        <v>443</v>
      </c>
      <c r="U156" s="1" t="s">
        <v>1253</v>
      </c>
      <c r="V156" s="1" t="s">
        <v>1254</v>
      </c>
      <c r="W156" s="1" t="s">
        <v>1255</v>
      </c>
    </row>
    <row r="157" spans="1:26" s="4" customFormat="1" ht="15" customHeight="1">
      <c r="A157" s="164" t="s">
        <v>1240</v>
      </c>
      <c r="B157" s="70" t="s">
        <v>1952</v>
      </c>
      <c r="C157" s="56" t="s">
        <v>1953</v>
      </c>
      <c r="D157" s="60"/>
      <c r="E157" s="2">
        <v>44895</v>
      </c>
      <c r="F157" s="2">
        <f t="shared" si="7"/>
        <v>44909</v>
      </c>
      <c r="G157" s="2"/>
      <c r="H157" s="54" t="s">
        <v>1954</v>
      </c>
      <c r="I157" s="80" t="s">
        <v>420</v>
      </c>
      <c r="J157" s="55" t="s">
        <v>434</v>
      </c>
      <c r="K157" s="55" t="s">
        <v>31</v>
      </c>
      <c r="L157" s="55" t="s">
        <v>1955</v>
      </c>
      <c r="M157" s="55" t="s">
        <v>32</v>
      </c>
      <c r="N157" s="56"/>
      <c r="O157" s="55" t="s">
        <v>524</v>
      </c>
      <c r="P157" s="55" t="s">
        <v>1956</v>
      </c>
      <c r="Q157" s="159" t="s">
        <v>1957</v>
      </c>
      <c r="R157" s="57">
        <v>88246</v>
      </c>
      <c r="V157" s="4" t="s">
        <v>443</v>
      </c>
      <c r="W157" s="4" t="s">
        <v>37</v>
      </c>
      <c r="X157" s="4" t="s">
        <v>616</v>
      </c>
      <c r="Y157" s="167" t="s">
        <v>1247</v>
      </c>
      <c r="Z157" s="168"/>
    </row>
    <row r="158" spans="1:26" s="4" customFormat="1" ht="15" customHeight="1">
      <c r="A158" s="122" t="s">
        <v>1256</v>
      </c>
      <c r="B158" s="29" t="s">
        <v>168</v>
      </c>
      <c r="C158" s="4" t="s">
        <v>1958</v>
      </c>
      <c r="D158" s="2"/>
      <c r="E158" s="26">
        <v>44432</v>
      </c>
      <c r="F158" s="2">
        <f t="shared" si="7"/>
        <v>44446</v>
      </c>
      <c r="G158" s="41" t="s">
        <v>364</v>
      </c>
      <c r="H158" s="41">
        <v>8603</v>
      </c>
      <c r="I158" s="1" t="s">
        <v>1959</v>
      </c>
      <c r="J158" s="1" t="s">
        <v>894</v>
      </c>
      <c r="K158" s="1" t="s">
        <v>31</v>
      </c>
      <c r="L158" s="1">
        <v>85353</v>
      </c>
      <c r="M158" s="1" t="s">
        <v>32</v>
      </c>
      <c r="N158" s="1" t="s">
        <v>1227</v>
      </c>
      <c r="O158" s="1" t="s">
        <v>1960</v>
      </c>
      <c r="P158" s="1" t="s">
        <v>1961</v>
      </c>
      <c r="Q158" s="31"/>
      <c r="R158" s="31"/>
      <c r="S158" s="1"/>
      <c r="T158" s="1" t="s">
        <v>443</v>
      </c>
      <c r="U158" s="1" t="s">
        <v>1253</v>
      </c>
      <c r="V158" s="1" t="s">
        <v>1254</v>
      </c>
      <c r="W158" s="1" t="s">
        <v>1255</v>
      </c>
    </row>
    <row r="159" spans="1:26" s="4" customFormat="1" ht="15" customHeight="1">
      <c r="A159" s="4" t="s">
        <v>1256</v>
      </c>
      <c r="B159" s="29" t="s">
        <v>526</v>
      </c>
      <c r="C159" s="29" t="s">
        <v>1962</v>
      </c>
      <c r="D159" s="1"/>
      <c r="E159" s="26">
        <v>44221</v>
      </c>
      <c r="F159" s="2">
        <f>E159+28</f>
        <v>44249</v>
      </c>
      <c r="G159" s="1" t="s">
        <v>364</v>
      </c>
      <c r="H159" s="1">
        <v>3401</v>
      </c>
      <c r="I159" s="1" t="s">
        <v>1963</v>
      </c>
      <c r="J159" s="1" t="s">
        <v>434</v>
      </c>
      <c r="K159" s="1" t="s">
        <v>31</v>
      </c>
      <c r="L159" s="1" t="s">
        <v>1964</v>
      </c>
      <c r="M159" s="1" t="s">
        <v>32</v>
      </c>
      <c r="N159" s="1" t="s">
        <v>1227</v>
      </c>
      <c r="O159" s="1" t="s">
        <v>1965</v>
      </c>
      <c r="P159" s="1" t="s">
        <v>1966</v>
      </c>
      <c r="Q159" s="46"/>
      <c r="R159" s="46" t="s">
        <v>364</v>
      </c>
      <c r="S159" s="1"/>
      <c r="T159" s="1" t="s">
        <v>1276</v>
      </c>
      <c r="U159" s="1" t="s">
        <v>1277</v>
      </c>
      <c r="V159" s="1" t="s">
        <v>1278</v>
      </c>
      <c r="W159" s="1" t="s">
        <v>1279</v>
      </c>
    </row>
    <row r="160" spans="1:26" s="4" customFormat="1">
      <c r="A160" s="93" t="s">
        <v>1240</v>
      </c>
      <c r="B160" s="29" t="s">
        <v>526</v>
      </c>
      <c r="C160" s="29" t="s">
        <v>1967</v>
      </c>
      <c r="D160" s="2"/>
      <c r="E160" s="26">
        <v>44749</v>
      </c>
      <c r="F160" s="2">
        <f t="shared" ref="F160:F166" si="8">E160+14</f>
        <v>44763</v>
      </c>
      <c r="G160" s="2"/>
      <c r="H160" s="1">
        <v>5110</v>
      </c>
      <c r="I160" s="1" t="s">
        <v>1968</v>
      </c>
      <c r="J160" s="1" t="s">
        <v>1969</v>
      </c>
      <c r="K160" s="1" t="s">
        <v>31</v>
      </c>
      <c r="L160" s="1">
        <v>85340</v>
      </c>
      <c r="M160" s="1" t="s">
        <v>32</v>
      </c>
      <c r="N160" s="1" t="s">
        <v>1227</v>
      </c>
      <c r="O160" s="1" t="s">
        <v>1970</v>
      </c>
      <c r="P160" s="1" t="s">
        <v>532</v>
      </c>
      <c r="Q160" s="1"/>
      <c r="R160" s="1">
        <v>80051</v>
      </c>
      <c r="S160" s="1"/>
      <c r="T160" s="1"/>
      <c r="U160" s="1"/>
      <c r="V160" s="4" t="s">
        <v>443</v>
      </c>
      <c r="W160" s="4" t="s">
        <v>1253</v>
      </c>
      <c r="X160" s="4" t="s">
        <v>616</v>
      </c>
      <c r="Y160" s="15" t="s">
        <v>1247</v>
      </c>
    </row>
    <row r="161" spans="1:26" s="4" customFormat="1">
      <c r="A161" s="93" t="s">
        <v>1240</v>
      </c>
      <c r="B161" s="29" t="s">
        <v>526</v>
      </c>
      <c r="C161" s="29" t="s">
        <v>1967</v>
      </c>
      <c r="D161" s="2"/>
      <c r="E161" s="26">
        <v>44749</v>
      </c>
      <c r="F161" s="2">
        <f t="shared" si="8"/>
        <v>44763</v>
      </c>
      <c r="G161" s="2"/>
      <c r="H161" s="1">
        <v>5110</v>
      </c>
      <c r="I161" s="1" t="s">
        <v>1968</v>
      </c>
      <c r="J161" s="1" t="s">
        <v>1969</v>
      </c>
      <c r="K161" s="1" t="s">
        <v>31</v>
      </c>
      <c r="L161" s="1">
        <v>85340</v>
      </c>
      <c r="M161" s="1" t="s">
        <v>32</v>
      </c>
      <c r="N161" s="1" t="s">
        <v>1227</v>
      </c>
      <c r="O161" s="1" t="s">
        <v>1970</v>
      </c>
      <c r="P161" s="1" t="s">
        <v>532</v>
      </c>
      <c r="Q161" s="1"/>
      <c r="R161" s="1">
        <v>80051</v>
      </c>
      <c r="S161" s="1"/>
      <c r="T161" s="1"/>
      <c r="U161" s="1"/>
      <c r="V161" s="4" t="s">
        <v>443</v>
      </c>
      <c r="W161" s="4" t="s">
        <v>1253</v>
      </c>
      <c r="X161" s="4" t="s">
        <v>616</v>
      </c>
      <c r="Y161" s="15" t="s">
        <v>1247</v>
      </c>
    </row>
    <row r="162" spans="1:26" s="4" customFormat="1" ht="15" customHeight="1">
      <c r="A162" s="4" t="s">
        <v>1280</v>
      </c>
      <c r="B162" s="4" t="s">
        <v>1971</v>
      </c>
      <c r="C162" s="4" t="s">
        <v>1972</v>
      </c>
      <c r="D162" s="1"/>
      <c r="E162" s="26">
        <v>43775</v>
      </c>
      <c r="F162" s="2">
        <f t="shared" si="8"/>
        <v>43789</v>
      </c>
      <c r="G162" s="1" t="s">
        <v>364</v>
      </c>
      <c r="H162" s="1">
        <v>3615</v>
      </c>
      <c r="I162" s="33" t="s">
        <v>1973</v>
      </c>
      <c r="J162" s="33" t="s">
        <v>434</v>
      </c>
      <c r="K162" s="33" t="s">
        <v>31</v>
      </c>
      <c r="L162" s="33" t="s">
        <v>771</v>
      </c>
      <c r="M162" s="1" t="s">
        <v>32</v>
      </c>
      <c r="N162" s="1" t="s">
        <v>1227</v>
      </c>
      <c r="O162" s="33" t="s">
        <v>1974</v>
      </c>
      <c r="P162" s="38" t="s">
        <v>1975</v>
      </c>
      <c r="Q162" s="37"/>
      <c r="R162" s="37">
        <v>75340</v>
      </c>
      <c r="S162" s="1"/>
      <c r="T162" s="1" t="s">
        <v>443</v>
      </c>
      <c r="U162" s="1" t="s">
        <v>1253</v>
      </c>
      <c r="V162" s="1" t="s">
        <v>1254</v>
      </c>
      <c r="W162" s="1" t="s">
        <v>1255</v>
      </c>
    </row>
    <row r="163" spans="1:26">
      <c r="A163" t="s">
        <v>1266</v>
      </c>
      <c r="B163" s="192" t="s">
        <v>1971</v>
      </c>
      <c r="C163" s="192" t="s">
        <v>1976</v>
      </c>
      <c r="E163" s="200">
        <v>43913</v>
      </c>
      <c r="F163" s="197">
        <f t="shared" si="8"/>
        <v>43927</v>
      </c>
      <c r="G163" s="25" t="s">
        <v>364</v>
      </c>
      <c r="H163" s="25">
        <v>6253</v>
      </c>
      <c r="I163" s="25" t="s">
        <v>1977</v>
      </c>
      <c r="J163" s="25" t="s">
        <v>63</v>
      </c>
      <c r="K163" s="25" t="s">
        <v>31</v>
      </c>
      <c r="L163" s="25">
        <v>85212</v>
      </c>
      <c r="M163" s="1" t="s">
        <v>32</v>
      </c>
      <c r="N163" s="1" t="s">
        <v>1227</v>
      </c>
      <c r="O163" s="25" t="s">
        <v>1978</v>
      </c>
      <c r="P163" s="25" t="s">
        <v>1979</v>
      </c>
      <c r="R163" s="25">
        <v>77256</v>
      </c>
      <c r="S163" s="25"/>
      <c r="T163" s="25" t="s">
        <v>1276</v>
      </c>
      <c r="U163" s="25" t="s">
        <v>1277</v>
      </c>
      <c r="V163" s="25" t="s">
        <v>1278</v>
      </c>
      <c r="W163" s="25" t="s">
        <v>1279</v>
      </c>
    </row>
    <row r="164" spans="1:26" s="4" customFormat="1" ht="15" customHeight="1">
      <c r="A164" s="93" t="s">
        <v>1256</v>
      </c>
      <c r="B164" s="68" t="s">
        <v>1980</v>
      </c>
      <c r="C164" s="47" t="s">
        <v>1981</v>
      </c>
      <c r="D164" s="58"/>
      <c r="E164" s="26">
        <v>44578</v>
      </c>
      <c r="F164" s="2">
        <f t="shared" si="8"/>
        <v>44592</v>
      </c>
      <c r="G164" s="2"/>
      <c r="H164" s="45" t="s">
        <v>528</v>
      </c>
      <c r="I164" s="73" t="s">
        <v>1982</v>
      </c>
      <c r="J164" s="46" t="s">
        <v>434</v>
      </c>
      <c r="K164" s="46" t="s">
        <v>31</v>
      </c>
      <c r="L164" s="67">
        <v>85003</v>
      </c>
      <c r="M164" s="46" t="s">
        <v>32</v>
      </c>
      <c r="N164" s="47"/>
      <c r="O164" s="46" t="s">
        <v>1983</v>
      </c>
      <c r="P164" s="46" t="s">
        <v>1984</v>
      </c>
      <c r="Q164" s="46"/>
      <c r="R164" s="50">
        <v>76481</v>
      </c>
      <c r="V164" s="4" t="s">
        <v>1264</v>
      </c>
      <c r="W164" s="4" t="s">
        <v>1253</v>
      </c>
      <c r="X164" s="4" t="s">
        <v>616</v>
      </c>
      <c r="Y164" s="15" t="s">
        <v>1265</v>
      </c>
    </row>
    <row r="165" spans="1:26" s="4" customFormat="1" ht="15" customHeight="1">
      <c r="A165" s="164" t="s">
        <v>1240</v>
      </c>
      <c r="B165" s="69" t="s">
        <v>1980</v>
      </c>
      <c r="C165" s="5" t="s">
        <v>1985</v>
      </c>
      <c r="D165" s="59"/>
      <c r="E165" s="2">
        <v>44894</v>
      </c>
      <c r="F165" s="2">
        <f t="shared" si="8"/>
        <v>44908</v>
      </c>
      <c r="G165" s="2"/>
      <c r="H165" s="43" t="s">
        <v>184</v>
      </c>
      <c r="I165" s="7" t="s">
        <v>1986</v>
      </c>
      <c r="J165" s="33" t="s">
        <v>822</v>
      </c>
      <c r="K165" s="33" t="s">
        <v>31</v>
      </c>
      <c r="L165" s="33"/>
      <c r="M165" s="33" t="s">
        <v>32</v>
      </c>
      <c r="N165" s="5"/>
      <c r="O165" s="33" t="s">
        <v>1987</v>
      </c>
      <c r="P165" s="33" t="s">
        <v>1988</v>
      </c>
      <c r="Q165" s="96" t="s">
        <v>1989</v>
      </c>
      <c r="R165" s="37">
        <v>84316</v>
      </c>
      <c r="V165" s="4" t="s">
        <v>443</v>
      </c>
      <c r="W165" s="4" t="s">
        <v>37</v>
      </c>
      <c r="X165" s="4" t="s">
        <v>616</v>
      </c>
      <c r="Y165" s="167" t="s">
        <v>1247</v>
      </c>
      <c r="Z165" s="168"/>
    </row>
    <row r="166" spans="1:26" s="4" customFormat="1" ht="15" customHeight="1">
      <c r="A166" s="92" t="s">
        <v>25</v>
      </c>
      <c r="B166" s="29" t="s">
        <v>1990</v>
      </c>
      <c r="C166" s="4" t="s">
        <v>1991</v>
      </c>
      <c r="D166" s="2"/>
      <c r="E166" s="139">
        <v>44567</v>
      </c>
      <c r="F166" s="2">
        <f t="shared" si="8"/>
        <v>44581</v>
      </c>
      <c r="G166" s="2"/>
      <c r="H166" s="41">
        <v>24275</v>
      </c>
      <c r="I166" s="1" t="s">
        <v>1992</v>
      </c>
      <c r="J166" s="1" t="s">
        <v>434</v>
      </c>
      <c r="K166" s="1" t="s">
        <v>31</v>
      </c>
      <c r="L166" s="1">
        <v>85085</v>
      </c>
      <c r="M166" s="1" t="s">
        <v>32</v>
      </c>
      <c r="N166" s="1" t="s">
        <v>1227</v>
      </c>
      <c r="O166" s="1" t="s">
        <v>1993</v>
      </c>
      <c r="P166" s="1" t="s">
        <v>1994</v>
      </c>
      <c r="Q166" s="1"/>
      <c r="R166" s="31">
        <v>86865</v>
      </c>
      <c r="V166" s="4" t="s">
        <v>36</v>
      </c>
      <c r="W166" s="4" t="s">
        <v>1277</v>
      </c>
      <c r="X166" s="1" t="s">
        <v>59</v>
      </c>
      <c r="Y166" s="15" t="s">
        <v>1330</v>
      </c>
    </row>
    <row r="167" spans="1:26" s="4" customFormat="1" ht="15" customHeight="1">
      <c r="A167" s="163" t="s">
        <v>25</v>
      </c>
      <c r="B167" s="4" t="s">
        <v>1995</v>
      </c>
      <c r="C167" s="4" t="s">
        <v>1996</v>
      </c>
      <c r="D167" s="1"/>
      <c r="E167" s="26">
        <v>44798</v>
      </c>
      <c r="F167" s="2">
        <v>44813</v>
      </c>
      <c r="G167" s="1"/>
      <c r="H167" s="1">
        <v>6340</v>
      </c>
      <c r="I167" s="1" t="s">
        <v>1997</v>
      </c>
      <c r="J167" s="1" t="s">
        <v>427</v>
      </c>
      <c r="K167" s="1" t="s">
        <v>31</v>
      </c>
      <c r="L167" s="1">
        <v>85353</v>
      </c>
      <c r="M167" s="1" t="s">
        <v>32</v>
      </c>
      <c r="N167" s="1" t="s">
        <v>364</v>
      </c>
      <c r="O167" s="1" t="s">
        <v>1998</v>
      </c>
      <c r="P167" s="1" t="s">
        <v>1999</v>
      </c>
      <c r="Q167" s="87" t="s">
        <v>2000</v>
      </c>
      <c r="R167" s="1">
        <v>89585</v>
      </c>
    </row>
    <row r="168" spans="1:26" s="4" customFormat="1" ht="15" customHeight="1">
      <c r="A168" s="4" t="s">
        <v>1256</v>
      </c>
      <c r="B168" s="29" t="s">
        <v>2001</v>
      </c>
      <c r="C168" s="29" t="s">
        <v>2002</v>
      </c>
      <c r="D168" s="1">
        <v>43703</v>
      </c>
      <c r="E168" s="139">
        <v>44258</v>
      </c>
      <c r="F168" s="2">
        <f>E168+14</f>
        <v>44272</v>
      </c>
      <c r="G168" s="1" t="s">
        <v>364</v>
      </c>
      <c r="H168" s="1" t="s">
        <v>184</v>
      </c>
      <c r="I168" s="1" t="s">
        <v>2003</v>
      </c>
      <c r="J168" s="1" t="s">
        <v>831</v>
      </c>
      <c r="K168" s="1" t="s">
        <v>31</v>
      </c>
      <c r="L168" s="1">
        <v>85326</v>
      </c>
      <c r="M168" s="1" t="s">
        <v>32</v>
      </c>
      <c r="N168" s="1" t="s">
        <v>1227</v>
      </c>
      <c r="O168" s="1" t="s">
        <v>2004</v>
      </c>
      <c r="P168" s="1" t="s">
        <v>2005</v>
      </c>
      <c r="Q168" s="1"/>
      <c r="R168" s="1"/>
      <c r="S168" s="1"/>
      <c r="T168" s="1" t="s">
        <v>443</v>
      </c>
      <c r="U168" s="1" t="s">
        <v>1253</v>
      </c>
      <c r="V168" s="1" t="s">
        <v>1254</v>
      </c>
      <c r="W168" s="1" t="s">
        <v>1255</v>
      </c>
    </row>
    <row r="169" spans="1:26" s="4" customFormat="1" ht="15" customHeight="1">
      <c r="A169" s="93" t="s">
        <v>1256</v>
      </c>
      <c r="B169" s="69" t="s">
        <v>2001</v>
      </c>
      <c r="C169" s="5" t="s">
        <v>2006</v>
      </c>
      <c r="D169" s="59"/>
      <c r="E169" s="26">
        <v>44538</v>
      </c>
      <c r="F169" s="2">
        <f>E169+14</f>
        <v>44552</v>
      </c>
      <c r="G169" s="2"/>
      <c r="H169" s="49">
        <v>825</v>
      </c>
      <c r="I169" s="33" t="s">
        <v>2007</v>
      </c>
      <c r="J169" s="33" t="s">
        <v>434</v>
      </c>
      <c r="K169" s="33" t="s">
        <v>31</v>
      </c>
      <c r="L169" s="33" t="s">
        <v>2008</v>
      </c>
      <c r="M169" s="1" t="s">
        <v>32</v>
      </c>
      <c r="N169" s="1" t="s">
        <v>1227</v>
      </c>
      <c r="O169" s="33" t="s">
        <v>2004</v>
      </c>
      <c r="P169" s="33" t="s">
        <v>2009</v>
      </c>
      <c r="Q169" s="99" t="s">
        <v>2010</v>
      </c>
      <c r="R169" s="37">
        <v>78438</v>
      </c>
      <c r="V169" s="4" t="s">
        <v>1264</v>
      </c>
      <c r="W169" s="4" t="s">
        <v>1253</v>
      </c>
      <c r="X169" s="4" t="s">
        <v>616</v>
      </c>
      <c r="Y169" s="15" t="s">
        <v>1265</v>
      </c>
    </row>
    <row r="170" spans="1:26" s="4" customFormat="1" ht="15" customHeight="1">
      <c r="A170" s="4" t="s">
        <v>1224</v>
      </c>
      <c r="B170" s="29" t="s">
        <v>2011</v>
      </c>
      <c r="C170" s="29" t="s">
        <v>2012</v>
      </c>
      <c r="D170" s="1"/>
      <c r="E170" s="26"/>
      <c r="F170" s="2"/>
      <c r="G170" s="1" t="s">
        <v>364</v>
      </c>
      <c r="H170" s="1"/>
      <c r="I170" s="1" t="s">
        <v>2013</v>
      </c>
      <c r="J170" s="1" t="s">
        <v>916</v>
      </c>
      <c r="K170" s="1" t="s">
        <v>31</v>
      </c>
      <c r="L170" s="1" t="s">
        <v>2014</v>
      </c>
      <c r="M170" s="1" t="s">
        <v>32</v>
      </c>
      <c r="N170" s="1" t="s">
        <v>1227</v>
      </c>
      <c r="O170" s="1"/>
      <c r="P170" s="1"/>
      <c r="Q170" s="1"/>
      <c r="R170" s="1" t="s">
        <v>364</v>
      </c>
      <c r="S170" s="1"/>
      <c r="T170" s="1" t="s">
        <v>1276</v>
      </c>
      <c r="U170" s="1" t="s">
        <v>1277</v>
      </c>
      <c r="V170" s="1" t="s">
        <v>1278</v>
      </c>
      <c r="W170" s="1" t="s">
        <v>1279</v>
      </c>
    </row>
    <row r="171" spans="1:26" s="4" customFormat="1" ht="15" customHeight="1">
      <c r="A171" s="4" t="s">
        <v>1266</v>
      </c>
      <c r="B171" s="29" t="s">
        <v>977</v>
      </c>
      <c r="C171" s="29" t="s">
        <v>2015</v>
      </c>
      <c r="D171" s="1"/>
      <c r="E171" s="26">
        <v>44181</v>
      </c>
      <c r="F171" s="2">
        <f t="shared" ref="F171:F212" si="9">E171+14</f>
        <v>44195</v>
      </c>
      <c r="G171" s="1" t="s">
        <v>364</v>
      </c>
      <c r="H171" s="1">
        <v>481</v>
      </c>
      <c r="I171" s="1" t="s">
        <v>457</v>
      </c>
      <c r="J171" s="1" t="s">
        <v>49</v>
      </c>
      <c r="K171" s="1" t="s">
        <v>31</v>
      </c>
      <c r="L171" s="1">
        <v>85233</v>
      </c>
      <c r="M171" s="1" t="s">
        <v>32</v>
      </c>
      <c r="N171" s="1" t="s">
        <v>1227</v>
      </c>
      <c r="O171" s="1" t="s">
        <v>2016</v>
      </c>
      <c r="P171" s="1" t="s">
        <v>2017</v>
      </c>
      <c r="Q171" s="1"/>
      <c r="R171" s="1"/>
      <c r="S171" s="1"/>
      <c r="T171" s="1"/>
      <c r="U171" s="1"/>
      <c r="V171" s="1"/>
      <c r="W171" s="1"/>
    </row>
    <row r="172" spans="1:26" s="4" customFormat="1" ht="15" customHeight="1">
      <c r="A172" s="4" t="s">
        <v>1266</v>
      </c>
      <c r="B172" s="29" t="s">
        <v>977</v>
      </c>
      <c r="C172" s="29" t="s">
        <v>2018</v>
      </c>
      <c r="D172" s="1"/>
      <c r="E172" s="26">
        <v>44230</v>
      </c>
      <c r="F172" s="2">
        <f t="shared" si="9"/>
        <v>44244</v>
      </c>
      <c r="G172" s="1" t="s">
        <v>364</v>
      </c>
      <c r="H172" s="1">
        <v>360</v>
      </c>
      <c r="I172" s="1" t="s">
        <v>2019</v>
      </c>
      <c r="J172" s="1" t="s">
        <v>415</v>
      </c>
      <c r="K172" s="1" t="s">
        <v>31</v>
      </c>
      <c r="L172" s="1">
        <v>85281</v>
      </c>
      <c r="M172" s="1" t="s">
        <v>32</v>
      </c>
      <c r="N172" s="1" t="s">
        <v>1227</v>
      </c>
      <c r="O172" s="1" t="s">
        <v>2020</v>
      </c>
      <c r="P172" s="1" t="s">
        <v>2021</v>
      </c>
      <c r="Q172" s="1"/>
      <c r="R172" s="1"/>
      <c r="S172" s="1"/>
      <c r="T172" s="1" t="s">
        <v>443</v>
      </c>
      <c r="U172" s="1" t="s">
        <v>1253</v>
      </c>
      <c r="V172" s="1" t="s">
        <v>1254</v>
      </c>
      <c r="W172" s="1" t="s">
        <v>1255</v>
      </c>
    </row>
    <row r="173" spans="1:26" s="4" customFormat="1" ht="15" customHeight="1">
      <c r="A173" s="4" t="s">
        <v>1256</v>
      </c>
      <c r="B173" s="4" t="s">
        <v>977</v>
      </c>
      <c r="C173" s="29" t="s">
        <v>2022</v>
      </c>
      <c r="D173" s="1"/>
      <c r="E173" s="139">
        <v>44287</v>
      </c>
      <c r="F173" s="2">
        <f t="shared" si="9"/>
        <v>44301</v>
      </c>
      <c r="G173" s="1" t="s">
        <v>364</v>
      </c>
      <c r="H173" s="1">
        <v>9330</v>
      </c>
      <c r="I173" s="1" t="s">
        <v>2023</v>
      </c>
      <c r="J173" s="1" t="s">
        <v>851</v>
      </c>
      <c r="K173" s="1" t="s">
        <v>31</v>
      </c>
      <c r="L173" s="1">
        <v>85345</v>
      </c>
      <c r="M173" s="1" t="s">
        <v>32</v>
      </c>
      <c r="N173" s="1" t="s">
        <v>1227</v>
      </c>
      <c r="O173" s="1"/>
      <c r="P173" s="1"/>
      <c r="Q173" s="1"/>
      <c r="R173" s="1"/>
      <c r="S173" s="1"/>
      <c r="T173" s="1" t="s">
        <v>443</v>
      </c>
      <c r="U173" s="1" t="s">
        <v>1253</v>
      </c>
      <c r="V173" s="1" t="s">
        <v>1254</v>
      </c>
      <c r="W173" s="1" t="s">
        <v>1255</v>
      </c>
    </row>
    <row r="174" spans="1:26" s="4" customFormat="1" ht="15.75">
      <c r="A174" s="164" t="s">
        <v>1240</v>
      </c>
      <c r="B174" s="70" t="s">
        <v>977</v>
      </c>
      <c r="C174" s="56" t="s">
        <v>2024</v>
      </c>
      <c r="D174" s="60"/>
      <c r="E174" s="2">
        <v>44879</v>
      </c>
      <c r="F174" s="60">
        <f t="shared" si="9"/>
        <v>44893</v>
      </c>
      <c r="G174" s="60"/>
      <c r="H174" s="54" t="s">
        <v>2025</v>
      </c>
      <c r="I174" s="80" t="s">
        <v>1067</v>
      </c>
      <c r="J174" s="55" t="s">
        <v>434</v>
      </c>
      <c r="K174" s="55" t="s">
        <v>31</v>
      </c>
      <c r="L174" s="55" t="s">
        <v>2026</v>
      </c>
      <c r="M174" s="55" t="s">
        <v>32</v>
      </c>
      <c r="N174" s="56"/>
      <c r="O174" s="55" t="s">
        <v>2027</v>
      </c>
      <c r="P174" s="55" t="s">
        <v>2028</v>
      </c>
      <c r="Q174" s="186"/>
      <c r="R174" s="57">
        <v>88043</v>
      </c>
      <c r="V174" s="4" t="s">
        <v>443</v>
      </c>
      <c r="W174" s="4" t="s">
        <v>37</v>
      </c>
      <c r="X174" s="4" t="s">
        <v>616</v>
      </c>
      <c r="Y174" s="167" t="s">
        <v>1247</v>
      </c>
      <c r="Z174" s="168"/>
    </row>
    <row r="175" spans="1:26" s="4" customFormat="1" ht="15" customHeight="1">
      <c r="A175" s="163" t="s">
        <v>25</v>
      </c>
      <c r="B175" s="29" t="s">
        <v>977</v>
      </c>
      <c r="C175" s="4" t="s">
        <v>2029</v>
      </c>
      <c r="D175" s="130"/>
      <c r="E175" s="2">
        <v>44881</v>
      </c>
      <c r="F175" s="2">
        <f t="shared" si="9"/>
        <v>44895</v>
      </c>
      <c r="G175" s="2"/>
      <c r="H175" s="41">
        <v>2897</v>
      </c>
      <c r="I175" s="15" t="s">
        <v>2030</v>
      </c>
      <c r="J175" s="1" t="s">
        <v>1524</v>
      </c>
      <c r="K175" s="1" t="s">
        <v>31</v>
      </c>
      <c r="L175" s="1"/>
      <c r="M175" s="1" t="s">
        <v>32</v>
      </c>
      <c r="O175" s="1" t="s">
        <v>2031</v>
      </c>
      <c r="P175" s="1" t="s">
        <v>2032</v>
      </c>
      <c r="Q175" s="87" t="s">
        <v>2033</v>
      </c>
      <c r="R175" s="31">
        <v>94384</v>
      </c>
      <c r="V175" s="4" t="s">
        <v>36</v>
      </c>
      <c r="W175" s="4" t="s">
        <v>37</v>
      </c>
      <c r="X175" s="1" t="s">
        <v>59</v>
      </c>
      <c r="Y175" s="167" t="s">
        <v>39</v>
      </c>
      <c r="Z175" s="168"/>
    </row>
    <row r="176" spans="1:26" s="4" customFormat="1" ht="15" customHeight="1">
      <c r="A176" s="4" t="s">
        <v>1280</v>
      </c>
      <c r="B176" s="29" t="s">
        <v>2034</v>
      </c>
      <c r="C176" s="4" t="s">
        <v>2035</v>
      </c>
      <c r="D176" s="2"/>
      <c r="E176" s="26">
        <v>43873</v>
      </c>
      <c r="F176" s="2">
        <f t="shared" si="9"/>
        <v>43887</v>
      </c>
      <c r="G176" s="43" t="s">
        <v>364</v>
      </c>
      <c r="H176" s="43" t="s">
        <v>2036</v>
      </c>
      <c r="I176" s="33" t="s">
        <v>2037</v>
      </c>
      <c r="J176" s="33" t="s">
        <v>873</v>
      </c>
      <c r="K176" s="33" t="s">
        <v>31</v>
      </c>
      <c r="L176" s="33" t="s">
        <v>1273</v>
      </c>
      <c r="M176" s="1" t="s">
        <v>32</v>
      </c>
      <c r="N176" s="1" t="s">
        <v>1227</v>
      </c>
      <c r="O176" s="38" t="s">
        <v>2038</v>
      </c>
      <c r="P176" s="11" t="s">
        <v>2039</v>
      </c>
      <c r="Q176" s="52"/>
      <c r="R176" s="52" t="s">
        <v>364</v>
      </c>
      <c r="S176" s="1"/>
      <c r="T176" s="1" t="s">
        <v>1276</v>
      </c>
      <c r="U176" s="1" t="s">
        <v>1277</v>
      </c>
      <c r="V176" s="1" t="s">
        <v>1278</v>
      </c>
      <c r="W176" s="1" t="s">
        <v>1279</v>
      </c>
    </row>
    <row r="177" spans="1:26" s="4" customFormat="1" ht="15" customHeight="1">
      <c r="A177" s="93" t="s">
        <v>1256</v>
      </c>
      <c r="B177" s="70" t="s">
        <v>2040</v>
      </c>
      <c r="C177" s="56" t="s">
        <v>2041</v>
      </c>
      <c r="D177" s="60"/>
      <c r="E177" s="26">
        <v>44585</v>
      </c>
      <c r="F177" s="60">
        <f t="shared" si="9"/>
        <v>44599</v>
      </c>
      <c r="G177" s="60"/>
      <c r="H177" s="54" t="s">
        <v>2042</v>
      </c>
      <c r="I177" s="55" t="s">
        <v>1347</v>
      </c>
      <c r="J177" s="55" t="s">
        <v>434</v>
      </c>
      <c r="K177" s="55" t="s">
        <v>31</v>
      </c>
      <c r="L177" s="55" t="s">
        <v>771</v>
      </c>
      <c r="M177" s="55" t="s">
        <v>32</v>
      </c>
      <c r="N177" s="55" t="s">
        <v>1227</v>
      </c>
      <c r="O177" s="55" t="s">
        <v>2043</v>
      </c>
      <c r="P177" s="55" t="s">
        <v>2044</v>
      </c>
      <c r="Q177" s="82" t="s">
        <v>2045</v>
      </c>
      <c r="R177" s="57">
        <v>88265</v>
      </c>
      <c r="S177" s="1"/>
      <c r="T177" s="1"/>
      <c r="U177" s="1"/>
      <c r="V177" s="4" t="s">
        <v>1264</v>
      </c>
      <c r="W177" s="4" t="s">
        <v>1253</v>
      </c>
      <c r="X177" s="4" t="s">
        <v>616</v>
      </c>
      <c r="Y177" s="15" t="s">
        <v>1265</v>
      </c>
    </row>
    <row r="178" spans="1:26" s="4" customFormat="1">
      <c r="A178" s="93" t="s">
        <v>1256</v>
      </c>
      <c r="B178" s="29" t="s">
        <v>2040</v>
      </c>
      <c r="C178" s="4" t="s">
        <v>2046</v>
      </c>
      <c r="D178" s="2"/>
      <c r="E178" s="26">
        <v>44595</v>
      </c>
      <c r="F178" s="2">
        <f t="shared" si="9"/>
        <v>44609</v>
      </c>
      <c r="G178" s="2"/>
      <c r="H178" s="41">
        <v>7720</v>
      </c>
      <c r="I178" s="1" t="s">
        <v>2047</v>
      </c>
      <c r="J178" s="1" t="s">
        <v>398</v>
      </c>
      <c r="K178" s="1" t="s">
        <v>31</v>
      </c>
      <c r="L178" s="1">
        <v>85258</v>
      </c>
      <c r="M178" s="1" t="s">
        <v>32</v>
      </c>
      <c r="O178" s="1" t="s">
        <v>2048</v>
      </c>
      <c r="P178" s="1" t="s">
        <v>2049</v>
      </c>
      <c r="Q178" s="87" t="s">
        <v>2050</v>
      </c>
      <c r="R178" s="31">
        <v>86142</v>
      </c>
      <c r="V178" s="4" t="s">
        <v>1264</v>
      </c>
      <c r="W178" s="4" t="s">
        <v>1253</v>
      </c>
      <c r="X178" s="4" t="s">
        <v>616</v>
      </c>
      <c r="Y178" s="15" t="s">
        <v>1265</v>
      </c>
    </row>
    <row r="179" spans="1:26" s="4" customFormat="1" ht="15" customHeight="1">
      <c r="A179" s="163" t="s">
        <v>25</v>
      </c>
      <c r="B179" s="15" t="s">
        <v>2051</v>
      </c>
      <c r="C179" s="29" t="s">
        <v>2052</v>
      </c>
      <c r="D179" s="1"/>
      <c r="E179" s="2">
        <v>44886</v>
      </c>
      <c r="F179" s="2">
        <f t="shared" si="9"/>
        <v>44900</v>
      </c>
      <c r="G179" s="15"/>
      <c r="H179" s="1">
        <v>4603</v>
      </c>
      <c r="I179" s="4" t="s">
        <v>2053</v>
      </c>
      <c r="J179" s="1" t="s">
        <v>63</v>
      </c>
      <c r="K179" s="1" t="s">
        <v>31</v>
      </c>
      <c r="L179" s="1">
        <v>85215</v>
      </c>
      <c r="M179" s="1" t="s">
        <v>32</v>
      </c>
      <c r="O179" s="1" t="s">
        <v>2054</v>
      </c>
      <c r="P179" s="1" t="s">
        <v>2055</v>
      </c>
      <c r="Q179" s="162" t="s">
        <v>2056</v>
      </c>
      <c r="R179" s="1">
        <v>84455</v>
      </c>
      <c r="V179" s="4" t="s">
        <v>36</v>
      </c>
      <c r="W179" s="4" t="s">
        <v>37</v>
      </c>
      <c r="X179" s="1" t="s">
        <v>59</v>
      </c>
      <c r="Y179" s="167" t="s">
        <v>39</v>
      </c>
      <c r="Z179" s="168"/>
    </row>
    <row r="180" spans="1:26" s="4" customFormat="1" ht="15" customHeight="1">
      <c r="A180" s="92" t="s">
        <v>25</v>
      </c>
      <c r="B180" s="29" t="s">
        <v>2057</v>
      </c>
      <c r="C180" s="29" t="s">
        <v>2058</v>
      </c>
      <c r="D180" s="2"/>
      <c r="E180" s="26">
        <v>44666</v>
      </c>
      <c r="F180" s="60">
        <f t="shared" si="9"/>
        <v>44680</v>
      </c>
      <c r="G180" s="60"/>
      <c r="H180" s="1">
        <v>100</v>
      </c>
      <c r="I180" s="1" t="s">
        <v>2059</v>
      </c>
      <c r="J180" s="1" t="s">
        <v>415</v>
      </c>
      <c r="K180" s="1" t="s">
        <v>31</v>
      </c>
      <c r="L180" s="1">
        <v>85281</v>
      </c>
      <c r="M180" s="1" t="s">
        <v>32</v>
      </c>
      <c r="N180" s="1" t="s">
        <v>1227</v>
      </c>
      <c r="O180" s="1" t="s">
        <v>2060</v>
      </c>
      <c r="P180" s="1" t="s">
        <v>2061</v>
      </c>
      <c r="Q180" s="1" t="s">
        <v>2062</v>
      </c>
      <c r="R180" s="1">
        <v>81598</v>
      </c>
      <c r="S180" s="47"/>
      <c r="T180" s="47"/>
      <c r="U180" s="51"/>
      <c r="V180" s="4" t="s">
        <v>36</v>
      </c>
      <c r="W180" s="4" t="s">
        <v>1277</v>
      </c>
      <c r="X180" s="1" t="s">
        <v>59</v>
      </c>
      <c r="Y180" s="15" t="s">
        <v>1330</v>
      </c>
    </row>
    <row r="181" spans="1:26" s="4" customFormat="1">
      <c r="A181" s="4" t="s">
        <v>1224</v>
      </c>
      <c r="B181" s="29" t="s">
        <v>2063</v>
      </c>
      <c r="C181" s="29" t="s">
        <v>2064</v>
      </c>
      <c r="D181" s="1"/>
      <c r="E181" s="26">
        <v>43956</v>
      </c>
      <c r="F181" s="2">
        <f t="shared" si="9"/>
        <v>43970</v>
      </c>
      <c r="G181" s="1" t="s">
        <v>364</v>
      </c>
      <c r="H181" s="1">
        <v>3710</v>
      </c>
      <c r="I181" s="1" t="s">
        <v>2065</v>
      </c>
      <c r="J181" s="1" t="s">
        <v>916</v>
      </c>
      <c r="K181" s="1" t="s">
        <v>31</v>
      </c>
      <c r="L181" s="1">
        <v>85730</v>
      </c>
      <c r="M181" s="1" t="s">
        <v>32</v>
      </c>
      <c r="N181" s="1" t="s">
        <v>1227</v>
      </c>
      <c r="O181" s="1" t="s">
        <v>2066</v>
      </c>
      <c r="P181" s="1" t="s">
        <v>2067</v>
      </c>
      <c r="Q181" s="1"/>
      <c r="R181" s="1" t="s">
        <v>364</v>
      </c>
      <c r="S181" s="1"/>
      <c r="T181" s="1" t="s">
        <v>1276</v>
      </c>
      <c r="U181" s="1" t="s">
        <v>1277</v>
      </c>
      <c r="V181" s="1" t="s">
        <v>1278</v>
      </c>
      <c r="W181" s="1" t="s">
        <v>1279</v>
      </c>
    </row>
    <row r="182" spans="1:26" s="4" customFormat="1" ht="15" customHeight="1">
      <c r="A182" s="4" t="s">
        <v>1266</v>
      </c>
      <c r="B182" s="29" t="s">
        <v>2068</v>
      </c>
      <c r="C182" s="29" t="s">
        <v>2069</v>
      </c>
      <c r="D182" s="1"/>
      <c r="E182" s="26">
        <v>44110</v>
      </c>
      <c r="F182" s="2">
        <f t="shared" si="9"/>
        <v>44124</v>
      </c>
      <c r="G182" s="1"/>
      <c r="H182" s="1"/>
      <c r="I182" s="1" t="s">
        <v>2070</v>
      </c>
      <c r="J182" s="1" t="s">
        <v>49</v>
      </c>
      <c r="K182" s="1" t="s">
        <v>31</v>
      </c>
      <c r="L182" s="1"/>
      <c r="M182" s="1" t="s">
        <v>32</v>
      </c>
      <c r="N182" s="1" t="s">
        <v>1227</v>
      </c>
      <c r="O182" s="1" t="s">
        <v>2071</v>
      </c>
      <c r="P182" s="1" t="s">
        <v>2072</v>
      </c>
      <c r="Q182" s="1"/>
      <c r="R182" s="1"/>
      <c r="S182" s="1"/>
      <c r="T182" s="1" t="s">
        <v>443</v>
      </c>
      <c r="U182" s="1" t="s">
        <v>1253</v>
      </c>
      <c r="V182" s="1" t="s">
        <v>1254</v>
      </c>
      <c r="W182" s="1" t="s">
        <v>1255</v>
      </c>
    </row>
    <row r="183" spans="1:26" s="4" customFormat="1" ht="15" customHeight="1">
      <c r="A183" s="4" t="s">
        <v>1266</v>
      </c>
      <c r="B183" s="4" t="s">
        <v>2068</v>
      </c>
      <c r="C183" s="29" t="s">
        <v>2073</v>
      </c>
      <c r="D183" s="1"/>
      <c r="E183" s="26">
        <v>44278</v>
      </c>
      <c r="F183" s="2">
        <f t="shared" si="9"/>
        <v>44292</v>
      </c>
      <c r="G183" s="1" t="s">
        <v>364</v>
      </c>
      <c r="H183" s="1">
        <v>6805</v>
      </c>
      <c r="I183" s="1" t="s">
        <v>2074</v>
      </c>
      <c r="J183" s="1" t="s">
        <v>69</v>
      </c>
      <c r="K183" s="1" t="s">
        <v>31</v>
      </c>
      <c r="L183" s="1">
        <v>85226</v>
      </c>
      <c r="M183" s="1" t="s">
        <v>32</v>
      </c>
      <c r="N183" s="1" t="s">
        <v>1227</v>
      </c>
      <c r="O183" s="1" t="s">
        <v>2075</v>
      </c>
      <c r="P183" s="1" t="s">
        <v>2076</v>
      </c>
      <c r="Q183" s="1"/>
      <c r="R183" s="1"/>
      <c r="S183" s="1"/>
      <c r="T183" s="1" t="s">
        <v>443</v>
      </c>
      <c r="U183" s="1" t="s">
        <v>1253</v>
      </c>
      <c r="V183" s="1" t="s">
        <v>1254</v>
      </c>
      <c r="W183" s="1" t="s">
        <v>1255</v>
      </c>
    </row>
    <row r="184" spans="1:26" s="4" customFormat="1">
      <c r="A184" s="92" t="s">
        <v>25</v>
      </c>
      <c r="B184" s="70" t="s">
        <v>2068</v>
      </c>
      <c r="C184" s="56" t="s">
        <v>2077</v>
      </c>
      <c r="D184" s="60"/>
      <c r="E184" s="60">
        <v>44760</v>
      </c>
      <c r="F184" s="133">
        <f t="shared" si="9"/>
        <v>44774</v>
      </c>
      <c r="G184" s="60"/>
      <c r="H184" s="54" t="s">
        <v>184</v>
      </c>
      <c r="I184" s="80" t="s">
        <v>2078</v>
      </c>
      <c r="J184" s="55" t="s">
        <v>49</v>
      </c>
      <c r="K184" s="55" t="s">
        <v>31</v>
      </c>
      <c r="L184" s="55"/>
      <c r="M184" s="55" t="s">
        <v>32</v>
      </c>
      <c r="N184" s="56"/>
      <c r="O184" s="55" t="s">
        <v>2079</v>
      </c>
      <c r="P184" s="55" t="s">
        <v>2080</v>
      </c>
      <c r="Q184" s="160" t="s">
        <v>2081</v>
      </c>
      <c r="R184" s="57">
        <v>90459</v>
      </c>
      <c r="V184" s="4" t="s">
        <v>36</v>
      </c>
      <c r="W184" s="4" t="s">
        <v>37</v>
      </c>
      <c r="X184" s="1" t="s">
        <v>59</v>
      </c>
      <c r="Y184" s="15" t="s">
        <v>39</v>
      </c>
    </row>
    <row r="185" spans="1:26" s="4" customFormat="1" ht="15" customHeight="1">
      <c r="A185" s="4" t="s">
        <v>1266</v>
      </c>
      <c r="B185" s="4" t="s">
        <v>2082</v>
      </c>
      <c r="C185" s="4" t="s">
        <v>2083</v>
      </c>
      <c r="D185" s="1"/>
      <c r="E185" s="26">
        <v>43675</v>
      </c>
      <c r="F185" s="2">
        <f t="shared" si="9"/>
        <v>43689</v>
      </c>
      <c r="G185" s="1" t="s">
        <v>364</v>
      </c>
      <c r="H185" s="1">
        <v>1600</v>
      </c>
      <c r="I185" s="33" t="s">
        <v>2084</v>
      </c>
      <c r="J185" s="33" t="s">
        <v>49</v>
      </c>
      <c r="K185" s="33" t="s">
        <v>31</v>
      </c>
      <c r="L185" s="33" t="s">
        <v>2085</v>
      </c>
      <c r="M185" s="1" t="s">
        <v>32</v>
      </c>
      <c r="N185" s="1" t="s">
        <v>1227</v>
      </c>
      <c r="O185" s="33" t="s">
        <v>2086</v>
      </c>
      <c r="P185" s="38" t="s">
        <v>2087</v>
      </c>
      <c r="Q185" s="11"/>
      <c r="R185" s="11">
        <v>74409</v>
      </c>
      <c r="S185" s="1"/>
      <c r="T185" s="1" t="s">
        <v>443</v>
      </c>
      <c r="U185" s="1" t="s">
        <v>1253</v>
      </c>
      <c r="V185" s="1" t="s">
        <v>1254</v>
      </c>
      <c r="W185" s="1" t="s">
        <v>1255</v>
      </c>
    </row>
    <row r="186" spans="1:26" s="4" customFormat="1" ht="15" customHeight="1">
      <c r="A186" s="4" t="s">
        <v>1280</v>
      </c>
      <c r="B186" s="4" t="s">
        <v>2082</v>
      </c>
      <c r="C186" s="4" t="s">
        <v>2088</v>
      </c>
      <c r="D186" s="1"/>
      <c r="E186" s="26">
        <v>43727</v>
      </c>
      <c r="F186" s="2">
        <f t="shared" si="9"/>
        <v>43741</v>
      </c>
      <c r="G186" s="1" t="s">
        <v>364</v>
      </c>
      <c r="H186" s="1">
        <v>6000</v>
      </c>
      <c r="I186" s="33" t="s">
        <v>893</v>
      </c>
      <c r="J186" s="33" t="s">
        <v>434</v>
      </c>
      <c r="K186" s="33" t="s">
        <v>31</v>
      </c>
      <c r="L186" s="33" t="s">
        <v>2089</v>
      </c>
      <c r="M186" s="1" t="s">
        <v>32</v>
      </c>
      <c r="N186" s="1" t="s">
        <v>1227</v>
      </c>
      <c r="O186" s="33" t="s">
        <v>2090</v>
      </c>
      <c r="P186" s="38" t="s">
        <v>2091</v>
      </c>
      <c r="Q186" s="37"/>
      <c r="R186" s="37">
        <v>76112</v>
      </c>
      <c r="S186" s="1"/>
      <c r="T186" s="1" t="s">
        <v>443</v>
      </c>
      <c r="U186" s="1" t="s">
        <v>1253</v>
      </c>
      <c r="V186" s="1" t="s">
        <v>1254</v>
      </c>
      <c r="W186" s="1" t="s">
        <v>1255</v>
      </c>
    </row>
    <row r="187" spans="1:26" s="4" customFormat="1" ht="15" customHeight="1">
      <c r="A187" s="4" t="s">
        <v>1266</v>
      </c>
      <c r="B187" s="4" t="s">
        <v>2082</v>
      </c>
      <c r="C187" s="4" t="s">
        <v>2092</v>
      </c>
      <c r="D187" s="1"/>
      <c r="E187" s="26">
        <v>43732</v>
      </c>
      <c r="F187" s="2">
        <f t="shared" si="9"/>
        <v>43746</v>
      </c>
      <c r="G187" s="1" t="s">
        <v>364</v>
      </c>
      <c r="H187" s="1">
        <v>3077</v>
      </c>
      <c r="I187" s="33" t="s">
        <v>2093</v>
      </c>
      <c r="J187" s="33" t="s">
        <v>69</v>
      </c>
      <c r="K187" s="33" t="s">
        <v>31</v>
      </c>
      <c r="L187" s="33" t="s">
        <v>1944</v>
      </c>
      <c r="M187" s="1" t="s">
        <v>32</v>
      </c>
      <c r="N187" s="1" t="s">
        <v>1227</v>
      </c>
      <c r="O187" s="33" t="s">
        <v>2094</v>
      </c>
      <c r="P187" s="38" t="s">
        <v>2095</v>
      </c>
      <c r="Q187" s="37"/>
      <c r="R187" s="37">
        <v>76324</v>
      </c>
      <c r="S187" s="1"/>
      <c r="T187" s="1" t="s">
        <v>443</v>
      </c>
      <c r="U187" s="1" t="s">
        <v>1253</v>
      </c>
      <c r="V187" s="1" t="s">
        <v>1254</v>
      </c>
      <c r="W187" s="1" t="s">
        <v>1255</v>
      </c>
    </row>
    <row r="188" spans="1:26" s="4" customFormat="1" ht="15" customHeight="1">
      <c r="A188" s="4" t="s">
        <v>1280</v>
      </c>
      <c r="B188" s="29" t="s">
        <v>2096</v>
      </c>
      <c r="C188" s="29" t="s">
        <v>2097</v>
      </c>
      <c r="D188" s="1"/>
      <c r="E188" s="26">
        <v>44006</v>
      </c>
      <c r="F188" s="2">
        <f t="shared" si="9"/>
        <v>44020</v>
      </c>
      <c r="G188" s="1" t="s">
        <v>364</v>
      </c>
      <c r="H188" s="1">
        <v>4225</v>
      </c>
      <c r="I188" s="1" t="s">
        <v>2098</v>
      </c>
      <c r="J188" s="1" t="s">
        <v>434</v>
      </c>
      <c r="K188" s="1" t="s">
        <v>31</v>
      </c>
      <c r="L188" s="1" t="s">
        <v>2099</v>
      </c>
      <c r="M188" s="1" t="s">
        <v>32</v>
      </c>
      <c r="N188" s="1" t="s">
        <v>1227</v>
      </c>
      <c r="O188" s="1" t="s">
        <v>2100</v>
      </c>
      <c r="P188" s="1" t="s">
        <v>2101</v>
      </c>
      <c r="Q188" s="1"/>
      <c r="R188" s="1">
        <v>73179</v>
      </c>
      <c r="S188" s="1"/>
      <c r="T188" s="1"/>
      <c r="U188" s="1"/>
      <c r="V188" s="1"/>
      <c r="W188" s="1"/>
    </row>
    <row r="189" spans="1:26" s="4" customFormat="1" ht="15" customHeight="1">
      <c r="A189" s="4" t="s">
        <v>1280</v>
      </c>
      <c r="B189" s="29" t="s">
        <v>2096</v>
      </c>
      <c r="C189" s="29" t="s">
        <v>2102</v>
      </c>
      <c r="D189" s="1"/>
      <c r="E189" s="138">
        <v>44032</v>
      </c>
      <c r="F189" s="2">
        <f t="shared" si="9"/>
        <v>44046</v>
      </c>
      <c r="G189" s="1" t="s">
        <v>364</v>
      </c>
      <c r="H189" s="1">
        <v>5350</v>
      </c>
      <c r="I189" s="1" t="s">
        <v>2103</v>
      </c>
      <c r="J189" s="1" t="s">
        <v>434</v>
      </c>
      <c r="K189" s="1" t="s">
        <v>31</v>
      </c>
      <c r="L189" s="1">
        <v>85034</v>
      </c>
      <c r="M189" s="1" t="s">
        <v>32</v>
      </c>
      <c r="N189" s="1" t="s">
        <v>1227</v>
      </c>
      <c r="O189" s="1" t="s">
        <v>2104</v>
      </c>
      <c r="P189" s="1" t="s">
        <v>2105</v>
      </c>
      <c r="Q189" s="1"/>
      <c r="R189" s="1">
        <v>72868</v>
      </c>
      <c r="S189" s="1"/>
      <c r="T189" s="1" t="s">
        <v>1276</v>
      </c>
      <c r="U189" s="1" t="s">
        <v>1277</v>
      </c>
      <c r="V189" s="1" t="s">
        <v>1278</v>
      </c>
      <c r="W189" s="1" t="s">
        <v>1279</v>
      </c>
    </row>
    <row r="190" spans="1:26" s="4" customFormat="1">
      <c r="A190" s="4" t="s">
        <v>1435</v>
      </c>
      <c r="B190" s="68" t="s">
        <v>2096</v>
      </c>
      <c r="C190" s="47" t="s">
        <v>2106</v>
      </c>
      <c r="D190" s="46"/>
      <c r="E190" s="138">
        <v>44266</v>
      </c>
      <c r="F190" s="2">
        <f t="shared" si="9"/>
        <v>44280</v>
      </c>
      <c r="G190" s="66" t="s">
        <v>364</v>
      </c>
      <c r="H190" s="66">
        <v>2240</v>
      </c>
      <c r="I190" s="33" t="s">
        <v>2107</v>
      </c>
      <c r="J190" s="46" t="s">
        <v>398</v>
      </c>
      <c r="K190" s="46" t="s">
        <v>31</v>
      </c>
      <c r="L190" s="67">
        <v>85257</v>
      </c>
      <c r="M190" s="1" t="s">
        <v>32</v>
      </c>
      <c r="N190" s="1" t="s">
        <v>1227</v>
      </c>
      <c r="O190" s="46" t="s">
        <v>2108</v>
      </c>
      <c r="P190" s="46" t="s">
        <v>2109</v>
      </c>
      <c r="Q190" s="1"/>
      <c r="R190" s="1"/>
      <c r="S190" s="1"/>
      <c r="T190" s="1" t="s">
        <v>1276</v>
      </c>
      <c r="U190" s="1" t="s">
        <v>1277</v>
      </c>
      <c r="V190" s="1" t="s">
        <v>1278</v>
      </c>
      <c r="W190" s="1" t="s">
        <v>1279</v>
      </c>
    </row>
    <row r="191" spans="1:26" s="4" customFormat="1" ht="15" customHeight="1">
      <c r="A191" s="92" t="s">
        <v>25</v>
      </c>
      <c r="B191" s="68" t="s">
        <v>2096</v>
      </c>
      <c r="C191" s="47" t="s">
        <v>2110</v>
      </c>
      <c r="D191" s="58"/>
      <c r="E191" s="137">
        <v>44523</v>
      </c>
      <c r="F191" s="71">
        <f t="shared" si="9"/>
        <v>44537</v>
      </c>
      <c r="G191" s="71"/>
      <c r="H191" s="66">
        <v>6151</v>
      </c>
      <c r="I191" s="33" t="s">
        <v>278</v>
      </c>
      <c r="J191" s="46" t="s">
        <v>63</v>
      </c>
      <c r="K191" s="46" t="s">
        <v>31</v>
      </c>
      <c r="L191" s="67">
        <v>85257</v>
      </c>
      <c r="M191" s="1" t="s">
        <v>32</v>
      </c>
      <c r="N191" s="1" t="s">
        <v>1227</v>
      </c>
      <c r="O191" s="46" t="s">
        <v>2111</v>
      </c>
      <c r="P191" s="46" t="s">
        <v>2112</v>
      </c>
      <c r="Q191" s="96" t="s">
        <v>2113</v>
      </c>
      <c r="R191" s="50">
        <v>81731</v>
      </c>
      <c r="V191" s="4" t="s">
        <v>36</v>
      </c>
      <c r="W191" s="4" t="s">
        <v>1277</v>
      </c>
      <c r="X191" s="1" t="s">
        <v>59</v>
      </c>
      <c r="Y191" s="15" t="s">
        <v>1330</v>
      </c>
    </row>
    <row r="192" spans="1:26" s="4" customFormat="1">
      <c r="A192" s="93" t="s">
        <v>1256</v>
      </c>
      <c r="B192" s="68" t="s">
        <v>2096</v>
      </c>
      <c r="C192" s="47" t="s">
        <v>2114</v>
      </c>
      <c r="D192" s="58"/>
      <c r="E192" s="26">
        <v>44606</v>
      </c>
      <c r="F192" s="2">
        <f t="shared" si="9"/>
        <v>44620</v>
      </c>
      <c r="G192" s="2"/>
      <c r="H192" s="66">
        <v>10000</v>
      </c>
      <c r="I192" s="33" t="s">
        <v>2115</v>
      </c>
      <c r="J192" s="46" t="s">
        <v>822</v>
      </c>
      <c r="K192" s="46" t="s">
        <v>31</v>
      </c>
      <c r="L192" s="67">
        <v>85307</v>
      </c>
      <c r="M192" s="46" t="s">
        <v>32</v>
      </c>
      <c r="N192" s="47"/>
      <c r="O192" s="46" t="s">
        <v>2116</v>
      </c>
      <c r="P192" s="46" t="s">
        <v>2117</v>
      </c>
      <c r="Q192" s="46"/>
      <c r="R192" s="50"/>
      <c r="S192" s="53"/>
      <c r="T192" s="53"/>
      <c r="V192" s="4" t="s">
        <v>1264</v>
      </c>
      <c r="W192" s="4" t="s">
        <v>1253</v>
      </c>
      <c r="X192" s="4" t="s">
        <v>616</v>
      </c>
      <c r="Y192" s="15" t="s">
        <v>1265</v>
      </c>
    </row>
    <row r="193" spans="1:26" s="4" customFormat="1" ht="15" customHeight="1">
      <c r="A193" s="164" t="s">
        <v>1240</v>
      </c>
      <c r="B193" s="68" t="s">
        <v>2096</v>
      </c>
      <c r="C193" s="47" t="s">
        <v>2118</v>
      </c>
      <c r="D193" s="58"/>
      <c r="E193" s="2">
        <v>44782</v>
      </c>
      <c r="F193" s="132">
        <f t="shared" si="9"/>
        <v>44796</v>
      </c>
      <c r="G193" s="2"/>
      <c r="H193" s="66" t="s">
        <v>528</v>
      </c>
      <c r="I193" s="48" t="s">
        <v>2119</v>
      </c>
      <c r="J193" s="46" t="s">
        <v>844</v>
      </c>
      <c r="K193" s="46" t="s">
        <v>31</v>
      </c>
      <c r="L193" s="67">
        <v>85395</v>
      </c>
      <c r="M193" s="46" t="s">
        <v>32</v>
      </c>
      <c r="N193" s="47"/>
      <c r="O193" s="46" t="s">
        <v>2120</v>
      </c>
      <c r="P193" s="46" t="s">
        <v>2121</v>
      </c>
      <c r="Q193" s="46"/>
      <c r="R193" s="50">
        <v>86817</v>
      </c>
      <c r="S193" s="53"/>
      <c r="T193" s="53"/>
      <c r="V193" s="4" t="s">
        <v>443</v>
      </c>
      <c r="W193" s="4" t="s">
        <v>37</v>
      </c>
      <c r="X193" s="4" t="s">
        <v>616</v>
      </c>
      <c r="Y193" s="15" t="s">
        <v>1247</v>
      </c>
    </row>
    <row r="194" spans="1:26" s="4" customFormat="1" ht="15" customHeight="1">
      <c r="A194" s="4" t="s">
        <v>1266</v>
      </c>
      <c r="B194" s="69" t="s">
        <v>2122</v>
      </c>
      <c r="C194" s="5" t="s">
        <v>2123</v>
      </c>
      <c r="D194" s="33"/>
      <c r="E194" s="139">
        <v>44200</v>
      </c>
      <c r="F194" s="2">
        <f t="shared" si="9"/>
        <v>44214</v>
      </c>
      <c r="G194" s="43"/>
      <c r="H194" s="43"/>
      <c r="I194" s="33" t="s">
        <v>2124</v>
      </c>
      <c r="J194" s="33" t="s">
        <v>69</v>
      </c>
      <c r="K194" s="33" t="s">
        <v>31</v>
      </c>
      <c r="L194" s="33"/>
      <c r="M194" s="1" t="s">
        <v>32</v>
      </c>
      <c r="N194" s="1" t="s">
        <v>1227</v>
      </c>
      <c r="O194" s="33" t="s">
        <v>2125</v>
      </c>
      <c r="P194" s="33" t="s">
        <v>2126</v>
      </c>
      <c r="Q194" s="1"/>
      <c r="R194" s="1"/>
    </row>
    <row r="195" spans="1:26" s="1" customFormat="1" ht="15" customHeight="1">
      <c r="A195" s="93" t="s">
        <v>1256</v>
      </c>
      <c r="B195" s="75" t="s">
        <v>2127</v>
      </c>
      <c r="C195" s="5" t="s">
        <v>2128</v>
      </c>
      <c r="D195" s="59"/>
      <c r="E195" s="26">
        <v>44532</v>
      </c>
      <c r="F195" s="2">
        <f t="shared" si="9"/>
        <v>44546</v>
      </c>
      <c r="G195" s="2"/>
      <c r="H195" s="49">
        <v>2515</v>
      </c>
      <c r="I195" s="33" t="s">
        <v>2129</v>
      </c>
      <c r="J195" s="33" t="s">
        <v>1510</v>
      </c>
      <c r="K195" s="33" t="s">
        <v>31</v>
      </c>
      <c r="L195" s="33"/>
      <c r="M195" s="1" t="s">
        <v>32</v>
      </c>
      <c r="N195" s="1" t="s">
        <v>1227</v>
      </c>
      <c r="O195" s="33" t="s">
        <v>2130</v>
      </c>
      <c r="P195" s="33" t="s">
        <v>2131</v>
      </c>
      <c r="Q195" s="33"/>
      <c r="R195" s="37">
        <v>86498</v>
      </c>
      <c r="S195" s="4"/>
      <c r="T195" s="4"/>
      <c r="U195" s="4"/>
      <c r="V195" s="4" t="s">
        <v>1264</v>
      </c>
      <c r="W195" s="4" t="s">
        <v>1253</v>
      </c>
      <c r="X195" s="4" t="s">
        <v>616</v>
      </c>
      <c r="Y195" s="15" t="s">
        <v>1265</v>
      </c>
      <c r="Z195" s="4"/>
    </row>
    <row r="196" spans="1:26" s="4" customFormat="1" ht="15" customHeight="1">
      <c r="A196" s="4" t="s">
        <v>1266</v>
      </c>
      <c r="B196" s="29" t="s">
        <v>2132</v>
      </c>
      <c r="C196" s="29" t="s">
        <v>2133</v>
      </c>
      <c r="D196" s="1"/>
      <c r="E196" s="26">
        <v>44208</v>
      </c>
      <c r="F196" s="2">
        <f t="shared" si="9"/>
        <v>44222</v>
      </c>
      <c r="G196" s="1" t="s">
        <v>364</v>
      </c>
      <c r="H196" s="1">
        <v>23652</v>
      </c>
      <c r="I196" s="1" t="s">
        <v>2134</v>
      </c>
      <c r="J196" s="1" t="s">
        <v>69</v>
      </c>
      <c r="K196" s="1" t="s">
        <v>31</v>
      </c>
      <c r="L196" s="1"/>
      <c r="M196" s="1" t="s">
        <v>32</v>
      </c>
      <c r="N196" s="1" t="s">
        <v>1227</v>
      </c>
      <c r="O196" s="1" t="s">
        <v>2135</v>
      </c>
      <c r="P196" s="1" t="s">
        <v>2136</v>
      </c>
      <c r="Q196" s="1"/>
      <c r="R196" s="1"/>
      <c r="S196" s="1"/>
      <c r="T196" s="1"/>
      <c r="U196" s="1"/>
      <c r="V196" s="1"/>
      <c r="W196" s="1"/>
    </row>
    <row r="197" spans="1:26" s="4" customFormat="1" ht="15" customHeight="1">
      <c r="A197" s="163" t="s">
        <v>25</v>
      </c>
      <c r="B197" s="15" t="s">
        <v>2137</v>
      </c>
      <c r="C197" s="29" t="s">
        <v>2138</v>
      </c>
      <c r="D197" s="1"/>
      <c r="E197" s="2">
        <v>44795</v>
      </c>
      <c r="F197" s="2">
        <f t="shared" si="9"/>
        <v>44809</v>
      </c>
      <c r="G197" s="15"/>
      <c r="H197" s="1">
        <v>126</v>
      </c>
      <c r="I197" s="15" t="s">
        <v>2139</v>
      </c>
      <c r="J197" s="1" t="s">
        <v>415</v>
      </c>
      <c r="K197" s="1" t="s">
        <v>31</v>
      </c>
      <c r="L197" s="1">
        <v>85283</v>
      </c>
      <c r="M197" s="1" t="s">
        <v>32</v>
      </c>
      <c r="O197" s="1" t="s">
        <v>1007</v>
      </c>
      <c r="P197" s="1" t="s">
        <v>1008</v>
      </c>
      <c r="Q197" s="87" t="s">
        <v>2140</v>
      </c>
      <c r="R197" s="1">
        <v>89785</v>
      </c>
      <c r="V197" s="4" t="s">
        <v>36</v>
      </c>
      <c r="W197" s="4" t="s">
        <v>37</v>
      </c>
      <c r="X197" s="1" t="s">
        <v>59</v>
      </c>
      <c r="Y197" s="15" t="s">
        <v>39</v>
      </c>
    </row>
    <row r="198" spans="1:26" s="4" customFormat="1" ht="15" customHeight="1">
      <c r="A198" s="4" t="s">
        <v>1224</v>
      </c>
      <c r="B198" s="4" t="s">
        <v>2141</v>
      </c>
      <c r="C198" s="4" t="s">
        <v>2142</v>
      </c>
      <c r="D198" s="1"/>
      <c r="E198" s="26">
        <v>43669</v>
      </c>
      <c r="F198" s="2">
        <f t="shared" si="9"/>
        <v>43683</v>
      </c>
      <c r="G198" s="1" t="s">
        <v>364</v>
      </c>
      <c r="H198" s="1">
        <v>6850</v>
      </c>
      <c r="I198" s="33" t="s">
        <v>2143</v>
      </c>
      <c r="J198" s="33" t="s">
        <v>916</v>
      </c>
      <c r="K198" s="33" t="s">
        <v>31</v>
      </c>
      <c r="L198" s="1">
        <v>85756</v>
      </c>
      <c r="M198" s="1" t="s">
        <v>32</v>
      </c>
      <c r="N198" s="1" t="s">
        <v>1227</v>
      </c>
      <c r="O198" s="33"/>
      <c r="P198" s="37" t="s">
        <v>364</v>
      </c>
      <c r="Q198" s="37"/>
      <c r="R198" s="37">
        <v>74215</v>
      </c>
      <c r="S198" s="1"/>
      <c r="T198" s="1" t="s">
        <v>1276</v>
      </c>
      <c r="U198" s="1" t="s">
        <v>1277</v>
      </c>
      <c r="V198" s="1" t="s">
        <v>1278</v>
      </c>
      <c r="W198" s="1" t="s">
        <v>1279</v>
      </c>
    </row>
    <row r="199" spans="1:26" s="4" customFormat="1" ht="15" customHeight="1">
      <c r="A199" s="163" t="s">
        <v>25</v>
      </c>
      <c r="B199" s="70" t="s">
        <v>2144</v>
      </c>
      <c r="C199" s="56" t="s">
        <v>2145</v>
      </c>
      <c r="D199" s="60"/>
      <c r="E199" s="2">
        <v>44781</v>
      </c>
      <c r="F199" s="132">
        <f t="shared" si="9"/>
        <v>44795</v>
      </c>
      <c r="G199" s="2"/>
      <c r="H199" s="54" t="s">
        <v>2146</v>
      </c>
      <c r="I199" s="80" t="s">
        <v>2147</v>
      </c>
      <c r="J199" s="55" t="s">
        <v>63</v>
      </c>
      <c r="K199" s="55" t="s">
        <v>31</v>
      </c>
      <c r="L199" s="55" t="s">
        <v>2148</v>
      </c>
      <c r="M199" s="55" t="s">
        <v>32</v>
      </c>
      <c r="N199" s="56"/>
      <c r="O199" s="55" t="s">
        <v>2149</v>
      </c>
      <c r="P199" s="55" t="s">
        <v>2150</v>
      </c>
      <c r="Q199" s="89" t="s">
        <v>2151</v>
      </c>
      <c r="R199" s="57">
        <v>89437</v>
      </c>
      <c r="V199" s="4" t="s">
        <v>36</v>
      </c>
      <c r="W199" s="4" t="s">
        <v>37</v>
      </c>
      <c r="X199" s="1" t="s">
        <v>59</v>
      </c>
      <c r="Y199" s="15" t="s">
        <v>39</v>
      </c>
    </row>
    <row r="200" spans="1:26" s="4" customFormat="1">
      <c r="A200" s="4" t="s">
        <v>1435</v>
      </c>
      <c r="B200" s="4" t="s">
        <v>2152</v>
      </c>
      <c r="C200" s="29" t="s">
        <v>2153</v>
      </c>
      <c r="D200" s="1"/>
      <c r="E200" s="26">
        <v>44277</v>
      </c>
      <c r="F200" s="2">
        <f t="shared" si="9"/>
        <v>44291</v>
      </c>
      <c r="G200" s="1" t="s">
        <v>364</v>
      </c>
      <c r="H200" s="1"/>
      <c r="I200" s="1" t="s">
        <v>2154</v>
      </c>
      <c r="J200" s="1" t="s">
        <v>63</v>
      </c>
      <c r="K200" s="1" t="s">
        <v>31</v>
      </c>
      <c r="L200" s="1"/>
      <c r="M200" s="1" t="s">
        <v>32</v>
      </c>
      <c r="N200" s="1" t="s">
        <v>1227</v>
      </c>
      <c r="O200" s="1" t="s">
        <v>2155</v>
      </c>
      <c r="P200" s="1" t="s">
        <v>2156</v>
      </c>
      <c r="Q200" s="46"/>
      <c r="R200" s="46"/>
      <c r="S200" s="1">
        <v>5</v>
      </c>
      <c r="T200" s="1" t="s">
        <v>443</v>
      </c>
      <c r="U200" s="1" t="s">
        <v>1253</v>
      </c>
      <c r="V200" s="1" t="s">
        <v>1254</v>
      </c>
      <c r="W200" s="1" t="s">
        <v>1255</v>
      </c>
    </row>
    <row r="201" spans="1:26" s="4" customFormat="1" ht="15" customHeight="1">
      <c r="A201" s="4" t="s">
        <v>1309</v>
      </c>
      <c r="B201" s="70" t="s">
        <v>2157</v>
      </c>
      <c r="C201" s="56" t="s">
        <v>2158</v>
      </c>
      <c r="D201" s="55"/>
      <c r="E201" s="137">
        <v>44424</v>
      </c>
      <c r="F201" s="2">
        <f t="shared" si="9"/>
        <v>44438</v>
      </c>
      <c r="G201" s="54" t="s">
        <v>364</v>
      </c>
      <c r="H201" s="54" t="s">
        <v>2159</v>
      </c>
      <c r="I201" s="55" t="s">
        <v>821</v>
      </c>
      <c r="J201" s="55" t="s">
        <v>2160</v>
      </c>
      <c r="K201" s="55" t="s">
        <v>31</v>
      </c>
      <c r="L201" s="55" t="s">
        <v>2161</v>
      </c>
      <c r="M201" s="1" t="s">
        <v>32</v>
      </c>
      <c r="N201" s="1" t="s">
        <v>1227</v>
      </c>
      <c r="O201" s="55" t="s">
        <v>2162</v>
      </c>
      <c r="P201" s="55" t="s">
        <v>2163</v>
      </c>
      <c r="Q201" s="89" t="s">
        <v>2164</v>
      </c>
      <c r="R201" s="57">
        <v>89835</v>
      </c>
      <c r="S201" s="1"/>
      <c r="T201" s="1" t="s">
        <v>443</v>
      </c>
      <c r="U201" s="1" t="s">
        <v>1253</v>
      </c>
      <c r="V201" s="1" t="s">
        <v>1254</v>
      </c>
      <c r="W201" s="1" t="s">
        <v>1255</v>
      </c>
    </row>
    <row r="202" spans="1:26" s="4" customFormat="1" ht="15" customHeight="1">
      <c r="A202" s="93" t="s">
        <v>1256</v>
      </c>
      <c r="B202" s="70" t="s">
        <v>2157</v>
      </c>
      <c r="C202" s="56" t="s">
        <v>2165</v>
      </c>
      <c r="D202" s="60"/>
      <c r="E202" s="26">
        <v>44692</v>
      </c>
      <c r="F202" s="60">
        <f t="shared" si="9"/>
        <v>44706</v>
      </c>
      <c r="G202" s="60"/>
      <c r="H202" s="54" t="s">
        <v>2166</v>
      </c>
      <c r="I202" s="55" t="s">
        <v>2167</v>
      </c>
      <c r="J202" s="55" t="s">
        <v>1510</v>
      </c>
      <c r="K202" s="55" t="s">
        <v>31</v>
      </c>
      <c r="L202" s="55" t="s">
        <v>1626</v>
      </c>
      <c r="M202" s="55" t="s">
        <v>32</v>
      </c>
      <c r="N202" s="56"/>
      <c r="O202" s="55"/>
      <c r="P202" s="1" t="s">
        <v>2168</v>
      </c>
      <c r="Q202" s="87" t="s">
        <v>2169</v>
      </c>
      <c r="R202" s="57">
        <v>90788</v>
      </c>
      <c r="V202" s="4" t="s">
        <v>1264</v>
      </c>
      <c r="W202" s="4" t="s">
        <v>1253</v>
      </c>
      <c r="X202" s="4" t="s">
        <v>616</v>
      </c>
      <c r="Y202" s="15" t="s">
        <v>1265</v>
      </c>
    </row>
    <row r="203" spans="1:26" s="4" customFormat="1" ht="15" customHeight="1">
      <c r="A203" s="4" t="s">
        <v>1266</v>
      </c>
      <c r="B203" s="4" t="s">
        <v>182</v>
      </c>
      <c r="C203" s="4" t="s">
        <v>2170</v>
      </c>
      <c r="D203" s="1"/>
      <c r="E203" s="26">
        <v>43724</v>
      </c>
      <c r="F203" s="2">
        <f t="shared" si="9"/>
        <v>43738</v>
      </c>
      <c r="G203" s="1" t="s">
        <v>364</v>
      </c>
      <c r="H203" s="1">
        <v>1115</v>
      </c>
      <c r="I203" s="33" t="s">
        <v>1651</v>
      </c>
      <c r="J203" s="33" t="s">
        <v>30</v>
      </c>
      <c r="K203" s="33" t="s">
        <v>31</v>
      </c>
      <c r="L203" s="33" t="s">
        <v>2171</v>
      </c>
      <c r="M203" s="1" t="s">
        <v>32</v>
      </c>
      <c r="N203" s="1" t="s">
        <v>1227</v>
      </c>
      <c r="O203" s="33" t="s">
        <v>186</v>
      </c>
      <c r="P203" s="38" t="s">
        <v>2172</v>
      </c>
      <c r="Q203" s="37"/>
      <c r="R203" s="37">
        <v>75046</v>
      </c>
      <c r="S203" s="1"/>
      <c r="T203" s="1" t="s">
        <v>1276</v>
      </c>
      <c r="U203" s="1" t="s">
        <v>1277</v>
      </c>
      <c r="V203" s="1" t="s">
        <v>1278</v>
      </c>
      <c r="W203" s="1" t="s">
        <v>1279</v>
      </c>
    </row>
    <row r="204" spans="1:26" s="4" customFormat="1" ht="15" customHeight="1">
      <c r="A204" s="4" t="s">
        <v>1280</v>
      </c>
      <c r="B204" s="4" t="s">
        <v>182</v>
      </c>
      <c r="C204" s="4" t="s">
        <v>2173</v>
      </c>
      <c r="D204" s="1"/>
      <c r="E204" s="26">
        <v>43755</v>
      </c>
      <c r="F204" s="2">
        <f t="shared" si="9"/>
        <v>43769</v>
      </c>
      <c r="G204" s="1" t="s">
        <v>364</v>
      </c>
      <c r="H204" s="1">
        <v>13851</v>
      </c>
      <c r="I204" s="1" t="s">
        <v>2174</v>
      </c>
      <c r="J204" s="33" t="s">
        <v>844</v>
      </c>
      <c r="K204" s="33" t="s">
        <v>31</v>
      </c>
      <c r="L204" s="33" t="s">
        <v>1685</v>
      </c>
      <c r="M204" s="1" t="s">
        <v>32</v>
      </c>
      <c r="N204" s="1" t="s">
        <v>1227</v>
      </c>
      <c r="O204" s="33" t="s">
        <v>2175</v>
      </c>
      <c r="P204" s="11" t="s">
        <v>2176</v>
      </c>
      <c r="Q204" s="37"/>
      <c r="R204" s="37">
        <v>74175</v>
      </c>
      <c r="S204" s="1"/>
      <c r="T204" s="1" t="s">
        <v>1276</v>
      </c>
      <c r="U204" s="1" t="s">
        <v>1277</v>
      </c>
      <c r="V204" s="1" t="s">
        <v>1278</v>
      </c>
      <c r="W204" s="1" t="s">
        <v>1279</v>
      </c>
    </row>
    <row r="205" spans="1:26" s="4" customFormat="1" ht="15" customHeight="1">
      <c r="A205" s="4" t="s">
        <v>1224</v>
      </c>
      <c r="B205" s="4" t="s">
        <v>182</v>
      </c>
      <c r="C205" s="4" t="s">
        <v>2177</v>
      </c>
      <c r="D205" s="1"/>
      <c r="E205" s="26">
        <v>43664</v>
      </c>
      <c r="F205" s="2">
        <f t="shared" si="9"/>
        <v>43678</v>
      </c>
      <c r="G205" s="1" t="s">
        <v>364</v>
      </c>
      <c r="H205" s="1">
        <v>1825</v>
      </c>
      <c r="I205" s="33" t="s">
        <v>1250</v>
      </c>
      <c r="J205" s="33" t="s">
        <v>916</v>
      </c>
      <c r="K205" s="33" t="s">
        <v>31</v>
      </c>
      <c r="L205" s="1">
        <v>85714</v>
      </c>
      <c r="M205" s="1" t="s">
        <v>32</v>
      </c>
      <c r="N205" s="1" t="s">
        <v>1227</v>
      </c>
      <c r="O205" s="33" t="s">
        <v>2178</v>
      </c>
      <c r="P205" s="38" t="s">
        <v>2179</v>
      </c>
      <c r="Q205" s="37"/>
      <c r="R205" s="37">
        <v>73371</v>
      </c>
      <c r="S205" s="1"/>
      <c r="T205" s="1" t="s">
        <v>1276</v>
      </c>
      <c r="U205" s="1" t="s">
        <v>1277</v>
      </c>
      <c r="V205" s="1" t="s">
        <v>1278</v>
      </c>
      <c r="W205" s="1" t="s">
        <v>1279</v>
      </c>
    </row>
    <row r="206" spans="1:26" s="4" customFormat="1" ht="15" customHeight="1">
      <c r="A206" s="4" t="s">
        <v>1266</v>
      </c>
      <c r="B206" s="29" t="s">
        <v>182</v>
      </c>
      <c r="C206" s="4" t="s">
        <v>2180</v>
      </c>
      <c r="D206" s="1"/>
      <c r="E206" s="26">
        <v>43839</v>
      </c>
      <c r="F206" s="2">
        <f t="shared" si="9"/>
        <v>43853</v>
      </c>
      <c r="G206" s="41" t="s">
        <v>364</v>
      </c>
      <c r="H206" s="41">
        <v>2500</v>
      </c>
      <c r="I206" s="33" t="s">
        <v>1509</v>
      </c>
      <c r="J206" s="33" t="s">
        <v>434</v>
      </c>
      <c r="K206" s="33" t="s">
        <v>31</v>
      </c>
      <c r="L206" s="33" t="s">
        <v>2181</v>
      </c>
      <c r="M206" s="1" t="s">
        <v>32</v>
      </c>
      <c r="N206" s="1" t="s">
        <v>1227</v>
      </c>
      <c r="O206" s="38"/>
      <c r="P206" s="38"/>
      <c r="Q206" s="52"/>
      <c r="R206" s="52"/>
      <c r="S206" s="1"/>
      <c r="T206" s="1" t="s">
        <v>1276</v>
      </c>
      <c r="U206" s="1" t="s">
        <v>1277</v>
      </c>
      <c r="V206" s="1" t="s">
        <v>1278</v>
      </c>
      <c r="W206" s="1" t="s">
        <v>1279</v>
      </c>
    </row>
    <row r="207" spans="1:26" s="4" customFormat="1" ht="15" customHeight="1">
      <c r="A207" s="4" t="s">
        <v>1266</v>
      </c>
      <c r="B207" s="29" t="s">
        <v>182</v>
      </c>
      <c r="C207" s="29" t="s">
        <v>2182</v>
      </c>
      <c r="D207" s="1"/>
      <c r="E207" s="26">
        <v>43997</v>
      </c>
      <c r="F207" s="2">
        <f t="shared" si="9"/>
        <v>44011</v>
      </c>
      <c r="G207" s="1" t="s">
        <v>364</v>
      </c>
      <c r="H207" s="1">
        <v>37000</v>
      </c>
      <c r="I207" s="1" t="s">
        <v>2183</v>
      </c>
      <c r="J207" s="1" t="s">
        <v>129</v>
      </c>
      <c r="K207" s="1" t="s">
        <v>31</v>
      </c>
      <c r="L207" s="1"/>
      <c r="M207" s="1" t="s">
        <v>32</v>
      </c>
      <c r="N207" s="1" t="s">
        <v>1227</v>
      </c>
      <c r="O207" s="1"/>
      <c r="P207" s="1"/>
      <c r="Q207" s="1"/>
      <c r="R207" s="1"/>
      <c r="S207" s="1"/>
      <c r="T207" s="1" t="s">
        <v>1276</v>
      </c>
      <c r="U207" s="1" t="s">
        <v>1277</v>
      </c>
      <c r="V207" s="1" t="s">
        <v>1278</v>
      </c>
      <c r="W207" s="1" t="s">
        <v>1279</v>
      </c>
    </row>
    <row r="208" spans="1:26" s="4" customFormat="1" ht="15" customHeight="1">
      <c r="A208" s="4" t="s">
        <v>1280</v>
      </c>
      <c r="B208" s="29" t="s">
        <v>182</v>
      </c>
      <c r="C208" s="29" t="s">
        <v>2184</v>
      </c>
      <c r="D208" s="1"/>
      <c r="E208" s="26">
        <v>44063</v>
      </c>
      <c r="F208" s="2">
        <f t="shared" si="9"/>
        <v>44077</v>
      </c>
      <c r="G208" s="1" t="s">
        <v>364</v>
      </c>
      <c r="H208" s="1">
        <v>995</v>
      </c>
      <c r="I208" s="1" t="s">
        <v>2185</v>
      </c>
      <c r="J208" s="1" t="s">
        <v>873</v>
      </c>
      <c r="K208" s="1" t="s">
        <v>31</v>
      </c>
      <c r="L208" s="1">
        <v>85323</v>
      </c>
      <c r="M208" s="1" t="s">
        <v>32</v>
      </c>
      <c r="N208" s="1" t="s">
        <v>1227</v>
      </c>
      <c r="O208" s="1"/>
      <c r="P208" s="1"/>
      <c r="Q208" s="1"/>
      <c r="R208" s="1"/>
      <c r="S208" s="1"/>
      <c r="T208" s="1" t="s">
        <v>443</v>
      </c>
      <c r="U208" s="1" t="s">
        <v>1253</v>
      </c>
      <c r="V208" s="1" t="s">
        <v>1254</v>
      </c>
      <c r="W208" s="1" t="s">
        <v>1255</v>
      </c>
    </row>
    <row r="209" spans="1:25" s="4" customFormat="1">
      <c r="A209" s="4" t="s">
        <v>1266</v>
      </c>
      <c r="B209" s="29" t="s">
        <v>182</v>
      </c>
      <c r="C209" s="29" t="s">
        <v>2186</v>
      </c>
      <c r="D209" s="1"/>
      <c r="E209" s="26">
        <v>10</v>
      </c>
      <c r="F209" s="2">
        <f t="shared" si="9"/>
        <v>24</v>
      </c>
      <c r="G209" s="1" t="s">
        <v>364</v>
      </c>
      <c r="H209" s="1">
        <v>3161</v>
      </c>
      <c r="I209" s="1" t="s">
        <v>1438</v>
      </c>
      <c r="J209" s="1" t="s">
        <v>49</v>
      </c>
      <c r="K209" s="1" t="s">
        <v>31</v>
      </c>
      <c r="L209" s="1">
        <v>85297</v>
      </c>
      <c r="M209" s="1" t="s">
        <v>32</v>
      </c>
      <c r="N209" s="1" t="s">
        <v>1227</v>
      </c>
      <c r="O209" s="1" t="s">
        <v>2187</v>
      </c>
      <c r="P209" s="1" t="s">
        <v>2188</v>
      </c>
      <c r="Q209" s="1"/>
      <c r="R209" s="1">
        <v>72787</v>
      </c>
      <c r="S209" s="1"/>
      <c r="T209" s="1" t="s">
        <v>443</v>
      </c>
      <c r="U209" s="1" t="s">
        <v>1253</v>
      </c>
      <c r="V209" s="1" t="s">
        <v>1254</v>
      </c>
      <c r="W209" s="1" t="s">
        <v>1255</v>
      </c>
    </row>
    <row r="210" spans="1:25" s="4" customFormat="1" ht="15" customHeight="1">
      <c r="A210" s="4" t="s">
        <v>1256</v>
      </c>
      <c r="B210" s="29" t="s">
        <v>182</v>
      </c>
      <c r="C210" s="29" t="s">
        <v>2189</v>
      </c>
      <c r="D210" s="1"/>
      <c r="E210" s="26">
        <v>44148</v>
      </c>
      <c r="F210" s="2">
        <f t="shared" si="9"/>
        <v>44162</v>
      </c>
      <c r="G210" s="1" t="s">
        <v>364</v>
      </c>
      <c r="H210" s="1" t="s">
        <v>43</v>
      </c>
      <c r="I210" s="1" t="s">
        <v>2190</v>
      </c>
      <c r="J210" s="1" t="s">
        <v>851</v>
      </c>
      <c r="K210" s="1" t="s">
        <v>31</v>
      </c>
      <c r="L210" s="1" t="s">
        <v>1777</v>
      </c>
      <c r="M210" s="1" t="s">
        <v>32</v>
      </c>
      <c r="N210" s="1" t="s">
        <v>1227</v>
      </c>
      <c r="O210" s="1" t="s">
        <v>884</v>
      </c>
      <c r="P210" s="1" t="s">
        <v>885</v>
      </c>
      <c r="Q210" s="1"/>
      <c r="R210" s="1"/>
      <c r="T210" s="1" t="s">
        <v>1276</v>
      </c>
      <c r="U210" s="1" t="s">
        <v>1277</v>
      </c>
      <c r="V210" s="1" t="s">
        <v>1278</v>
      </c>
      <c r="W210" s="1" t="s">
        <v>1279</v>
      </c>
    </row>
    <row r="211" spans="1:25" s="4" customFormat="1" ht="15" customHeight="1">
      <c r="A211" s="4" t="s">
        <v>1256</v>
      </c>
      <c r="B211" s="68" t="s">
        <v>182</v>
      </c>
      <c r="C211" s="47" t="s">
        <v>2191</v>
      </c>
      <c r="D211" s="46"/>
      <c r="E211" s="26">
        <v>44162</v>
      </c>
      <c r="F211" s="2">
        <f t="shared" si="9"/>
        <v>44176</v>
      </c>
      <c r="G211" s="66" t="s">
        <v>364</v>
      </c>
      <c r="H211" s="66">
        <v>67</v>
      </c>
      <c r="I211" s="33" t="s">
        <v>2192</v>
      </c>
      <c r="J211" s="46" t="s">
        <v>434</v>
      </c>
      <c r="K211" s="46" t="s">
        <v>31</v>
      </c>
      <c r="L211" s="46" t="s">
        <v>2193</v>
      </c>
      <c r="M211" s="1" t="s">
        <v>32</v>
      </c>
      <c r="N211" s="1" t="s">
        <v>1227</v>
      </c>
      <c r="O211" s="46" t="s">
        <v>2194</v>
      </c>
      <c r="P211" s="46" t="s">
        <v>2195</v>
      </c>
      <c r="Q211" s="1"/>
      <c r="R211" s="1"/>
      <c r="S211" s="1"/>
      <c r="T211" s="1" t="s">
        <v>1276</v>
      </c>
      <c r="U211" s="1" t="s">
        <v>1277</v>
      </c>
      <c r="V211" s="1" t="s">
        <v>1278</v>
      </c>
      <c r="W211" s="1" t="s">
        <v>1279</v>
      </c>
    </row>
    <row r="212" spans="1:25" s="4" customFormat="1" ht="15" customHeight="1">
      <c r="A212" s="4" t="s">
        <v>1256</v>
      </c>
      <c r="B212" s="29" t="s">
        <v>182</v>
      </c>
      <c r="C212" s="29" t="s">
        <v>2196</v>
      </c>
      <c r="D212" s="1"/>
      <c r="E212" s="26">
        <v>44204</v>
      </c>
      <c r="F212" s="2">
        <f t="shared" si="9"/>
        <v>44218</v>
      </c>
      <c r="G212" s="1" t="s">
        <v>364</v>
      </c>
      <c r="H212" s="1">
        <v>7701</v>
      </c>
      <c r="I212" s="1" t="s">
        <v>2197</v>
      </c>
      <c r="J212" s="1" t="s">
        <v>822</v>
      </c>
      <c r="K212" s="1" t="s">
        <v>31</v>
      </c>
      <c r="L212" s="1">
        <v>85308</v>
      </c>
      <c r="M212" s="1" t="s">
        <v>32</v>
      </c>
      <c r="N212" s="1" t="s">
        <v>1227</v>
      </c>
      <c r="O212" s="1"/>
      <c r="P212" s="1"/>
      <c r="Q212" s="1"/>
      <c r="R212" s="1"/>
      <c r="S212" s="1"/>
      <c r="T212" s="1" t="s">
        <v>1276</v>
      </c>
      <c r="U212" s="1" t="s">
        <v>1277</v>
      </c>
      <c r="V212" s="1" t="s">
        <v>1278</v>
      </c>
      <c r="W212" s="1" t="s">
        <v>1279</v>
      </c>
    </row>
    <row r="213" spans="1:25" s="4" customFormat="1" ht="15" customHeight="1">
      <c r="A213" s="4" t="s">
        <v>1546</v>
      </c>
      <c r="B213" s="69" t="s">
        <v>182</v>
      </c>
      <c r="C213" s="5" t="s">
        <v>2198</v>
      </c>
      <c r="D213" s="33"/>
      <c r="E213" s="139"/>
      <c r="F213" s="59"/>
      <c r="G213" s="43" t="s">
        <v>364</v>
      </c>
      <c r="H213" s="43" t="s">
        <v>2199</v>
      </c>
      <c r="I213" s="33" t="s">
        <v>2200</v>
      </c>
      <c r="J213" s="33" t="s">
        <v>975</v>
      </c>
      <c r="K213" s="33" t="s">
        <v>31</v>
      </c>
      <c r="L213" s="33"/>
      <c r="M213" s="1" t="s">
        <v>32</v>
      </c>
      <c r="N213" s="1" t="s">
        <v>1227</v>
      </c>
      <c r="O213" s="33"/>
      <c r="P213" s="37"/>
      <c r="Q213" s="74"/>
      <c r="R213" s="74"/>
      <c r="S213" s="1"/>
      <c r="T213" s="1" t="s">
        <v>443</v>
      </c>
      <c r="U213" s="1" t="s">
        <v>1253</v>
      </c>
      <c r="V213" s="1" t="s">
        <v>1254</v>
      </c>
      <c r="W213" s="1" t="s">
        <v>1255</v>
      </c>
    </row>
    <row r="214" spans="1:25" s="4" customFormat="1" ht="15" customHeight="1">
      <c r="A214" s="4" t="s">
        <v>1309</v>
      </c>
      <c r="B214" s="69" t="s">
        <v>182</v>
      </c>
      <c r="C214" s="5" t="s">
        <v>2201</v>
      </c>
      <c r="D214" s="33"/>
      <c r="E214" s="26">
        <v>44340</v>
      </c>
      <c r="F214" s="2">
        <f t="shared" ref="F214:F246" si="10">E214+14</f>
        <v>44354</v>
      </c>
      <c r="G214" s="49" t="s">
        <v>364</v>
      </c>
      <c r="H214" s="49">
        <v>860</v>
      </c>
      <c r="I214" s="33" t="s">
        <v>821</v>
      </c>
      <c r="J214" s="33" t="s">
        <v>2202</v>
      </c>
      <c r="K214" s="33" t="s">
        <v>31</v>
      </c>
      <c r="L214" s="11">
        <v>85128</v>
      </c>
      <c r="M214" s="1" t="s">
        <v>32</v>
      </c>
      <c r="N214" s="1" t="s">
        <v>1227</v>
      </c>
      <c r="O214" s="33" t="s">
        <v>2194</v>
      </c>
      <c r="P214" s="33" t="s">
        <v>2203</v>
      </c>
      <c r="Q214" s="84" t="s">
        <v>2204</v>
      </c>
      <c r="R214" s="37">
        <v>86210</v>
      </c>
      <c r="S214" s="1"/>
      <c r="T214" s="1" t="s">
        <v>443</v>
      </c>
      <c r="U214" s="1" t="s">
        <v>1253</v>
      </c>
      <c r="V214" s="1" t="s">
        <v>1254</v>
      </c>
      <c r="W214" s="1" t="s">
        <v>1255</v>
      </c>
    </row>
    <row r="215" spans="1:25" s="4" customFormat="1" ht="15" customHeight="1">
      <c r="A215" s="93" t="s">
        <v>1256</v>
      </c>
      <c r="B215" s="15" t="s">
        <v>2205</v>
      </c>
      <c r="C215" s="29" t="s">
        <v>2206</v>
      </c>
      <c r="E215" s="26">
        <v>44515</v>
      </c>
      <c r="F215" s="2">
        <f t="shared" si="10"/>
        <v>44529</v>
      </c>
      <c r="G215" s="26"/>
      <c r="H215" s="1">
        <v>5775</v>
      </c>
      <c r="I215" s="1" t="s">
        <v>2207</v>
      </c>
      <c r="J215" s="1" t="s">
        <v>434</v>
      </c>
      <c r="K215" s="1" t="s">
        <v>31</v>
      </c>
      <c r="L215" s="1">
        <v>85339</v>
      </c>
      <c r="M215" s="1" t="s">
        <v>32</v>
      </c>
      <c r="N215" s="1" t="s">
        <v>1227</v>
      </c>
      <c r="O215" s="1" t="s">
        <v>2208</v>
      </c>
      <c r="P215" s="1" t="s">
        <v>2188</v>
      </c>
      <c r="Q215" s="87" t="s">
        <v>2209</v>
      </c>
      <c r="R215" s="1">
        <v>90498</v>
      </c>
      <c r="V215" s="4" t="s">
        <v>1264</v>
      </c>
      <c r="W215" s="4" t="s">
        <v>1253</v>
      </c>
      <c r="X215" s="4" t="s">
        <v>616</v>
      </c>
      <c r="Y215" s="4" t="s">
        <v>1265</v>
      </c>
    </row>
    <row r="216" spans="1:25" s="4" customFormat="1" ht="15" customHeight="1">
      <c r="A216" s="4" t="s">
        <v>1266</v>
      </c>
      <c r="B216" s="29" t="s">
        <v>2210</v>
      </c>
      <c r="C216" s="29" t="s">
        <v>2211</v>
      </c>
      <c r="D216" s="1"/>
      <c r="E216" s="26">
        <v>44202</v>
      </c>
      <c r="F216" s="2">
        <f t="shared" si="10"/>
        <v>44216</v>
      </c>
      <c r="G216" s="1" t="s">
        <v>364</v>
      </c>
      <c r="H216" s="1">
        <v>2010</v>
      </c>
      <c r="I216" s="1" t="s">
        <v>2212</v>
      </c>
      <c r="J216" s="1" t="s">
        <v>415</v>
      </c>
      <c r="K216" s="1" t="s">
        <v>31</v>
      </c>
      <c r="L216" s="1">
        <v>85284</v>
      </c>
      <c r="M216" s="1" t="s">
        <v>32</v>
      </c>
      <c r="N216" s="1" t="s">
        <v>1227</v>
      </c>
      <c r="O216" s="1" t="s">
        <v>2213</v>
      </c>
      <c r="P216" s="1" t="s">
        <v>2214</v>
      </c>
      <c r="Q216" s="1"/>
      <c r="R216" s="1"/>
      <c r="S216" s="1"/>
      <c r="T216" s="1" t="s">
        <v>443</v>
      </c>
      <c r="U216" s="1" t="s">
        <v>1253</v>
      </c>
      <c r="V216" s="1" t="s">
        <v>1254</v>
      </c>
      <c r="W216" s="1" t="s">
        <v>1255</v>
      </c>
    </row>
    <row r="217" spans="1:25" s="4" customFormat="1">
      <c r="A217" s="4" t="s">
        <v>1266</v>
      </c>
      <c r="B217" s="29" t="s">
        <v>2215</v>
      </c>
      <c r="C217" s="29" t="s">
        <v>2216</v>
      </c>
      <c r="D217" s="1"/>
      <c r="E217" s="26" t="s">
        <v>2217</v>
      </c>
      <c r="F217" s="2" t="e">
        <f t="shared" si="10"/>
        <v>#VALUE!</v>
      </c>
      <c r="G217" s="1" t="s">
        <v>364</v>
      </c>
      <c r="H217" s="1">
        <v>1040</v>
      </c>
      <c r="I217" s="1" t="s">
        <v>2218</v>
      </c>
      <c r="J217" s="1" t="s">
        <v>49</v>
      </c>
      <c r="K217" s="1" t="s">
        <v>31</v>
      </c>
      <c r="L217" s="1">
        <v>85233</v>
      </c>
      <c r="M217" s="1" t="s">
        <v>32</v>
      </c>
      <c r="N217" s="1" t="s">
        <v>1227</v>
      </c>
      <c r="O217" s="1" t="s">
        <v>586</v>
      </c>
      <c r="P217" s="1" t="s">
        <v>2219</v>
      </c>
      <c r="Q217" s="1"/>
      <c r="R217" s="1"/>
      <c r="S217" s="1"/>
      <c r="T217" s="1" t="s">
        <v>443</v>
      </c>
      <c r="U217" s="1" t="s">
        <v>1253</v>
      </c>
      <c r="V217" s="1" t="s">
        <v>1254</v>
      </c>
      <c r="W217" s="1" t="s">
        <v>1255</v>
      </c>
    </row>
    <row r="218" spans="1:25" s="4" customFormat="1" ht="15" customHeight="1">
      <c r="A218" s="4" t="s">
        <v>1266</v>
      </c>
      <c r="B218" s="4" t="s">
        <v>194</v>
      </c>
      <c r="C218" s="4" t="s">
        <v>2220</v>
      </c>
      <c r="D218" s="1"/>
      <c r="E218" s="140">
        <v>43655</v>
      </c>
      <c r="F218" s="2">
        <f t="shared" si="10"/>
        <v>43669</v>
      </c>
      <c r="G218" s="1" t="s">
        <v>364</v>
      </c>
      <c r="H218" s="1">
        <v>4802</v>
      </c>
      <c r="I218" s="33" t="s">
        <v>1625</v>
      </c>
      <c r="J218" s="33" t="s">
        <v>434</v>
      </c>
      <c r="K218" s="33" t="s">
        <v>31</v>
      </c>
      <c r="L218" s="33" t="s">
        <v>1610</v>
      </c>
      <c r="M218" s="1" t="s">
        <v>32</v>
      </c>
      <c r="N218" s="1" t="s">
        <v>1227</v>
      </c>
      <c r="O218" s="33"/>
      <c r="P218" s="38"/>
      <c r="Q218" s="52"/>
      <c r="R218" s="52" t="s">
        <v>364</v>
      </c>
      <c r="S218" s="1"/>
      <c r="T218" s="1" t="s">
        <v>1276</v>
      </c>
      <c r="U218" s="1" t="s">
        <v>1277</v>
      </c>
      <c r="V218" s="1" t="s">
        <v>1278</v>
      </c>
      <c r="W218" s="1" t="s">
        <v>1279</v>
      </c>
    </row>
    <row r="219" spans="1:25" s="4" customFormat="1" ht="15" customHeight="1">
      <c r="A219" s="93" t="s">
        <v>1256</v>
      </c>
      <c r="B219" s="29" t="s">
        <v>2221</v>
      </c>
      <c r="C219" s="29" t="s">
        <v>2222</v>
      </c>
      <c r="D219" s="2"/>
      <c r="E219" s="26">
        <v>44543</v>
      </c>
      <c r="F219" s="2">
        <f t="shared" si="10"/>
        <v>44557</v>
      </c>
      <c r="G219" s="2"/>
      <c r="H219" s="1" t="s">
        <v>2223</v>
      </c>
      <c r="I219" s="1" t="s">
        <v>2224</v>
      </c>
      <c r="J219" s="1" t="s">
        <v>434</v>
      </c>
      <c r="K219" s="1" t="s">
        <v>31</v>
      </c>
      <c r="L219" s="1">
        <v>85086</v>
      </c>
      <c r="M219" s="1" t="s">
        <v>32</v>
      </c>
      <c r="N219" s="1" t="s">
        <v>1227</v>
      </c>
      <c r="O219" s="1" t="s">
        <v>2225</v>
      </c>
      <c r="P219" s="1" t="s">
        <v>2226</v>
      </c>
      <c r="Q219" s="1"/>
      <c r="R219" s="1">
        <v>77930</v>
      </c>
      <c r="V219" s="4" t="s">
        <v>1264</v>
      </c>
      <c r="W219" s="4" t="s">
        <v>1253</v>
      </c>
      <c r="X219" s="4" t="s">
        <v>616</v>
      </c>
      <c r="Y219" s="15" t="s">
        <v>1265</v>
      </c>
    </row>
    <row r="220" spans="1:25" s="4" customFormat="1" ht="15" customHeight="1">
      <c r="A220" s="164" t="s">
        <v>1240</v>
      </c>
      <c r="B220" s="15" t="s">
        <v>2227</v>
      </c>
      <c r="C220" s="29" t="s">
        <v>2228</v>
      </c>
      <c r="D220" s="1"/>
      <c r="E220" s="2">
        <v>44805</v>
      </c>
      <c r="F220" s="2">
        <f t="shared" si="10"/>
        <v>44819</v>
      </c>
      <c r="G220" s="15">
        <v>23</v>
      </c>
      <c r="H220" s="1"/>
      <c r="I220" s="15" t="s">
        <v>2229</v>
      </c>
      <c r="J220" s="1" t="s">
        <v>434</v>
      </c>
      <c r="K220" s="1" t="s">
        <v>31</v>
      </c>
      <c r="L220" s="1"/>
      <c r="M220" s="1" t="s">
        <v>1409</v>
      </c>
      <c r="O220" s="1" t="s">
        <v>2230</v>
      </c>
      <c r="P220" s="1" t="s">
        <v>2231</v>
      </c>
      <c r="Q220" s="87" t="s">
        <v>2232</v>
      </c>
      <c r="R220" s="1">
        <v>90478</v>
      </c>
      <c r="V220" s="4" t="s">
        <v>443</v>
      </c>
      <c r="W220" s="4" t="s">
        <v>37</v>
      </c>
      <c r="X220" s="4" t="s">
        <v>616</v>
      </c>
      <c r="Y220" s="15" t="s">
        <v>1247</v>
      </c>
    </row>
    <row r="221" spans="1:25" s="4" customFormat="1" ht="15" customHeight="1">
      <c r="A221" s="4" t="s">
        <v>1266</v>
      </c>
      <c r="B221" s="29" t="s">
        <v>2233</v>
      </c>
      <c r="C221" s="29" t="s">
        <v>2234</v>
      </c>
      <c r="D221" s="1"/>
      <c r="E221" s="26">
        <v>43936</v>
      </c>
      <c r="F221" s="2">
        <f t="shared" si="10"/>
        <v>43950</v>
      </c>
      <c r="G221" s="1" t="s">
        <v>364</v>
      </c>
      <c r="H221" s="1">
        <v>33500</v>
      </c>
      <c r="I221" s="1" t="s">
        <v>2235</v>
      </c>
      <c r="J221" s="1" t="s">
        <v>434</v>
      </c>
      <c r="K221" s="1" t="s">
        <v>31</v>
      </c>
      <c r="L221" s="1">
        <v>85085</v>
      </c>
      <c r="M221" s="1" t="s">
        <v>32</v>
      </c>
      <c r="N221" s="1" t="s">
        <v>1227</v>
      </c>
      <c r="O221" s="1" t="s">
        <v>2116</v>
      </c>
      <c r="P221" s="1" t="s">
        <v>2236</v>
      </c>
      <c r="Q221" s="1"/>
      <c r="R221" s="1">
        <v>75016</v>
      </c>
      <c r="S221" s="1"/>
      <c r="T221" s="1"/>
      <c r="U221" s="1"/>
      <c r="V221" s="1"/>
      <c r="W221" s="1"/>
    </row>
    <row r="222" spans="1:25" s="4" customFormat="1" ht="15" customHeight="1">
      <c r="A222" s="4" t="s">
        <v>1266</v>
      </c>
      <c r="B222" s="29" t="s">
        <v>2233</v>
      </c>
      <c r="C222" s="29" t="s">
        <v>2237</v>
      </c>
      <c r="D222" s="1"/>
      <c r="E222" s="26">
        <v>43970</v>
      </c>
      <c r="F222" s="2">
        <f t="shared" si="10"/>
        <v>43984</v>
      </c>
      <c r="G222" s="1" t="s">
        <v>364</v>
      </c>
      <c r="H222" s="1">
        <v>17600</v>
      </c>
      <c r="I222" s="1" t="s">
        <v>2238</v>
      </c>
      <c r="J222" s="1" t="s">
        <v>49</v>
      </c>
      <c r="K222" s="1" t="s">
        <v>31</v>
      </c>
      <c r="L222" s="1">
        <v>85295</v>
      </c>
      <c r="M222" s="1" t="s">
        <v>32</v>
      </c>
      <c r="N222" s="1" t="s">
        <v>1227</v>
      </c>
      <c r="O222" s="1" t="s">
        <v>2239</v>
      </c>
      <c r="P222" s="1" t="s">
        <v>2240</v>
      </c>
      <c r="Q222" s="1"/>
      <c r="R222" s="1">
        <v>75665</v>
      </c>
      <c r="S222" s="1"/>
      <c r="T222" s="1" t="s">
        <v>443</v>
      </c>
      <c r="U222" s="1" t="s">
        <v>1253</v>
      </c>
      <c r="V222" s="1" t="s">
        <v>1254</v>
      </c>
      <c r="W222" s="1" t="s">
        <v>1255</v>
      </c>
    </row>
    <row r="223" spans="1:25" s="4" customFormat="1" ht="15" customHeight="1">
      <c r="A223" s="4" t="s">
        <v>1280</v>
      </c>
      <c r="B223" s="29" t="s">
        <v>2233</v>
      </c>
      <c r="C223" s="29" t="s">
        <v>2241</v>
      </c>
      <c r="D223" s="1"/>
      <c r="E223" s="26">
        <v>44040</v>
      </c>
      <c r="F223" s="2">
        <f t="shared" si="10"/>
        <v>44054</v>
      </c>
      <c r="G223" s="1" t="s">
        <v>364</v>
      </c>
      <c r="H223" s="1">
        <v>15380</v>
      </c>
      <c r="I223" s="1" t="s">
        <v>2242</v>
      </c>
      <c r="J223" s="1" t="s">
        <v>844</v>
      </c>
      <c r="K223" s="1" t="s">
        <v>31</v>
      </c>
      <c r="L223" s="1" t="s">
        <v>1685</v>
      </c>
      <c r="M223" s="1" t="s">
        <v>32</v>
      </c>
      <c r="N223" s="1" t="s">
        <v>1227</v>
      </c>
      <c r="O223" s="1" t="s">
        <v>1053</v>
      </c>
      <c r="P223" s="1" t="s">
        <v>1054</v>
      </c>
      <c r="Q223" s="1"/>
      <c r="R223" s="1">
        <v>74892</v>
      </c>
      <c r="S223" s="1"/>
      <c r="T223" s="1" t="s">
        <v>1276</v>
      </c>
      <c r="U223" s="1" t="s">
        <v>1277</v>
      </c>
      <c r="V223" s="1" t="s">
        <v>1278</v>
      </c>
      <c r="W223" s="1" t="s">
        <v>1279</v>
      </c>
    </row>
    <row r="224" spans="1:25" s="4" customFormat="1">
      <c r="A224" s="4" t="s">
        <v>1256</v>
      </c>
      <c r="B224" s="29" t="s">
        <v>2233</v>
      </c>
      <c r="C224" s="29" t="s">
        <v>2243</v>
      </c>
      <c r="D224" s="1"/>
      <c r="E224" s="26">
        <v>44418</v>
      </c>
      <c r="F224" s="2">
        <f t="shared" si="10"/>
        <v>44432</v>
      </c>
      <c r="G224" s="1" t="s">
        <v>364</v>
      </c>
      <c r="H224" s="1">
        <v>3223</v>
      </c>
      <c r="I224" s="1" t="s">
        <v>2244</v>
      </c>
      <c r="J224" s="1" t="s">
        <v>1510</v>
      </c>
      <c r="K224" s="1" t="s">
        <v>31</v>
      </c>
      <c r="L224" s="1" t="s">
        <v>1606</v>
      </c>
      <c r="M224" s="1" t="s">
        <v>32</v>
      </c>
      <c r="N224" s="1" t="s">
        <v>1227</v>
      </c>
      <c r="O224" s="1" t="s">
        <v>1119</v>
      </c>
      <c r="P224" s="1" t="s">
        <v>1120</v>
      </c>
      <c r="Q224" s="1"/>
      <c r="R224" s="1">
        <v>79382</v>
      </c>
      <c r="S224" s="1"/>
      <c r="T224" s="1" t="s">
        <v>1276</v>
      </c>
      <c r="U224" s="1" t="s">
        <v>1277</v>
      </c>
      <c r="V224" s="1" t="s">
        <v>1278</v>
      </c>
      <c r="W224" s="1" t="s">
        <v>1279</v>
      </c>
    </row>
    <row r="225" spans="1:26" s="4" customFormat="1">
      <c r="A225" s="92" t="s">
        <v>25</v>
      </c>
      <c r="B225" s="15" t="s">
        <v>2233</v>
      </c>
      <c r="C225" s="65" t="s">
        <v>2245</v>
      </c>
      <c r="D225" s="2"/>
      <c r="E225" s="26">
        <v>44645</v>
      </c>
      <c r="F225" s="2">
        <f t="shared" si="10"/>
        <v>44659</v>
      </c>
      <c r="G225" s="2"/>
      <c r="H225" s="1" t="s">
        <v>43</v>
      </c>
      <c r="I225" s="1" t="s">
        <v>2246</v>
      </c>
      <c r="J225" s="1" t="s">
        <v>49</v>
      </c>
      <c r="K225" s="1" t="s">
        <v>31</v>
      </c>
      <c r="L225" s="1"/>
      <c r="M225" s="41" t="s">
        <v>76</v>
      </c>
      <c r="O225" s="1" t="s">
        <v>364</v>
      </c>
      <c r="P225" s="1" t="s">
        <v>2247</v>
      </c>
      <c r="Q225" s="87" t="s">
        <v>2248</v>
      </c>
      <c r="R225" s="1">
        <v>85728</v>
      </c>
      <c r="S225" s="1"/>
      <c r="T225" s="1"/>
      <c r="U225" s="1"/>
      <c r="V225" s="4" t="s">
        <v>36</v>
      </c>
      <c r="W225" s="4" t="s">
        <v>1277</v>
      </c>
      <c r="X225" s="1" t="s">
        <v>59</v>
      </c>
      <c r="Y225" s="15" t="s">
        <v>1330</v>
      </c>
    </row>
    <row r="226" spans="1:26" s="4" customFormat="1" ht="15" customHeight="1">
      <c r="A226" s="93" t="s">
        <v>1256</v>
      </c>
      <c r="B226" s="69" t="s">
        <v>2233</v>
      </c>
      <c r="C226" s="5" t="s">
        <v>2249</v>
      </c>
      <c r="D226" s="59"/>
      <c r="E226" s="26">
        <v>44718</v>
      </c>
      <c r="F226" s="2">
        <f t="shared" si="10"/>
        <v>44732</v>
      </c>
      <c r="G226" s="2"/>
      <c r="H226" s="43" t="s">
        <v>379</v>
      </c>
      <c r="I226" s="33" t="s">
        <v>2250</v>
      </c>
      <c r="J226" s="33" t="s">
        <v>822</v>
      </c>
      <c r="K226" s="33" t="s">
        <v>31</v>
      </c>
      <c r="L226" s="33" t="s">
        <v>2251</v>
      </c>
      <c r="M226" s="33" t="s">
        <v>32</v>
      </c>
      <c r="N226" s="5"/>
      <c r="O226" s="33" t="s">
        <v>2252</v>
      </c>
      <c r="P226" s="33" t="s">
        <v>2253</v>
      </c>
      <c r="Q226" s="33"/>
      <c r="R226" s="37">
        <v>83793</v>
      </c>
      <c r="V226" s="4" t="s">
        <v>1264</v>
      </c>
      <c r="W226" s="4" t="s">
        <v>1253</v>
      </c>
      <c r="X226" s="4" t="s">
        <v>616</v>
      </c>
      <c r="Y226" s="15" t="s">
        <v>1265</v>
      </c>
    </row>
    <row r="227" spans="1:26" s="4" customFormat="1" ht="15" customHeight="1">
      <c r="A227" s="92" t="s">
        <v>25</v>
      </c>
      <c r="B227" s="15" t="s">
        <v>2254</v>
      </c>
      <c r="C227" s="65" t="s">
        <v>2255</v>
      </c>
      <c r="D227" s="2"/>
      <c r="E227" s="137">
        <v>44691</v>
      </c>
      <c r="F227" s="2">
        <f t="shared" si="10"/>
        <v>44705</v>
      </c>
      <c r="G227" s="2"/>
      <c r="H227" s="1">
        <v>326</v>
      </c>
      <c r="I227" s="1" t="s">
        <v>2256</v>
      </c>
      <c r="J227" s="1" t="s">
        <v>49</v>
      </c>
      <c r="K227" s="1" t="s">
        <v>31</v>
      </c>
      <c r="L227" s="1">
        <v>85234</v>
      </c>
      <c r="M227" s="1" t="s">
        <v>32</v>
      </c>
      <c r="O227" s="1" t="s">
        <v>2257</v>
      </c>
      <c r="P227" s="1" t="s">
        <v>2258</v>
      </c>
      <c r="Q227" s="87" t="s">
        <v>2259</v>
      </c>
      <c r="R227" s="1">
        <v>89132</v>
      </c>
      <c r="V227" s="4" t="s">
        <v>36</v>
      </c>
      <c r="W227" s="4" t="s">
        <v>1277</v>
      </c>
      <c r="X227" s="1" t="s">
        <v>59</v>
      </c>
      <c r="Y227" s="15" t="s">
        <v>1330</v>
      </c>
    </row>
    <row r="228" spans="1:26" s="4" customFormat="1">
      <c r="A228" s="4" t="s">
        <v>1266</v>
      </c>
      <c r="B228" s="4" t="s">
        <v>2260</v>
      </c>
      <c r="C228" s="4" t="s">
        <v>2261</v>
      </c>
      <c r="D228" s="1"/>
      <c r="E228" s="26">
        <v>43829</v>
      </c>
      <c r="F228" s="2">
        <f t="shared" si="10"/>
        <v>43843</v>
      </c>
      <c r="G228" s="1" t="s">
        <v>364</v>
      </c>
      <c r="H228" s="1">
        <v>21430</v>
      </c>
      <c r="I228" s="33" t="s">
        <v>2262</v>
      </c>
      <c r="J228" s="33" t="s">
        <v>129</v>
      </c>
      <c r="K228" s="33" t="s">
        <v>31</v>
      </c>
      <c r="L228" s="33" t="s">
        <v>2263</v>
      </c>
      <c r="M228" s="1" t="s">
        <v>32</v>
      </c>
      <c r="N228" s="1" t="s">
        <v>1227</v>
      </c>
      <c r="O228" s="33" t="s">
        <v>2264</v>
      </c>
      <c r="P228" s="38" t="s">
        <v>2265</v>
      </c>
      <c r="Q228" s="37"/>
      <c r="R228" s="37">
        <v>76653</v>
      </c>
      <c r="S228" s="1"/>
      <c r="T228" s="1" t="s">
        <v>443</v>
      </c>
      <c r="U228" s="1" t="s">
        <v>1253</v>
      </c>
      <c r="V228" s="1" t="s">
        <v>1254</v>
      </c>
      <c r="W228" s="1" t="s">
        <v>1255</v>
      </c>
    </row>
    <row r="229" spans="1:26" s="4" customFormat="1" ht="15" customHeight="1">
      <c r="A229" s="4" t="s">
        <v>1256</v>
      </c>
      <c r="B229" s="68" t="s">
        <v>2266</v>
      </c>
      <c r="C229" s="47" t="s">
        <v>2267</v>
      </c>
      <c r="D229" s="46"/>
      <c r="E229" s="138">
        <v>44215</v>
      </c>
      <c r="F229" s="2">
        <f t="shared" si="10"/>
        <v>44229</v>
      </c>
      <c r="G229" s="66" t="s">
        <v>364</v>
      </c>
      <c r="H229" s="66">
        <v>16980</v>
      </c>
      <c r="I229" s="33" t="s">
        <v>2268</v>
      </c>
      <c r="J229" s="46" t="s">
        <v>844</v>
      </c>
      <c r="K229" s="46" t="s">
        <v>31</v>
      </c>
      <c r="L229" s="46"/>
      <c r="M229" s="1" t="s">
        <v>32</v>
      </c>
      <c r="N229" s="1" t="s">
        <v>1227</v>
      </c>
      <c r="O229" s="46"/>
      <c r="P229" s="50"/>
      <c r="Q229" s="1"/>
      <c r="R229" s="1"/>
      <c r="S229" s="1"/>
      <c r="T229" s="1" t="s">
        <v>443</v>
      </c>
      <c r="U229" s="1" t="s">
        <v>1253</v>
      </c>
      <c r="V229" s="1" t="s">
        <v>1254</v>
      </c>
      <c r="W229" s="1" t="s">
        <v>1255</v>
      </c>
    </row>
    <row r="230" spans="1:26" s="4" customFormat="1" ht="15" customHeight="1">
      <c r="A230" s="4" t="s">
        <v>1266</v>
      </c>
      <c r="B230" s="4" t="s">
        <v>2269</v>
      </c>
      <c r="C230" s="4" t="s">
        <v>2270</v>
      </c>
      <c r="D230" s="1"/>
      <c r="E230" s="26">
        <v>43657</v>
      </c>
      <c r="F230" s="2">
        <f t="shared" si="10"/>
        <v>43671</v>
      </c>
      <c r="G230" s="1" t="s">
        <v>364</v>
      </c>
      <c r="H230" s="1">
        <v>2135</v>
      </c>
      <c r="I230" s="1" t="s">
        <v>2271</v>
      </c>
      <c r="J230" s="33" t="s">
        <v>434</v>
      </c>
      <c r="K230" s="33" t="s">
        <v>31</v>
      </c>
      <c r="L230" s="33" t="s">
        <v>2181</v>
      </c>
      <c r="M230" s="1" t="s">
        <v>32</v>
      </c>
      <c r="N230" s="1" t="s">
        <v>1227</v>
      </c>
      <c r="O230" s="33" t="s">
        <v>2272</v>
      </c>
      <c r="P230" s="11" t="s">
        <v>1106</v>
      </c>
      <c r="Q230" s="11"/>
      <c r="R230" s="11">
        <v>71171</v>
      </c>
      <c r="S230" s="1"/>
      <c r="T230" s="1" t="s">
        <v>1276</v>
      </c>
      <c r="U230" s="1" t="s">
        <v>1277</v>
      </c>
      <c r="V230" s="1" t="s">
        <v>1278</v>
      </c>
      <c r="W230" s="1" t="s">
        <v>1279</v>
      </c>
    </row>
    <row r="231" spans="1:26" s="4" customFormat="1" ht="15" customHeight="1">
      <c r="A231" s="4" t="s">
        <v>1266</v>
      </c>
      <c r="B231" s="4" t="s">
        <v>2269</v>
      </c>
      <c r="C231" s="29" t="s">
        <v>2273</v>
      </c>
      <c r="D231" s="1"/>
      <c r="E231" s="26">
        <v>44291</v>
      </c>
      <c r="F231" s="2">
        <f t="shared" si="10"/>
        <v>44305</v>
      </c>
      <c r="G231" s="1" t="s">
        <v>364</v>
      </c>
      <c r="H231" s="1">
        <v>41090</v>
      </c>
      <c r="I231" s="1" t="s">
        <v>2274</v>
      </c>
      <c r="J231" s="1" t="s">
        <v>1380</v>
      </c>
      <c r="K231" s="1" t="s">
        <v>31</v>
      </c>
      <c r="L231" s="1">
        <v>85140</v>
      </c>
      <c r="M231" s="1" t="s">
        <v>32</v>
      </c>
      <c r="N231" s="1" t="s">
        <v>1227</v>
      </c>
      <c r="O231" s="1" t="s">
        <v>2275</v>
      </c>
      <c r="P231" s="1" t="s">
        <v>2276</v>
      </c>
      <c r="Q231" s="1"/>
      <c r="R231" s="1"/>
      <c r="S231" s="1"/>
      <c r="T231" s="1"/>
      <c r="U231" s="1"/>
      <c r="V231" s="1"/>
      <c r="W231" s="1"/>
    </row>
    <row r="232" spans="1:26" s="4" customFormat="1" ht="15" customHeight="1">
      <c r="A232" s="4" t="s">
        <v>1266</v>
      </c>
      <c r="B232" s="4" t="s">
        <v>2269</v>
      </c>
      <c r="C232" s="29" t="s">
        <v>2277</v>
      </c>
      <c r="D232" s="1"/>
      <c r="E232" s="26">
        <v>44320</v>
      </c>
      <c r="F232" s="2">
        <f t="shared" si="10"/>
        <v>44334</v>
      </c>
      <c r="G232" s="1" t="s">
        <v>364</v>
      </c>
      <c r="H232" s="1">
        <v>170</v>
      </c>
      <c r="I232" s="1" t="s">
        <v>2278</v>
      </c>
      <c r="J232" s="1" t="s">
        <v>49</v>
      </c>
      <c r="K232" s="1" t="s">
        <v>31</v>
      </c>
      <c r="L232" s="1">
        <v>85295</v>
      </c>
      <c r="M232" s="1" t="s">
        <v>32</v>
      </c>
      <c r="N232" s="1" t="s">
        <v>1227</v>
      </c>
      <c r="O232" s="1" t="s">
        <v>2275</v>
      </c>
      <c r="P232" s="1" t="s">
        <v>2276</v>
      </c>
      <c r="Q232" s="1"/>
      <c r="R232" s="1"/>
      <c r="S232" s="1"/>
      <c r="T232" s="1" t="s">
        <v>1276</v>
      </c>
      <c r="U232" s="1" t="s">
        <v>1277</v>
      </c>
      <c r="V232" s="1" t="s">
        <v>1278</v>
      </c>
      <c r="W232" s="1" t="s">
        <v>1279</v>
      </c>
    </row>
    <row r="233" spans="1:26" s="4" customFormat="1" ht="15" customHeight="1">
      <c r="A233" s="163" t="s">
        <v>25</v>
      </c>
      <c r="B233" s="29" t="s">
        <v>2279</v>
      </c>
      <c r="C233" s="4" t="s">
        <v>2280</v>
      </c>
      <c r="D233" s="130"/>
      <c r="E233" s="2">
        <v>44820</v>
      </c>
      <c r="F233" s="2">
        <f t="shared" si="10"/>
        <v>44834</v>
      </c>
      <c r="G233" s="2"/>
      <c r="H233" s="41">
        <v>20260</v>
      </c>
      <c r="I233" s="15" t="s">
        <v>89</v>
      </c>
      <c r="J233" s="1" t="s">
        <v>129</v>
      </c>
      <c r="K233" s="1" t="s">
        <v>31</v>
      </c>
      <c r="L233" s="1">
        <v>85142</v>
      </c>
      <c r="M233" s="1" t="s">
        <v>32</v>
      </c>
      <c r="O233" s="1" t="s">
        <v>2281</v>
      </c>
      <c r="P233" s="1" t="s">
        <v>2282</v>
      </c>
      <c r="Q233" s="1"/>
      <c r="R233" s="31">
        <v>92980</v>
      </c>
      <c r="V233" s="4" t="s">
        <v>36</v>
      </c>
      <c r="W233" s="4" t="s">
        <v>37</v>
      </c>
      <c r="X233" s="1" t="s">
        <v>59</v>
      </c>
      <c r="Y233" s="167" t="s">
        <v>39</v>
      </c>
      <c r="Z233" s="168"/>
    </row>
    <row r="234" spans="1:26" s="4" customFormat="1">
      <c r="A234" s="93" t="s">
        <v>1256</v>
      </c>
      <c r="B234" s="29" t="s">
        <v>2283</v>
      </c>
      <c r="C234" s="29" t="s">
        <v>2284</v>
      </c>
      <c r="D234" s="2"/>
      <c r="E234" s="26">
        <v>44564</v>
      </c>
      <c r="F234" s="2">
        <f t="shared" si="10"/>
        <v>44578</v>
      </c>
      <c r="G234" s="2"/>
      <c r="H234" s="1">
        <v>302</v>
      </c>
      <c r="I234" s="1" t="s">
        <v>686</v>
      </c>
      <c r="J234" s="1" t="s">
        <v>434</v>
      </c>
      <c r="K234" s="1" t="s">
        <v>31</v>
      </c>
      <c r="L234" s="1" t="s">
        <v>1610</v>
      </c>
      <c r="M234" s="1" t="s">
        <v>32</v>
      </c>
      <c r="N234" s="1" t="s">
        <v>1227</v>
      </c>
      <c r="O234" s="1" t="s">
        <v>2285</v>
      </c>
      <c r="P234" s="1" t="s">
        <v>2286</v>
      </c>
      <c r="Q234" s="1"/>
      <c r="R234" s="1">
        <v>77316</v>
      </c>
      <c r="S234" s="1"/>
      <c r="T234" s="1"/>
      <c r="U234" s="1"/>
      <c r="V234" s="4" t="s">
        <v>1264</v>
      </c>
      <c r="W234" s="4" t="s">
        <v>1253</v>
      </c>
      <c r="X234" s="4" t="s">
        <v>616</v>
      </c>
      <c r="Y234" s="15" t="s">
        <v>1265</v>
      </c>
    </row>
    <row r="235" spans="1:26" s="4" customFormat="1" ht="15" customHeight="1">
      <c r="A235" s="4" t="s">
        <v>1393</v>
      </c>
      <c r="B235" s="29" t="s">
        <v>2287</v>
      </c>
      <c r="C235" s="4" t="s">
        <v>2288</v>
      </c>
      <c r="D235" s="1"/>
      <c r="E235" s="26">
        <v>44432</v>
      </c>
      <c r="F235" s="2">
        <f t="shared" si="10"/>
        <v>44446</v>
      </c>
      <c r="G235" s="41" t="s">
        <v>364</v>
      </c>
      <c r="H235" s="41">
        <v>11540</v>
      </c>
      <c r="I235" s="1" t="s">
        <v>2289</v>
      </c>
      <c r="J235" s="1" t="s">
        <v>69</v>
      </c>
      <c r="K235" s="1" t="s">
        <v>31</v>
      </c>
      <c r="L235" s="1">
        <v>85286</v>
      </c>
      <c r="M235" s="1" t="s">
        <v>32</v>
      </c>
      <c r="N235" s="1" t="s">
        <v>1227</v>
      </c>
      <c r="O235" s="1" t="s">
        <v>2290</v>
      </c>
      <c r="P235" s="1" t="s">
        <v>2291</v>
      </c>
      <c r="Q235" s="81" t="s">
        <v>2292</v>
      </c>
      <c r="R235" s="31">
        <v>88455</v>
      </c>
      <c r="S235" s="1"/>
      <c r="T235" s="1" t="s">
        <v>1276</v>
      </c>
      <c r="U235" s="1" t="s">
        <v>1277</v>
      </c>
      <c r="V235" s="1" t="s">
        <v>1278</v>
      </c>
      <c r="W235" s="1" t="s">
        <v>1279</v>
      </c>
    </row>
    <row r="236" spans="1:26" s="4" customFormat="1" ht="15" customHeight="1">
      <c r="A236" s="4" t="s">
        <v>1280</v>
      </c>
      <c r="B236" s="4" t="s">
        <v>2293</v>
      </c>
      <c r="C236" s="4" t="s">
        <v>2294</v>
      </c>
      <c r="D236" s="2">
        <v>43662</v>
      </c>
      <c r="E236" s="26">
        <v>43816</v>
      </c>
      <c r="F236" s="2">
        <f t="shared" si="10"/>
        <v>43830</v>
      </c>
      <c r="G236" s="1" t="s">
        <v>364</v>
      </c>
      <c r="H236" s="1">
        <v>2455</v>
      </c>
      <c r="I236" s="33" t="s">
        <v>2295</v>
      </c>
      <c r="J236" s="33" t="s">
        <v>844</v>
      </c>
      <c r="K236" s="33" t="s">
        <v>31</v>
      </c>
      <c r="L236" s="33" t="s">
        <v>1431</v>
      </c>
      <c r="M236" s="1" t="s">
        <v>32</v>
      </c>
      <c r="N236" s="1" t="s">
        <v>1227</v>
      </c>
      <c r="O236" s="33" t="s">
        <v>2296</v>
      </c>
      <c r="P236" s="38" t="s">
        <v>2297</v>
      </c>
      <c r="Q236" s="52"/>
      <c r="R236" s="52"/>
      <c r="S236" s="1"/>
      <c r="T236" s="1" t="s">
        <v>1276</v>
      </c>
      <c r="U236" s="1" t="s">
        <v>1277</v>
      </c>
      <c r="V236" s="1" t="s">
        <v>1278</v>
      </c>
      <c r="W236" s="1" t="s">
        <v>1279</v>
      </c>
    </row>
    <row r="237" spans="1:26" s="4" customFormat="1" ht="15" customHeight="1">
      <c r="A237" s="4" t="s">
        <v>1280</v>
      </c>
      <c r="B237" s="29" t="s">
        <v>2293</v>
      </c>
      <c r="C237" s="4" t="s">
        <v>2298</v>
      </c>
      <c r="D237" s="1"/>
      <c r="E237" s="26">
        <v>43858</v>
      </c>
      <c r="F237" s="2">
        <f t="shared" si="10"/>
        <v>43872</v>
      </c>
      <c r="G237" s="41" t="s">
        <v>364</v>
      </c>
      <c r="H237" s="41">
        <v>1027</v>
      </c>
      <c r="I237" s="33" t="s">
        <v>2299</v>
      </c>
      <c r="J237" s="33" t="s">
        <v>415</v>
      </c>
      <c r="K237" s="33" t="s">
        <v>31</v>
      </c>
      <c r="L237" s="33" t="s">
        <v>537</v>
      </c>
      <c r="M237" s="1" t="s">
        <v>32</v>
      </c>
      <c r="N237" s="1" t="s">
        <v>1227</v>
      </c>
      <c r="O237" s="33" t="s">
        <v>2300</v>
      </c>
      <c r="P237" s="38" t="s">
        <v>2301</v>
      </c>
      <c r="Q237" s="37"/>
      <c r="R237" s="37">
        <v>73939</v>
      </c>
      <c r="S237" s="1"/>
      <c r="T237" s="1" t="s">
        <v>1264</v>
      </c>
      <c r="U237" s="1" t="s">
        <v>1253</v>
      </c>
      <c r="V237" s="4" t="s">
        <v>2302</v>
      </c>
      <c r="W237" s="4" t="s">
        <v>1265</v>
      </c>
    </row>
    <row r="238" spans="1:26" s="4" customFormat="1" ht="18.75" customHeight="1">
      <c r="A238" s="163" t="s">
        <v>25</v>
      </c>
      <c r="B238" s="29" t="s">
        <v>2303</v>
      </c>
      <c r="C238" s="29" t="s">
        <v>2304</v>
      </c>
      <c r="D238" s="2"/>
      <c r="E238" s="2">
        <v>44852</v>
      </c>
      <c r="F238" s="2">
        <f t="shared" si="10"/>
        <v>44866</v>
      </c>
      <c r="G238" s="2"/>
      <c r="H238" s="1">
        <v>3555</v>
      </c>
      <c r="I238" s="15" t="s">
        <v>1860</v>
      </c>
      <c r="J238" s="1" t="s">
        <v>49</v>
      </c>
      <c r="K238" s="1" t="s">
        <v>31</v>
      </c>
      <c r="L238" s="1">
        <v>85297</v>
      </c>
      <c r="M238" s="1" t="s">
        <v>32</v>
      </c>
      <c r="N238" s="1" t="s">
        <v>1227</v>
      </c>
      <c r="O238" s="1" t="s">
        <v>2305</v>
      </c>
      <c r="P238" s="1" t="s">
        <v>2306</v>
      </c>
      <c r="Q238" s="87" t="s">
        <v>2307</v>
      </c>
      <c r="R238" s="1">
        <v>73544</v>
      </c>
      <c r="V238" s="4" t="s">
        <v>36</v>
      </c>
      <c r="W238" s="4" t="s">
        <v>37</v>
      </c>
      <c r="X238" s="1" t="s">
        <v>59</v>
      </c>
      <c r="Y238" s="167" t="s">
        <v>39</v>
      </c>
      <c r="Z238" s="168"/>
    </row>
    <row r="239" spans="1:26" s="4" customFormat="1" ht="15" customHeight="1">
      <c r="A239" s="4" t="s">
        <v>1280</v>
      </c>
      <c r="B239" s="29" t="s">
        <v>2308</v>
      </c>
      <c r="C239" s="29" t="s">
        <v>2309</v>
      </c>
      <c r="D239" s="1"/>
      <c r="E239" s="26">
        <v>44041</v>
      </c>
      <c r="F239" s="2">
        <f t="shared" si="10"/>
        <v>44055</v>
      </c>
      <c r="G239" s="1" t="s">
        <v>364</v>
      </c>
      <c r="H239" s="1">
        <v>6611</v>
      </c>
      <c r="I239" s="1" t="s">
        <v>596</v>
      </c>
      <c r="J239" s="1" t="s">
        <v>434</v>
      </c>
      <c r="K239" s="25" t="s">
        <v>31</v>
      </c>
      <c r="L239" s="1">
        <v>85054</v>
      </c>
      <c r="M239" s="1" t="s">
        <v>32</v>
      </c>
      <c r="N239" s="1" t="s">
        <v>1227</v>
      </c>
      <c r="O239" s="1" t="s">
        <v>2310</v>
      </c>
      <c r="P239" s="1" t="s">
        <v>2311</v>
      </c>
      <c r="Q239" s="1"/>
      <c r="R239" s="1">
        <v>68397</v>
      </c>
      <c r="S239" s="51"/>
    </row>
    <row r="240" spans="1:26">
      <c r="A240" s="190" t="s">
        <v>25</v>
      </c>
      <c r="B240" s="192" t="s">
        <v>2312</v>
      </c>
      <c r="C240" s="192" t="s">
        <v>2313</v>
      </c>
      <c r="D240" s="197"/>
      <c r="E240" s="200">
        <v>44560</v>
      </c>
      <c r="F240" s="197">
        <f t="shared" si="10"/>
        <v>44574</v>
      </c>
      <c r="G240" s="197"/>
      <c r="H240" s="25">
        <v>6601</v>
      </c>
      <c r="I240" s="25" t="s">
        <v>1443</v>
      </c>
      <c r="J240" s="25" t="s">
        <v>398</v>
      </c>
      <c r="K240" s="1" t="s">
        <v>31</v>
      </c>
      <c r="L240" s="25">
        <v>85257</v>
      </c>
      <c r="M240" s="1" t="s">
        <v>32</v>
      </c>
      <c r="N240" s="1" t="s">
        <v>1227</v>
      </c>
      <c r="O240" s="25" t="s">
        <v>2314</v>
      </c>
      <c r="P240" s="25" t="s">
        <v>2315</v>
      </c>
      <c r="R240" s="25">
        <v>77775</v>
      </c>
      <c r="S240" s="25"/>
      <c r="T240" s="25"/>
      <c r="U240" s="25"/>
      <c r="V240" t="s">
        <v>36</v>
      </c>
      <c r="W240" t="s">
        <v>1277</v>
      </c>
      <c r="X240" s="25" t="s">
        <v>59</v>
      </c>
      <c r="Y240" s="134" t="s">
        <v>1330</v>
      </c>
    </row>
    <row r="241" spans="1:25" s="4" customFormat="1" ht="15" customHeight="1">
      <c r="A241" s="4" t="s">
        <v>1256</v>
      </c>
      <c r="B241" s="29" t="s">
        <v>2316</v>
      </c>
      <c r="C241" s="29" t="s">
        <v>2317</v>
      </c>
      <c r="D241" s="1"/>
      <c r="E241" s="26">
        <v>44224</v>
      </c>
      <c r="F241" s="2">
        <f t="shared" si="10"/>
        <v>44238</v>
      </c>
      <c r="G241" s="1" t="s">
        <v>364</v>
      </c>
      <c r="H241" s="1">
        <v>2718</v>
      </c>
      <c r="I241" s="1" t="s">
        <v>944</v>
      </c>
      <c r="J241" s="1" t="s">
        <v>434</v>
      </c>
      <c r="K241" s="1" t="s">
        <v>31</v>
      </c>
      <c r="L241" s="1" t="s">
        <v>2318</v>
      </c>
      <c r="M241" s="1" t="s">
        <v>32</v>
      </c>
      <c r="N241" s="1" t="s">
        <v>1227</v>
      </c>
      <c r="O241" s="1" t="s">
        <v>2319</v>
      </c>
      <c r="P241" s="1" t="s">
        <v>2320</v>
      </c>
      <c r="Q241" s="1"/>
      <c r="R241" s="1"/>
      <c r="S241" s="51"/>
      <c r="T241" s="1" t="s">
        <v>1264</v>
      </c>
      <c r="U241" s="1" t="s">
        <v>1253</v>
      </c>
      <c r="V241" s="4" t="s">
        <v>2302</v>
      </c>
      <c r="W241" s="4" t="s">
        <v>1265</v>
      </c>
    </row>
    <row r="242" spans="1:25" s="4" customFormat="1" ht="15" customHeight="1">
      <c r="A242" s="4" t="s">
        <v>1266</v>
      </c>
      <c r="B242" s="29" t="s">
        <v>2316</v>
      </c>
      <c r="C242" s="29" t="s">
        <v>2321</v>
      </c>
      <c r="D242" s="1"/>
      <c r="E242" s="26">
        <v>44292</v>
      </c>
      <c r="F242" s="2">
        <f t="shared" si="10"/>
        <v>44306</v>
      </c>
      <c r="G242" s="1" t="s">
        <v>364</v>
      </c>
      <c r="H242" s="1">
        <v>17198</v>
      </c>
      <c r="I242" s="1" t="s">
        <v>2238</v>
      </c>
      <c r="J242" s="1" t="s">
        <v>49</v>
      </c>
      <c r="K242" s="1" t="s">
        <v>31</v>
      </c>
      <c r="L242" s="1">
        <v>85295</v>
      </c>
      <c r="M242" s="1" t="s">
        <v>32</v>
      </c>
      <c r="N242" s="1" t="s">
        <v>1227</v>
      </c>
      <c r="O242" s="1" t="s">
        <v>2322</v>
      </c>
      <c r="P242" s="1" t="s">
        <v>2323</v>
      </c>
      <c r="Q242" s="1"/>
      <c r="R242" s="1">
        <v>70969</v>
      </c>
      <c r="S242" s="1"/>
      <c r="T242" s="1" t="s">
        <v>1276</v>
      </c>
      <c r="U242" s="1" t="s">
        <v>1277</v>
      </c>
      <c r="V242" s="1" t="s">
        <v>1278</v>
      </c>
      <c r="W242" s="1" t="s">
        <v>1279</v>
      </c>
    </row>
    <row r="243" spans="1:25" s="4" customFormat="1" ht="15" customHeight="1">
      <c r="A243" s="4" t="s">
        <v>1266</v>
      </c>
      <c r="B243" s="4" t="s">
        <v>2324</v>
      </c>
      <c r="C243" s="4" t="s">
        <v>2325</v>
      </c>
      <c r="D243" s="1"/>
      <c r="E243" s="26">
        <v>43675</v>
      </c>
      <c r="F243" s="2">
        <f t="shared" si="10"/>
        <v>43689</v>
      </c>
      <c r="G243" s="1" t="s">
        <v>364</v>
      </c>
      <c r="H243" s="1">
        <v>8225</v>
      </c>
      <c r="I243" s="33" t="s">
        <v>2326</v>
      </c>
      <c r="J243" s="33" t="s">
        <v>398</v>
      </c>
      <c r="K243" s="33" t="s">
        <v>31</v>
      </c>
      <c r="L243" s="33" t="s">
        <v>1386</v>
      </c>
      <c r="M243" s="1" t="s">
        <v>32</v>
      </c>
      <c r="N243" s="1" t="s">
        <v>1227</v>
      </c>
      <c r="O243" s="33" t="s">
        <v>2327</v>
      </c>
      <c r="P243" s="38" t="s">
        <v>2328</v>
      </c>
      <c r="Q243" s="52"/>
      <c r="R243" s="52"/>
    </row>
    <row r="244" spans="1:25" s="4" customFormat="1" ht="15" customHeight="1">
      <c r="A244" s="4" t="s">
        <v>1266</v>
      </c>
      <c r="B244" s="29" t="s">
        <v>2329</v>
      </c>
      <c r="C244" s="4" t="s">
        <v>2330</v>
      </c>
      <c r="D244" s="1"/>
      <c r="E244" s="26">
        <v>43872</v>
      </c>
      <c r="F244" s="2">
        <f t="shared" si="10"/>
        <v>43886</v>
      </c>
      <c r="G244" s="41" t="s">
        <v>364</v>
      </c>
      <c r="H244" s="41">
        <v>6286</v>
      </c>
      <c r="I244" s="1" t="s">
        <v>2331</v>
      </c>
      <c r="J244" s="1" t="s">
        <v>49</v>
      </c>
      <c r="K244" s="1" t="s">
        <v>31</v>
      </c>
      <c r="L244" s="1">
        <v>85298</v>
      </c>
      <c r="M244" s="1" t="s">
        <v>32</v>
      </c>
      <c r="N244" s="1" t="s">
        <v>1227</v>
      </c>
      <c r="O244" s="1" t="s">
        <v>2332</v>
      </c>
      <c r="P244" s="1" t="s">
        <v>2333</v>
      </c>
      <c r="Q244" s="1"/>
      <c r="R244" s="1"/>
      <c r="S244" s="1"/>
      <c r="T244" s="1" t="s">
        <v>1276</v>
      </c>
      <c r="U244" s="1" t="s">
        <v>1277</v>
      </c>
      <c r="V244" s="1" t="s">
        <v>1278</v>
      </c>
      <c r="W244" s="1" t="s">
        <v>1279</v>
      </c>
    </row>
    <row r="245" spans="1:25" s="4" customFormat="1" ht="15" customHeight="1">
      <c r="A245" s="4" t="s">
        <v>1280</v>
      </c>
      <c r="B245" s="68" t="s">
        <v>2329</v>
      </c>
      <c r="C245" s="47" t="s">
        <v>2334</v>
      </c>
      <c r="D245" s="46"/>
      <c r="E245" s="47" t="s">
        <v>2335</v>
      </c>
      <c r="F245" s="2">
        <f t="shared" si="10"/>
        <v>43909</v>
      </c>
      <c r="G245" s="45" t="s">
        <v>364</v>
      </c>
      <c r="H245" s="45" t="s">
        <v>528</v>
      </c>
      <c r="I245" s="33" t="s">
        <v>2336</v>
      </c>
      <c r="J245" s="46" t="s">
        <v>831</v>
      </c>
      <c r="K245" s="46" t="s">
        <v>31</v>
      </c>
      <c r="L245" s="46" t="s">
        <v>2337</v>
      </c>
      <c r="M245" s="1" t="s">
        <v>32</v>
      </c>
      <c r="N245" s="1" t="s">
        <v>1227</v>
      </c>
      <c r="O245" s="46"/>
      <c r="P245" s="50"/>
      <c r="Q245" s="46"/>
      <c r="R245" s="46"/>
      <c r="S245" s="1"/>
      <c r="T245" s="1" t="s">
        <v>1276</v>
      </c>
      <c r="U245" s="1" t="s">
        <v>1277</v>
      </c>
      <c r="V245" s="1" t="s">
        <v>1278</v>
      </c>
      <c r="W245" s="1" t="s">
        <v>1279</v>
      </c>
    </row>
    <row r="246" spans="1:25" s="4" customFormat="1">
      <c r="A246" s="4" t="s">
        <v>1266</v>
      </c>
      <c r="B246" s="29" t="s">
        <v>2338</v>
      </c>
      <c r="C246" s="29" t="s">
        <v>2339</v>
      </c>
      <c r="D246" s="1"/>
      <c r="E246" s="26">
        <v>43936</v>
      </c>
      <c r="F246" s="2">
        <f t="shared" si="10"/>
        <v>43950</v>
      </c>
      <c r="G246" s="1" t="s">
        <v>364</v>
      </c>
      <c r="H246" s="1">
        <v>2626</v>
      </c>
      <c r="I246" s="1" t="s">
        <v>2340</v>
      </c>
      <c r="J246" s="1" t="s">
        <v>415</v>
      </c>
      <c r="K246" s="1" t="s">
        <v>31</v>
      </c>
      <c r="L246" s="1"/>
      <c r="M246" s="1" t="s">
        <v>32</v>
      </c>
      <c r="N246" s="1" t="s">
        <v>1227</v>
      </c>
      <c r="O246" s="1"/>
      <c r="P246" s="1"/>
      <c r="Q246" s="1"/>
      <c r="R246" s="1"/>
      <c r="S246" s="1"/>
      <c r="T246" s="1" t="s">
        <v>1264</v>
      </c>
      <c r="U246" s="1" t="s">
        <v>1253</v>
      </c>
      <c r="V246" s="4" t="s">
        <v>616</v>
      </c>
      <c r="W246" s="4" t="s">
        <v>1265</v>
      </c>
    </row>
    <row r="247" spans="1:25" s="4" customFormat="1">
      <c r="A247" s="4" t="s">
        <v>1280</v>
      </c>
      <c r="B247" s="29" t="s">
        <v>2338</v>
      </c>
      <c r="C247" s="29" t="s">
        <v>2341</v>
      </c>
      <c r="D247" s="1"/>
      <c r="E247" s="26">
        <v>44041</v>
      </c>
      <c r="F247" s="2">
        <f>E247+28</f>
        <v>44069</v>
      </c>
      <c r="G247" s="1" t="s">
        <v>364</v>
      </c>
      <c r="H247" s="1">
        <v>7345</v>
      </c>
      <c r="I247" s="1" t="s">
        <v>2342</v>
      </c>
      <c r="J247" s="1" t="s">
        <v>398</v>
      </c>
      <c r="K247" s="1" t="s">
        <v>31</v>
      </c>
      <c r="L247" s="1"/>
      <c r="M247" s="1" t="s">
        <v>32</v>
      </c>
      <c r="N247" s="1" t="s">
        <v>1227</v>
      </c>
      <c r="O247" s="1"/>
      <c r="P247" s="1"/>
      <c r="Q247" s="1"/>
      <c r="R247" s="1"/>
      <c r="S247" s="1"/>
      <c r="T247" s="1" t="s">
        <v>1264</v>
      </c>
      <c r="U247" s="1" t="s">
        <v>1253</v>
      </c>
      <c r="V247" s="4" t="s">
        <v>616</v>
      </c>
      <c r="W247" s="4" t="s">
        <v>1265</v>
      </c>
    </row>
    <row r="248" spans="1:25" s="4" customFormat="1" ht="15" customHeight="1">
      <c r="A248" s="4" t="s">
        <v>1280</v>
      </c>
      <c r="B248" s="29" t="s">
        <v>2343</v>
      </c>
      <c r="C248" s="4" t="s">
        <v>2344</v>
      </c>
      <c r="D248" s="1"/>
      <c r="E248" s="26">
        <v>43853</v>
      </c>
      <c r="F248" s="2">
        <f t="shared" ref="F248:F279" si="11">E248+14</f>
        <v>43867</v>
      </c>
      <c r="G248" s="41" t="s">
        <v>364</v>
      </c>
      <c r="H248" s="41">
        <v>20575</v>
      </c>
      <c r="I248" s="1" t="s">
        <v>2345</v>
      </c>
      <c r="J248" s="33" t="s">
        <v>831</v>
      </c>
      <c r="K248" s="33" t="s">
        <v>31</v>
      </c>
      <c r="L248" s="33" t="s">
        <v>2337</v>
      </c>
      <c r="M248" s="1" t="s">
        <v>32</v>
      </c>
      <c r="N248" s="1" t="s">
        <v>1227</v>
      </c>
      <c r="O248" s="33" t="s">
        <v>2346</v>
      </c>
      <c r="P248" s="11" t="s">
        <v>2347</v>
      </c>
      <c r="Q248" s="37"/>
      <c r="R248" s="37">
        <v>73221</v>
      </c>
      <c r="T248" s="1" t="s">
        <v>1276</v>
      </c>
      <c r="U248" s="1" t="s">
        <v>1277</v>
      </c>
      <c r="V248" s="1" t="s">
        <v>1278</v>
      </c>
      <c r="W248" s="1" t="s">
        <v>1279</v>
      </c>
    </row>
    <row r="249" spans="1:25" s="4" customFormat="1" ht="15" customHeight="1">
      <c r="A249" s="4" t="s">
        <v>1280</v>
      </c>
      <c r="B249" s="4" t="s">
        <v>2348</v>
      </c>
      <c r="C249" s="4" t="s">
        <v>2349</v>
      </c>
      <c r="D249" s="1"/>
      <c r="E249" s="26">
        <v>43783</v>
      </c>
      <c r="F249" s="2">
        <f t="shared" si="11"/>
        <v>43797</v>
      </c>
      <c r="G249" s="1" t="s">
        <v>364</v>
      </c>
      <c r="H249" s="1">
        <v>7700</v>
      </c>
      <c r="I249" s="1" t="s">
        <v>1300</v>
      </c>
      <c r="J249" s="33" t="s">
        <v>434</v>
      </c>
      <c r="K249" s="33" t="s">
        <v>31</v>
      </c>
      <c r="L249" s="33" t="s">
        <v>2089</v>
      </c>
      <c r="M249" s="1" t="s">
        <v>32</v>
      </c>
      <c r="N249" s="1" t="s">
        <v>1227</v>
      </c>
      <c r="O249" s="33" t="s">
        <v>2350</v>
      </c>
      <c r="P249" s="11" t="s">
        <v>2351</v>
      </c>
      <c r="Q249" s="37"/>
      <c r="R249" s="37">
        <v>75551</v>
      </c>
      <c r="T249" s="1" t="s">
        <v>1276</v>
      </c>
      <c r="U249" s="1" t="s">
        <v>1277</v>
      </c>
      <c r="V249" s="1" t="s">
        <v>1278</v>
      </c>
      <c r="W249" s="1" t="s">
        <v>1279</v>
      </c>
    </row>
    <row r="250" spans="1:25" s="4" customFormat="1">
      <c r="A250" s="4" t="s">
        <v>1280</v>
      </c>
      <c r="B250" s="29" t="s">
        <v>2348</v>
      </c>
      <c r="C250" s="29" t="s">
        <v>2352</v>
      </c>
      <c r="D250" s="1"/>
      <c r="E250" s="26">
        <v>43943</v>
      </c>
      <c r="F250" s="2">
        <f t="shared" si="11"/>
        <v>43957</v>
      </c>
      <c r="G250" s="1" t="s">
        <v>364</v>
      </c>
      <c r="H250" s="1"/>
      <c r="I250" s="1" t="s">
        <v>2353</v>
      </c>
      <c r="J250" s="1" t="s">
        <v>398</v>
      </c>
      <c r="K250" s="1" t="s">
        <v>31</v>
      </c>
      <c r="L250" s="1">
        <v>85251</v>
      </c>
      <c r="M250" s="1" t="s">
        <v>32</v>
      </c>
      <c r="N250" s="1" t="s">
        <v>1227</v>
      </c>
      <c r="O250" s="1"/>
      <c r="P250" s="1"/>
      <c r="Q250" s="1"/>
      <c r="R250" s="1"/>
      <c r="S250" s="1"/>
      <c r="T250" s="1" t="s">
        <v>1276</v>
      </c>
      <c r="U250" s="1" t="s">
        <v>1277</v>
      </c>
      <c r="V250" s="1" t="s">
        <v>1278</v>
      </c>
      <c r="W250" s="1" t="s">
        <v>1279</v>
      </c>
    </row>
    <row r="251" spans="1:25" s="4" customFormat="1" ht="15" customHeight="1">
      <c r="A251" s="121" t="s">
        <v>1393</v>
      </c>
      <c r="B251" s="4" t="s">
        <v>2348</v>
      </c>
      <c r="C251" s="29" t="s">
        <v>2354</v>
      </c>
      <c r="D251" s="2"/>
      <c r="E251" s="26">
        <v>44449</v>
      </c>
      <c r="F251" s="60">
        <f t="shared" si="11"/>
        <v>44463</v>
      </c>
      <c r="G251" s="1" t="s">
        <v>364</v>
      </c>
      <c r="H251" s="1">
        <v>500</v>
      </c>
      <c r="I251" s="1" t="s">
        <v>2355</v>
      </c>
      <c r="J251" s="1" t="s">
        <v>434</v>
      </c>
      <c r="K251" s="1" t="s">
        <v>31</v>
      </c>
      <c r="L251" s="1">
        <v>85085</v>
      </c>
      <c r="M251" s="1" t="s">
        <v>32</v>
      </c>
      <c r="N251" s="1" t="s">
        <v>1227</v>
      </c>
      <c r="O251" s="1" t="s">
        <v>2356</v>
      </c>
      <c r="P251" s="1" t="s">
        <v>2357</v>
      </c>
      <c r="Q251" s="1"/>
      <c r="R251" s="1">
        <v>83227</v>
      </c>
      <c r="S251" s="51"/>
      <c r="T251" s="1" t="s">
        <v>1276</v>
      </c>
      <c r="U251" s="1" t="s">
        <v>1277</v>
      </c>
      <c r="V251" s="1" t="s">
        <v>1278</v>
      </c>
      <c r="W251" s="1" t="s">
        <v>1279</v>
      </c>
    </row>
    <row r="252" spans="1:25" s="4" customFormat="1" ht="15" customHeight="1">
      <c r="A252" s="122" t="s">
        <v>1256</v>
      </c>
      <c r="B252" s="69" t="s">
        <v>2348</v>
      </c>
      <c r="C252" s="5" t="s">
        <v>2358</v>
      </c>
      <c r="D252" s="59"/>
      <c r="E252" s="26">
        <v>44463</v>
      </c>
      <c r="F252" s="2">
        <f t="shared" si="11"/>
        <v>44477</v>
      </c>
      <c r="G252" s="43" t="s">
        <v>364</v>
      </c>
      <c r="H252" s="43" t="s">
        <v>528</v>
      </c>
      <c r="I252" s="33" t="s">
        <v>2359</v>
      </c>
      <c r="J252" s="33" t="s">
        <v>822</v>
      </c>
      <c r="K252" s="33" t="s">
        <v>31</v>
      </c>
      <c r="L252" s="33" t="s">
        <v>2360</v>
      </c>
      <c r="M252" s="1" t="s">
        <v>32</v>
      </c>
      <c r="N252" s="1" t="s">
        <v>1227</v>
      </c>
      <c r="O252" s="33" t="s">
        <v>2356</v>
      </c>
      <c r="P252" s="33" t="s">
        <v>2357</v>
      </c>
      <c r="Q252" s="37"/>
      <c r="R252" s="37">
        <v>86935</v>
      </c>
      <c r="T252" s="1" t="s">
        <v>1276</v>
      </c>
      <c r="U252" s="1" t="s">
        <v>1277</v>
      </c>
      <c r="V252" s="1" t="s">
        <v>1278</v>
      </c>
      <c r="W252" s="1" t="s">
        <v>1279</v>
      </c>
    </row>
    <row r="253" spans="1:25" s="4" customFormat="1" ht="15" customHeight="1">
      <c r="B253" s="68" t="s">
        <v>2361</v>
      </c>
      <c r="C253" s="47" t="s">
        <v>2362</v>
      </c>
      <c r="D253" s="46"/>
      <c r="E253" s="26">
        <v>44288</v>
      </c>
      <c r="F253" s="2">
        <f t="shared" si="11"/>
        <v>44302</v>
      </c>
      <c r="G253" s="45" t="s">
        <v>364</v>
      </c>
      <c r="H253" s="45" t="s">
        <v>43</v>
      </c>
      <c r="I253" s="33" t="s">
        <v>2363</v>
      </c>
      <c r="J253" s="46" t="s">
        <v>837</v>
      </c>
      <c r="K253" s="46" t="s">
        <v>31</v>
      </c>
      <c r="L253" s="67">
        <v>85379</v>
      </c>
      <c r="M253" s="1" t="s">
        <v>32</v>
      </c>
      <c r="N253" s="1" t="s">
        <v>1227</v>
      </c>
      <c r="O253" s="46" t="s">
        <v>2364</v>
      </c>
      <c r="P253" s="46" t="s">
        <v>2365</v>
      </c>
      <c r="Q253" s="1"/>
      <c r="R253" s="1"/>
      <c r="S253" s="1"/>
      <c r="T253" s="1" t="s">
        <v>1264</v>
      </c>
      <c r="U253" s="1" t="s">
        <v>1253</v>
      </c>
      <c r="V253" s="4" t="s">
        <v>616</v>
      </c>
      <c r="W253" s="4" t="s">
        <v>1265</v>
      </c>
    </row>
    <row r="254" spans="1:25" s="4" customFormat="1">
      <c r="A254" s="4" t="s">
        <v>1309</v>
      </c>
      <c r="B254" s="68" t="s">
        <v>2361</v>
      </c>
      <c r="C254" s="29" t="s">
        <v>2366</v>
      </c>
      <c r="D254" s="1"/>
      <c r="E254" s="139">
        <v>44399</v>
      </c>
      <c r="F254" s="2">
        <f t="shared" si="11"/>
        <v>44413</v>
      </c>
      <c r="G254" s="1" t="s">
        <v>364</v>
      </c>
      <c r="H254" s="1">
        <v>7501</v>
      </c>
      <c r="I254" s="1" t="s">
        <v>474</v>
      </c>
      <c r="J254" s="1" t="s">
        <v>398</v>
      </c>
      <c r="K254" s="1" t="s">
        <v>31</v>
      </c>
      <c r="L254" s="1">
        <v>85251</v>
      </c>
      <c r="M254" s="1" t="s">
        <v>32</v>
      </c>
      <c r="N254" s="1" t="s">
        <v>1227</v>
      </c>
      <c r="O254" s="1" t="s">
        <v>2367</v>
      </c>
      <c r="P254" s="1" t="s">
        <v>2368</v>
      </c>
      <c r="Q254" s="1" t="s">
        <v>364</v>
      </c>
      <c r="R254" s="1" t="s">
        <v>364</v>
      </c>
      <c r="S254" s="1"/>
      <c r="T254" s="1" t="s">
        <v>1264</v>
      </c>
      <c r="U254" s="1" t="s">
        <v>1253</v>
      </c>
      <c r="V254" s="4" t="s">
        <v>616</v>
      </c>
      <c r="W254" s="4" t="s">
        <v>1265</v>
      </c>
    </row>
    <row r="255" spans="1:25" s="4" customFormat="1">
      <c r="A255" s="122" t="s">
        <v>1256</v>
      </c>
      <c r="B255" s="69" t="s">
        <v>2361</v>
      </c>
      <c r="C255" s="5" t="s">
        <v>2369</v>
      </c>
      <c r="D255" s="59"/>
      <c r="E255" s="26">
        <v>44470</v>
      </c>
      <c r="F255" s="2">
        <f t="shared" si="11"/>
        <v>44484</v>
      </c>
      <c r="G255" s="2"/>
      <c r="H255" s="49">
        <v>10001</v>
      </c>
      <c r="I255" s="33" t="s">
        <v>2370</v>
      </c>
      <c r="J255" s="33" t="s">
        <v>985</v>
      </c>
      <c r="K255" s="33" t="s">
        <v>31</v>
      </c>
      <c r="L255" s="11">
        <v>85335</v>
      </c>
      <c r="M255" s="1" t="s">
        <v>32</v>
      </c>
      <c r="N255" s="1" t="s">
        <v>1227</v>
      </c>
      <c r="O255" s="33" t="s">
        <v>2371</v>
      </c>
      <c r="P255" s="33" t="s">
        <v>2372</v>
      </c>
      <c r="Q255" s="33"/>
      <c r="R255" s="33"/>
      <c r="S255" s="1"/>
      <c r="T255" s="1" t="s">
        <v>1264</v>
      </c>
      <c r="U255" s="1" t="s">
        <v>1253</v>
      </c>
      <c r="V255" s="4" t="s">
        <v>616</v>
      </c>
      <c r="W255" s="4" t="s">
        <v>1265</v>
      </c>
    </row>
    <row r="256" spans="1:25" s="4" customFormat="1">
      <c r="A256" s="93" t="s">
        <v>1256</v>
      </c>
      <c r="B256" s="29" t="s">
        <v>226</v>
      </c>
      <c r="C256" s="4" t="s">
        <v>2373</v>
      </c>
      <c r="D256" s="2"/>
      <c r="E256" s="26">
        <v>44516</v>
      </c>
      <c r="F256" s="2">
        <f t="shared" si="11"/>
        <v>44530</v>
      </c>
      <c r="G256" s="2"/>
      <c r="H256" s="41" t="s">
        <v>184</v>
      </c>
      <c r="I256" s="1" t="s">
        <v>2374</v>
      </c>
      <c r="J256" s="1" t="s">
        <v>831</v>
      </c>
      <c r="K256" s="1" t="s">
        <v>31</v>
      </c>
      <c r="L256" s="1"/>
      <c r="M256" s="1" t="s">
        <v>32</v>
      </c>
      <c r="N256" s="1" t="s">
        <v>1227</v>
      </c>
      <c r="O256" s="1" t="s">
        <v>2375</v>
      </c>
      <c r="P256" s="1" t="s">
        <v>2376</v>
      </c>
      <c r="Q256" s="1"/>
      <c r="R256" s="31"/>
      <c r="V256" s="4" t="s">
        <v>1264</v>
      </c>
      <c r="W256" s="4" t="s">
        <v>1253</v>
      </c>
      <c r="X256" s="4" t="s">
        <v>616</v>
      </c>
      <c r="Y256" s="4" t="s">
        <v>1265</v>
      </c>
    </row>
    <row r="257" spans="1:26" s="4" customFormat="1" ht="15" customHeight="1">
      <c r="A257" s="163" t="s">
        <v>25</v>
      </c>
      <c r="B257" s="15" t="s">
        <v>226</v>
      </c>
      <c r="C257" s="29" t="s">
        <v>2377</v>
      </c>
      <c r="D257" s="1"/>
      <c r="E257" s="2">
        <v>44834</v>
      </c>
      <c r="F257" s="2">
        <f t="shared" si="11"/>
        <v>44848</v>
      </c>
      <c r="G257" s="15">
        <v>36</v>
      </c>
      <c r="H257" s="1">
        <v>555</v>
      </c>
      <c r="I257" s="15" t="s">
        <v>2378</v>
      </c>
      <c r="J257" s="1" t="s">
        <v>69</v>
      </c>
      <c r="K257" s="1" t="s">
        <v>31</v>
      </c>
      <c r="L257" s="1">
        <v>85286</v>
      </c>
      <c r="M257" s="1" t="s">
        <v>32</v>
      </c>
      <c r="O257" s="1" t="s">
        <v>2379</v>
      </c>
      <c r="P257" s="1" t="s">
        <v>2380</v>
      </c>
      <c r="Q257" s="87" t="s">
        <v>2381</v>
      </c>
      <c r="R257" s="1">
        <v>90463</v>
      </c>
      <c r="V257" s="4" t="s">
        <v>36</v>
      </c>
      <c r="W257" s="4" t="s">
        <v>37</v>
      </c>
      <c r="X257" s="1" t="s">
        <v>59</v>
      </c>
      <c r="Y257" s="167" t="s">
        <v>39</v>
      </c>
      <c r="Z257" s="168"/>
    </row>
    <row r="258" spans="1:26" s="4" customFormat="1" ht="14.25" customHeight="1">
      <c r="A258" s="4" t="s">
        <v>1256</v>
      </c>
      <c r="B258" s="29" t="s">
        <v>2382</v>
      </c>
      <c r="C258" s="29" t="s">
        <v>2383</v>
      </c>
      <c r="D258" s="1">
        <v>43696</v>
      </c>
      <c r="E258" s="26">
        <v>44419</v>
      </c>
      <c r="F258" s="2">
        <f t="shared" si="11"/>
        <v>44433</v>
      </c>
      <c r="G258" s="1"/>
      <c r="H258" s="1">
        <v>15825</v>
      </c>
      <c r="I258" s="1" t="s">
        <v>2384</v>
      </c>
      <c r="J258" s="1" t="s">
        <v>398</v>
      </c>
      <c r="K258" s="1" t="s">
        <v>31</v>
      </c>
      <c r="L258" s="1">
        <v>85254</v>
      </c>
      <c r="M258" s="1" t="s">
        <v>32</v>
      </c>
      <c r="N258" s="1" t="s">
        <v>1227</v>
      </c>
      <c r="O258" s="1" t="s">
        <v>2385</v>
      </c>
      <c r="P258" s="1" t="s">
        <v>2386</v>
      </c>
      <c r="Q258" s="1"/>
      <c r="R258" s="1">
        <v>77832</v>
      </c>
      <c r="S258" s="1"/>
      <c r="T258" s="1" t="s">
        <v>1264</v>
      </c>
      <c r="U258" s="1" t="s">
        <v>1253</v>
      </c>
      <c r="V258" s="4" t="s">
        <v>616</v>
      </c>
      <c r="W258" s="4" t="s">
        <v>1265</v>
      </c>
    </row>
    <row r="259" spans="1:26" s="4" customFormat="1" ht="15" customHeight="1">
      <c r="A259" s="4" t="s">
        <v>1309</v>
      </c>
      <c r="B259" s="29" t="s">
        <v>2387</v>
      </c>
      <c r="C259" s="29" t="s">
        <v>2388</v>
      </c>
      <c r="D259" s="1"/>
      <c r="E259" s="26">
        <v>44327</v>
      </c>
      <c r="F259" s="2">
        <f t="shared" si="11"/>
        <v>44341</v>
      </c>
      <c r="G259" s="1"/>
      <c r="H259" s="1"/>
      <c r="I259" s="1" t="s">
        <v>2389</v>
      </c>
      <c r="J259" s="1" t="s">
        <v>69</v>
      </c>
      <c r="K259" s="1" t="s">
        <v>31</v>
      </c>
      <c r="L259" s="1">
        <v>85286</v>
      </c>
      <c r="M259" s="1" t="s">
        <v>32</v>
      </c>
      <c r="N259" s="1" t="s">
        <v>1227</v>
      </c>
      <c r="O259" s="1" t="s">
        <v>244</v>
      </c>
      <c r="P259" s="1" t="s">
        <v>245</v>
      </c>
      <c r="Q259" s="1" t="s">
        <v>364</v>
      </c>
      <c r="R259" s="1" t="s">
        <v>364</v>
      </c>
      <c r="T259" s="1" t="s">
        <v>1264</v>
      </c>
      <c r="U259" s="1" t="s">
        <v>1253</v>
      </c>
      <c r="V259" s="4" t="s">
        <v>616</v>
      </c>
      <c r="W259" s="4" t="s">
        <v>1265</v>
      </c>
    </row>
    <row r="260" spans="1:26" s="4" customFormat="1" ht="15" customHeight="1">
      <c r="A260" s="92" t="s">
        <v>25</v>
      </c>
      <c r="B260" s="4" t="s">
        <v>2390</v>
      </c>
      <c r="C260" s="29" t="s">
        <v>2391</v>
      </c>
      <c r="D260" s="2"/>
      <c r="E260" s="26">
        <v>44519</v>
      </c>
      <c r="F260" s="60">
        <f t="shared" si="11"/>
        <v>44533</v>
      </c>
      <c r="G260" s="60"/>
      <c r="H260" s="1">
        <v>10938</v>
      </c>
      <c r="I260" s="1" t="s">
        <v>2392</v>
      </c>
      <c r="J260" s="1" t="s">
        <v>398</v>
      </c>
      <c r="K260" s="1" t="s">
        <v>31</v>
      </c>
      <c r="L260" s="1">
        <v>85255</v>
      </c>
      <c r="M260" s="1" t="s">
        <v>32</v>
      </c>
      <c r="N260" s="1" t="s">
        <v>1227</v>
      </c>
      <c r="O260" s="1" t="s">
        <v>2393</v>
      </c>
      <c r="P260" s="1" t="s">
        <v>2394</v>
      </c>
      <c r="Q260" s="1" t="s">
        <v>2395</v>
      </c>
      <c r="R260" s="25">
        <v>78474</v>
      </c>
      <c r="V260" s="4" t="s">
        <v>36</v>
      </c>
      <c r="W260" s="4" t="s">
        <v>1277</v>
      </c>
      <c r="X260" s="1" t="s">
        <v>59</v>
      </c>
      <c r="Y260" s="15" t="s">
        <v>1330</v>
      </c>
    </row>
    <row r="261" spans="1:26" s="4" customFormat="1" ht="15" customHeight="1">
      <c r="A261" s="4" t="s">
        <v>1266</v>
      </c>
      <c r="B261" s="29" t="s">
        <v>2396</v>
      </c>
      <c r="C261" s="29" t="s">
        <v>2397</v>
      </c>
      <c r="D261" s="1"/>
      <c r="E261" s="26">
        <v>43920</v>
      </c>
      <c r="F261" s="2">
        <f t="shared" si="11"/>
        <v>43934</v>
      </c>
      <c r="G261" s="1" t="s">
        <v>364</v>
      </c>
      <c r="H261" s="1">
        <v>41004</v>
      </c>
      <c r="I261" s="1" t="s">
        <v>2398</v>
      </c>
      <c r="J261" s="1" t="s">
        <v>45</v>
      </c>
      <c r="K261" s="1" t="s">
        <v>31</v>
      </c>
      <c r="L261" s="1">
        <v>85138</v>
      </c>
      <c r="M261" s="1" t="s">
        <v>32</v>
      </c>
      <c r="N261" s="1" t="s">
        <v>1227</v>
      </c>
      <c r="O261" s="1" t="s">
        <v>2399</v>
      </c>
      <c r="P261" s="1" t="s">
        <v>2400</v>
      </c>
      <c r="Q261" s="1"/>
      <c r="R261" s="1">
        <v>75910</v>
      </c>
      <c r="S261" s="1"/>
      <c r="T261" s="1" t="s">
        <v>1264</v>
      </c>
      <c r="U261" s="1" t="s">
        <v>1253</v>
      </c>
      <c r="V261" s="4" t="s">
        <v>616</v>
      </c>
      <c r="W261" s="4" t="s">
        <v>1265</v>
      </c>
    </row>
    <row r="262" spans="1:26" s="4" customFormat="1" ht="15" customHeight="1">
      <c r="A262" s="4" t="s">
        <v>1280</v>
      </c>
      <c r="B262" s="29" t="s">
        <v>2401</v>
      </c>
      <c r="C262" s="29" t="s">
        <v>2402</v>
      </c>
      <c r="D262" s="1"/>
      <c r="E262" s="26">
        <v>43826</v>
      </c>
      <c r="F262" s="2">
        <f t="shared" si="11"/>
        <v>43840</v>
      </c>
      <c r="G262" s="41" t="s">
        <v>364</v>
      </c>
      <c r="H262" s="41">
        <v>5130</v>
      </c>
      <c r="I262" s="1" t="s">
        <v>1286</v>
      </c>
      <c r="J262" s="1" t="s">
        <v>822</v>
      </c>
      <c r="K262" s="1" t="s">
        <v>31</v>
      </c>
      <c r="L262" s="1"/>
      <c r="M262" s="1" t="s">
        <v>32</v>
      </c>
      <c r="N262" s="1" t="s">
        <v>1227</v>
      </c>
      <c r="O262" s="1" t="s">
        <v>2403</v>
      </c>
      <c r="P262" s="1" t="s">
        <v>2404</v>
      </c>
      <c r="Q262" s="31"/>
      <c r="R262" s="31">
        <v>77923</v>
      </c>
      <c r="S262" s="51"/>
      <c r="T262" s="1" t="s">
        <v>1264</v>
      </c>
      <c r="U262" s="1" t="s">
        <v>1253</v>
      </c>
      <c r="V262" s="4" t="s">
        <v>616</v>
      </c>
      <c r="W262" s="4" t="s">
        <v>1265</v>
      </c>
    </row>
    <row r="263" spans="1:26" s="4" customFormat="1" ht="15" customHeight="1">
      <c r="A263" s="4" t="s">
        <v>1256</v>
      </c>
      <c r="B263" s="69" t="s">
        <v>2405</v>
      </c>
      <c r="C263" s="5" t="s">
        <v>2406</v>
      </c>
      <c r="D263" s="33"/>
      <c r="E263" s="137">
        <v>44370</v>
      </c>
      <c r="F263" s="2">
        <f t="shared" si="11"/>
        <v>44384</v>
      </c>
      <c r="G263" s="43" t="s">
        <v>364</v>
      </c>
      <c r="H263" s="43" t="s">
        <v>184</v>
      </c>
      <c r="I263" s="33" t="s">
        <v>2407</v>
      </c>
      <c r="J263" s="33" t="s">
        <v>831</v>
      </c>
      <c r="K263" s="33" t="s">
        <v>31</v>
      </c>
      <c r="L263" s="33"/>
      <c r="M263" s="1" t="s">
        <v>32</v>
      </c>
      <c r="N263" s="1" t="s">
        <v>1227</v>
      </c>
      <c r="O263" s="73" t="s">
        <v>2408</v>
      </c>
      <c r="P263" s="73" t="s">
        <v>2409</v>
      </c>
      <c r="Q263" s="37"/>
      <c r="R263" s="37">
        <v>83430</v>
      </c>
      <c r="S263" s="1"/>
      <c r="T263" s="1"/>
      <c r="U263" s="1"/>
      <c r="V263" s="1"/>
      <c r="W263" s="1"/>
    </row>
    <row r="264" spans="1:26" s="4" customFormat="1" ht="15" customHeight="1">
      <c r="A264" s="4" t="s">
        <v>1266</v>
      </c>
      <c r="B264" s="4" t="s">
        <v>2410</v>
      </c>
      <c r="C264" s="4" t="s">
        <v>2411</v>
      </c>
      <c r="D264" s="1"/>
      <c r="E264" s="26">
        <v>43817</v>
      </c>
      <c r="F264" s="2">
        <f t="shared" si="11"/>
        <v>43831</v>
      </c>
      <c r="G264" s="1" t="s">
        <v>364</v>
      </c>
      <c r="H264" s="1">
        <v>8235</v>
      </c>
      <c r="I264" s="33" t="s">
        <v>2326</v>
      </c>
      <c r="J264" s="33" t="s">
        <v>398</v>
      </c>
      <c r="K264" s="33" t="s">
        <v>31</v>
      </c>
      <c r="L264" s="33" t="s">
        <v>1386</v>
      </c>
      <c r="M264" s="1" t="s">
        <v>32</v>
      </c>
      <c r="N264" s="1" t="s">
        <v>1227</v>
      </c>
      <c r="O264" s="33" t="s">
        <v>2412</v>
      </c>
      <c r="P264" s="38" t="s">
        <v>2413</v>
      </c>
      <c r="Q264" s="37"/>
      <c r="R264" s="37">
        <v>72799</v>
      </c>
      <c r="T264" s="1" t="s">
        <v>1276</v>
      </c>
      <c r="U264" s="1" t="s">
        <v>1277</v>
      </c>
      <c r="V264" s="1" t="s">
        <v>1278</v>
      </c>
      <c r="W264" s="1" t="s">
        <v>1279</v>
      </c>
      <c r="X264" s="1"/>
    </row>
    <row r="265" spans="1:26" s="4" customFormat="1" ht="16.5" customHeight="1">
      <c r="A265" s="4" t="s">
        <v>1266</v>
      </c>
      <c r="B265" s="4" t="s">
        <v>2414</v>
      </c>
      <c r="C265" s="4" t="s">
        <v>2415</v>
      </c>
      <c r="D265" s="1"/>
      <c r="E265" s="26">
        <v>43691</v>
      </c>
      <c r="F265" s="2">
        <f t="shared" si="11"/>
        <v>43705</v>
      </c>
      <c r="G265" s="1" t="s">
        <v>364</v>
      </c>
      <c r="H265" s="1">
        <v>7000</v>
      </c>
      <c r="I265" s="41" t="s">
        <v>2416</v>
      </c>
      <c r="J265" s="33" t="s">
        <v>398</v>
      </c>
      <c r="K265" s="33" t="s">
        <v>31</v>
      </c>
      <c r="L265" s="33" t="s">
        <v>2417</v>
      </c>
      <c r="M265" s="1" t="s">
        <v>32</v>
      </c>
      <c r="N265" s="1" t="s">
        <v>1227</v>
      </c>
      <c r="O265" s="11"/>
      <c r="P265" s="11"/>
      <c r="Q265" s="11"/>
      <c r="R265" s="11" t="s">
        <v>1815</v>
      </c>
      <c r="T265" s="1" t="s">
        <v>1276</v>
      </c>
      <c r="U265" s="1" t="s">
        <v>1277</v>
      </c>
      <c r="V265" s="1" t="s">
        <v>1278</v>
      </c>
      <c r="W265" s="1" t="s">
        <v>1279</v>
      </c>
    </row>
    <row r="266" spans="1:26" s="4" customFormat="1" ht="18" customHeight="1">
      <c r="A266" s="4" t="s">
        <v>1309</v>
      </c>
      <c r="B266" s="29" t="s">
        <v>2414</v>
      </c>
      <c r="C266" s="29" t="s">
        <v>2418</v>
      </c>
      <c r="D266" s="1"/>
      <c r="E266" s="26">
        <v>44329</v>
      </c>
      <c r="F266" s="2">
        <f t="shared" si="11"/>
        <v>44343</v>
      </c>
      <c r="G266" s="1" t="s">
        <v>364</v>
      </c>
      <c r="H266" s="1" t="s">
        <v>2419</v>
      </c>
      <c r="I266" s="1" t="s">
        <v>2420</v>
      </c>
      <c r="J266" s="1" t="s">
        <v>398</v>
      </c>
      <c r="K266" s="1" t="s">
        <v>31</v>
      </c>
      <c r="L266" s="1">
        <v>85256</v>
      </c>
      <c r="M266" s="1" t="s">
        <v>32</v>
      </c>
      <c r="N266" s="1" t="s">
        <v>1227</v>
      </c>
      <c r="O266" s="1" t="s">
        <v>2421</v>
      </c>
      <c r="P266" s="1" t="s">
        <v>2422</v>
      </c>
      <c r="Q266" s="1" t="s">
        <v>364</v>
      </c>
      <c r="R266" s="1" t="s">
        <v>364</v>
      </c>
      <c r="S266" s="51"/>
      <c r="T266" s="1" t="s">
        <v>1264</v>
      </c>
      <c r="U266" s="1" t="s">
        <v>1253</v>
      </c>
      <c r="V266" s="4" t="s">
        <v>616</v>
      </c>
      <c r="W266" s="4" t="s">
        <v>1265</v>
      </c>
    </row>
    <row r="267" spans="1:26" s="4" customFormat="1" ht="15" customHeight="1">
      <c r="A267" s="4" t="s">
        <v>1280</v>
      </c>
      <c r="B267" s="29" t="s">
        <v>2423</v>
      </c>
      <c r="C267" s="29" t="s">
        <v>2424</v>
      </c>
      <c r="D267" s="1"/>
      <c r="E267" s="26">
        <v>43945</v>
      </c>
      <c r="F267" s="2">
        <f t="shared" si="11"/>
        <v>43959</v>
      </c>
      <c r="G267" s="1" t="s">
        <v>364</v>
      </c>
      <c r="H267" s="1">
        <v>5881</v>
      </c>
      <c r="I267" s="1" t="s">
        <v>596</v>
      </c>
      <c r="J267" s="1" t="s">
        <v>434</v>
      </c>
      <c r="K267" s="1" t="s">
        <v>31</v>
      </c>
      <c r="L267" s="1" t="s">
        <v>1936</v>
      </c>
      <c r="M267" s="1" t="s">
        <v>32</v>
      </c>
      <c r="N267" s="1" t="s">
        <v>1227</v>
      </c>
      <c r="O267" s="1" t="s">
        <v>2425</v>
      </c>
      <c r="P267" s="1" t="s">
        <v>2426</v>
      </c>
      <c r="Q267" s="1"/>
      <c r="R267" s="1"/>
      <c r="T267" s="1" t="s">
        <v>1276</v>
      </c>
      <c r="U267" s="1" t="s">
        <v>1277</v>
      </c>
      <c r="V267" s="1" t="s">
        <v>2427</v>
      </c>
      <c r="W267" s="1" t="s">
        <v>1279</v>
      </c>
    </row>
    <row r="268" spans="1:26" s="4" customFormat="1">
      <c r="A268" s="4" t="s">
        <v>1266</v>
      </c>
      <c r="B268" s="29" t="s">
        <v>2423</v>
      </c>
      <c r="C268" s="29" t="s">
        <v>2428</v>
      </c>
      <c r="D268" s="1"/>
      <c r="E268" s="26">
        <v>44105</v>
      </c>
      <c r="F268" s="2">
        <f t="shared" si="11"/>
        <v>44119</v>
      </c>
      <c r="G268" s="1" t="s">
        <v>364</v>
      </c>
      <c r="H268" s="1">
        <v>33400</v>
      </c>
      <c r="I268" s="1" t="s">
        <v>686</v>
      </c>
      <c r="J268" s="1" t="s">
        <v>434</v>
      </c>
      <c r="K268" s="1" t="s">
        <v>31</v>
      </c>
      <c r="L268" s="1">
        <v>85085</v>
      </c>
      <c r="M268" s="1" t="s">
        <v>32</v>
      </c>
      <c r="N268" s="1" t="s">
        <v>1227</v>
      </c>
      <c r="O268" s="1" t="s">
        <v>2429</v>
      </c>
      <c r="P268" s="1" t="s">
        <v>2430</v>
      </c>
      <c r="Q268" s="1"/>
      <c r="R268" s="1">
        <v>73132</v>
      </c>
      <c r="T268" s="1" t="s">
        <v>1276</v>
      </c>
      <c r="U268" s="1" t="s">
        <v>1277</v>
      </c>
      <c r="V268" s="1" t="s">
        <v>1278</v>
      </c>
      <c r="W268" s="1" t="s">
        <v>1279</v>
      </c>
    </row>
    <row r="269" spans="1:26" s="4" customFormat="1" ht="15" customHeight="1">
      <c r="A269" s="4" t="s">
        <v>1256</v>
      </c>
      <c r="B269" s="29" t="s">
        <v>2423</v>
      </c>
      <c r="C269" s="29" t="s">
        <v>2431</v>
      </c>
      <c r="D269" s="1"/>
      <c r="E269" s="26">
        <v>44265</v>
      </c>
      <c r="F269" s="2">
        <f t="shared" si="11"/>
        <v>44279</v>
      </c>
      <c r="G269" s="1" t="s">
        <v>364</v>
      </c>
      <c r="H269" s="1">
        <v>5777</v>
      </c>
      <c r="I269" s="1" t="s">
        <v>596</v>
      </c>
      <c r="J269" s="1" t="s">
        <v>434</v>
      </c>
      <c r="K269" s="1" t="s">
        <v>31</v>
      </c>
      <c r="L269" s="1" t="s">
        <v>1936</v>
      </c>
      <c r="M269" s="1" t="s">
        <v>32</v>
      </c>
      <c r="N269" s="1" t="s">
        <v>1227</v>
      </c>
      <c r="O269" s="1" t="s">
        <v>2432</v>
      </c>
      <c r="P269" s="1" t="s">
        <v>2433</v>
      </c>
      <c r="Q269" s="1"/>
      <c r="R269" s="1"/>
      <c r="T269" s="1" t="s">
        <v>1264</v>
      </c>
      <c r="U269" s="1" t="s">
        <v>1253</v>
      </c>
      <c r="V269" s="4" t="s">
        <v>616</v>
      </c>
      <c r="W269" s="4" t="s">
        <v>1265</v>
      </c>
    </row>
    <row r="270" spans="1:26" s="4" customFormat="1" ht="15" customHeight="1">
      <c r="A270" s="4" t="s">
        <v>1266</v>
      </c>
      <c r="B270" s="29" t="s">
        <v>2423</v>
      </c>
      <c r="C270" s="29" t="s">
        <v>2434</v>
      </c>
      <c r="D270" s="1"/>
      <c r="E270" s="26">
        <v>44300</v>
      </c>
      <c r="F270" s="2">
        <f t="shared" si="11"/>
        <v>44314</v>
      </c>
      <c r="G270" s="1" t="s">
        <v>364</v>
      </c>
      <c r="H270" s="1">
        <v>1155</v>
      </c>
      <c r="I270" s="1" t="s">
        <v>2435</v>
      </c>
      <c r="J270" s="1" t="s">
        <v>415</v>
      </c>
      <c r="K270" s="1" t="s">
        <v>31</v>
      </c>
      <c r="L270" s="1">
        <v>85281</v>
      </c>
      <c r="M270" s="1" t="s">
        <v>32</v>
      </c>
      <c r="N270" s="1" t="s">
        <v>1227</v>
      </c>
      <c r="O270" s="1" t="s">
        <v>2436</v>
      </c>
      <c r="P270" s="1" t="s">
        <v>2437</v>
      </c>
      <c r="Q270" s="46"/>
      <c r="R270" s="46" t="s">
        <v>2438</v>
      </c>
      <c r="T270" s="1"/>
      <c r="U270" s="1"/>
    </row>
    <row r="271" spans="1:26" s="4" customFormat="1" ht="15" customHeight="1">
      <c r="A271" s="122" t="s">
        <v>1256</v>
      </c>
      <c r="B271" s="29" t="s">
        <v>2423</v>
      </c>
      <c r="C271" s="29" t="s">
        <v>2439</v>
      </c>
      <c r="D271" s="2"/>
      <c r="E271" s="26">
        <v>44487</v>
      </c>
      <c r="F271" s="2">
        <f t="shared" si="11"/>
        <v>44501</v>
      </c>
      <c r="G271" s="1" t="s">
        <v>364</v>
      </c>
      <c r="H271" s="1">
        <v>28101</v>
      </c>
      <c r="I271" s="1" t="s">
        <v>2440</v>
      </c>
      <c r="J271" s="1" t="s">
        <v>434</v>
      </c>
      <c r="K271" s="1" t="s">
        <v>31</v>
      </c>
      <c r="L271" s="1">
        <v>85083</v>
      </c>
      <c r="M271" s="1" t="s">
        <v>32</v>
      </c>
      <c r="N271" s="1" t="s">
        <v>1227</v>
      </c>
      <c r="O271" s="1" t="s">
        <v>2441</v>
      </c>
      <c r="P271" s="1" t="s">
        <v>2442</v>
      </c>
      <c r="Q271" s="1"/>
      <c r="R271" s="1">
        <v>70518</v>
      </c>
      <c r="S271" s="1"/>
      <c r="T271" s="1" t="s">
        <v>1264</v>
      </c>
      <c r="U271" s="1" t="s">
        <v>1253</v>
      </c>
      <c r="V271" s="4" t="s">
        <v>616</v>
      </c>
      <c r="W271" s="4" t="s">
        <v>1265</v>
      </c>
    </row>
    <row r="272" spans="1:26" s="4" customFormat="1" ht="15" customHeight="1">
      <c r="A272" s="93" t="s">
        <v>1256</v>
      </c>
      <c r="B272" s="29" t="s">
        <v>2423</v>
      </c>
      <c r="C272" s="29" t="s">
        <v>2443</v>
      </c>
      <c r="D272" s="2"/>
      <c r="E272" s="26">
        <v>44545</v>
      </c>
      <c r="F272" s="2">
        <f t="shared" si="11"/>
        <v>44559</v>
      </c>
      <c r="G272" s="2"/>
      <c r="H272" s="1">
        <v>5891</v>
      </c>
      <c r="I272" s="1" t="s">
        <v>596</v>
      </c>
      <c r="J272" s="1" t="s">
        <v>434</v>
      </c>
      <c r="K272" s="1" t="s">
        <v>31</v>
      </c>
      <c r="L272" s="1" t="s">
        <v>1936</v>
      </c>
      <c r="M272" s="1" t="s">
        <v>32</v>
      </c>
      <c r="N272" s="1" t="s">
        <v>1227</v>
      </c>
      <c r="O272" s="1" t="s">
        <v>2425</v>
      </c>
      <c r="P272" s="1" t="s">
        <v>2426</v>
      </c>
      <c r="Q272" s="1"/>
      <c r="R272" s="1"/>
      <c r="V272" s="4" t="s">
        <v>1264</v>
      </c>
      <c r="W272" s="4" t="s">
        <v>1253</v>
      </c>
      <c r="X272" s="4" t="s">
        <v>616</v>
      </c>
      <c r="Y272" s="15" t="s">
        <v>1265</v>
      </c>
    </row>
    <row r="273" spans="1:26" s="4" customFormat="1" ht="15.75">
      <c r="A273" s="92" t="s">
        <v>25</v>
      </c>
      <c r="B273" s="29" t="s">
        <v>2444</v>
      </c>
      <c r="C273" s="4" t="s">
        <v>2445</v>
      </c>
      <c r="D273" s="130"/>
      <c r="E273" s="26">
        <v>44727</v>
      </c>
      <c r="F273" s="2">
        <f t="shared" si="11"/>
        <v>44741</v>
      </c>
      <c r="G273" s="2"/>
      <c r="H273" s="41">
        <v>2702</v>
      </c>
      <c r="I273" s="1" t="s">
        <v>2446</v>
      </c>
      <c r="J273" s="1" t="s">
        <v>434</v>
      </c>
      <c r="K273" s="1" t="s">
        <v>31</v>
      </c>
      <c r="L273" s="1">
        <v>85226</v>
      </c>
      <c r="M273" s="1" t="s">
        <v>32</v>
      </c>
      <c r="O273" s="1" t="s">
        <v>2447</v>
      </c>
      <c r="P273" s="1" t="s">
        <v>2448</v>
      </c>
      <c r="Q273" s="95" t="s">
        <v>2449</v>
      </c>
      <c r="R273" s="31">
        <v>93905</v>
      </c>
      <c r="V273" s="4" t="s">
        <v>36</v>
      </c>
      <c r="W273" s="4" t="s">
        <v>1277</v>
      </c>
      <c r="X273" s="1" t="s">
        <v>59</v>
      </c>
      <c r="Y273" s="15" t="s">
        <v>1330</v>
      </c>
    </row>
    <row r="274" spans="1:26" s="4" customFormat="1">
      <c r="A274" s="93" t="s">
        <v>1240</v>
      </c>
      <c r="B274" s="15" t="s">
        <v>2444</v>
      </c>
      <c r="C274" s="29" t="s">
        <v>2450</v>
      </c>
      <c r="D274" s="1"/>
      <c r="E274" s="2">
        <v>44753</v>
      </c>
      <c r="F274" s="132">
        <f t="shared" si="11"/>
        <v>44767</v>
      </c>
      <c r="G274" s="15" t="s">
        <v>2451</v>
      </c>
      <c r="H274" s="1"/>
      <c r="I274" s="15" t="s">
        <v>2452</v>
      </c>
      <c r="J274" s="1" t="s">
        <v>434</v>
      </c>
      <c r="K274" s="1" t="s">
        <v>31</v>
      </c>
      <c r="L274" s="1">
        <v>85083</v>
      </c>
      <c r="M274" s="1" t="s">
        <v>32</v>
      </c>
      <c r="O274" s="1" t="s">
        <v>2453</v>
      </c>
      <c r="P274" s="1" t="s">
        <v>2454</v>
      </c>
      <c r="Q274" s="87" t="s">
        <v>2455</v>
      </c>
      <c r="R274" s="1">
        <v>91146</v>
      </c>
      <c r="V274" s="4" t="s">
        <v>443</v>
      </c>
      <c r="W274" s="4" t="s">
        <v>1253</v>
      </c>
      <c r="X274" s="4" t="s">
        <v>616</v>
      </c>
      <c r="Y274" s="15" t="s">
        <v>1247</v>
      </c>
    </row>
    <row r="275" spans="1:26" s="4" customFormat="1" ht="24.75" customHeight="1">
      <c r="A275" s="93" t="s">
        <v>1240</v>
      </c>
      <c r="B275" s="29" t="s">
        <v>2444</v>
      </c>
      <c r="C275" s="4" t="s">
        <v>2456</v>
      </c>
      <c r="D275" s="130"/>
      <c r="E275" s="2">
        <v>44764</v>
      </c>
      <c r="F275" s="132">
        <f t="shared" si="11"/>
        <v>44778</v>
      </c>
      <c r="G275" s="2"/>
      <c r="H275" s="41">
        <v>13700</v>
      </c>
      <c r="I275" s="15" t="s">
        <v>2457</v>
      </c>
      <c r="J275" s="1" t="s">
        <v>837</v>
      </c>
      <c r="K275" s="1" t="s">
        <v>31</v>
      </c>
      <c r="L275" s="1">
        <v>85374</v>
      </c>
      <c r="M275" s="1" t="s">
        <v>32</v>
      </c>
      <c r="O275" s="1"/>
      <c r="P275" s="1"/>
      <c r="Q275" s="1"/>
      <c r="R275" s="31"/>
      <c r="V275" s="4" t="s">
        <v>443</v>
      </c>
      <c r="W275" s="4" t="s">
        <v>37</v>
      </c>
      <c r="X275" s="4" t="s">
        <v>616</v>
      </c>
      <c r="Y275" s="15" t="s">
        <v>1247</v>
      </c>
    </row>
    <row r="276" spans="1:26" s="4" customFormat="1" ht="15" customHeight="1">
      <c r="A276" s="164" t="s">
        <v>1240</v>
      </c>
      <c r="B276" s="15" t="s">
        <v>2444</v>
      </c>
      <c r="C276" s="4" t="s">
        <v>2458</v>
      </c>
      <c r="D276" s="2"/>
      <c r="E276" s="2">
        <v>44804</v>
      </c>
      <c r="F276" s="2">
        <f t="shared" si="11"/>
        <v>44818</v>
      </c>
      <c r="G276" s="2"/>
      <c r="H276" s="41">
        <v>7050</v>
      </c>
      <c r="I276" s="15" t="s">
        <v>2459</v>
      </c>
      <c r="J276" s="1" t="s">
        <v>1510</v>
      </c>
      <c r="K276" s="1" t="s">
        <v>31</v>
      </c>
      <c r="L276" s="1">
        <v>85042</v>
      </c>
      <c r="M276" s="1" t="s">
        <v>32</v>
      </c>
      <c r="O276" s="73" t="s">
        <v>2460</v>
      </c>
      <c r="P276" s="25" t="s">
        <v>2461</v>
      </c>
      <c r="Q276" s="159" t="s">
        <v>2462</v>
      </c>
      <c r="R276" s="31">
        <v>91485</v>
      </c>
      <c r="V276" s="4" t="s">
        <v>443</v>
      </c>
      <c r="W276" s="4" t="s">
        <v>37</v>
      </c>
      <c r="X276" s="4" t="s">
        <v>616</v>
      </c>
      <c r="Y276" s="15" t="s">
        <v>1247</v>
      </c>
    </row>
    <row r="277" spans="1:26" s="4" customFormat="1">
      <c r="A277" s="164" t="s">
        <v>1240</v>
      </c>
      <c r="B277" s="118" t="s">
        <v>2444</v>
      </c>
      <c r="C277" s="119" t="s">
        <v>2463</v>
      </c>
      <c r="D277" s="130"/>
      <c r="E277" s="2">
        <v>44833</v>
      </c>
      <c r="F277" s="2">
        <f t="shared" si="11"/>
        <v>44847</v>
      </c>
      <c r="G277" s="2"/>
      <c r="H277" s="41">
        <v>1617</v>
      </c>
      <c r="I277" s="15" t="s">
        <v>2464</v>
      </c>
      <c r="J277" s="1" t="s">
        <v>1661</v>
      </c>
      <c r="K277" s="1" t="s">
        <v>31</v>
      </c>
      <c r="L277" s="1">
        <v>85207</v>
      </c>
      <c r="M277" s="1" t="s">
        <v>32</v>
      </c>
      <c r="O277" s="1" t="s">
        <v>2465</v>
      </c>
      <c r="P277" s="1" t="s">
        <v>2466</v>
      </c>
      <c r="Q277" s="129" t="s">
        <v>2467</v>
      </c>
      <c r="R277" s="31">
        <v>94638</v>
      </c>
      <c r="V277" s="4" t="s">
        <v>36</v>
      </c>
      <c r="W277" s="4" t="s">
        <v>37</v>
      </c>
      <c r="X277" s="4" t="s">
        <v>616</v>
      </c>
      <c r="Y277" s="167" t="s">
        <v>1247</v>
      </c>
      <c r="Z277" s="168"/>
    </row>
    <row r="278" spans="1:26" s="4" customFormat="1" ht="15" customHeight="1">
      <c r="A278" s="93" t="s">
        <v>1256</v>
      </c>
      <c r="B278" s="29" t="s">
        <v>2468</v>
      </c>
      <c r="C278" s="4" t="s">
        <v>2469</v>
      </c>
      <c r="D278" s="2"/>
      <c r="E278" s="26">
        <v>44622</v>
      </c>
      <c r="F278" s="2">
        <f t="shared" si="11"/>
        <v>44636</v>
      </c>
      <c r="G278" s="2"/>
      <c r="H278" s="41">
        <v>1495</v>
      </c>
      <c r="I278" s="1" t="s">
        <v>2470</v>
      </c>
      <c r="J278" s="1" t="s">
        <v>831</v>
      </c>
      <c r="K278" s="1" t="s">
        <v>31</v>
      </c>
      <c r="L278" s="1">
        <v>85326</v>
      </c>
      <c r="M278" s="1" t="s">
        <v>32</v>
      </c>
      <c r="O278" s="1" t="s">
        <v>2471</v>
      </c>
      <c r="P278" s="1" t="s">
        <v>2472</v>
      </c>
      <c r="Q278" s="128" t="s">
        <v>2473</v>
      </c>
      <c r="R278" s="31">
        <v>89600</v>
      </c>
      <c r="V278" s="4" t="s">
        <v>1264</v>
      </c>
      <c r="W278" s="4" t="s">
        <v>1253</v>
      </c>
      <c r="X278" s="4" t="s">
        <v>616</v>
      </c>
      <c r="Y278" s="15" t="s">
        <v>1265</v>
      </c>
    </row>
    <row r="279" spans="1:26" s="4" customFormat="1">
      <c r="A279" s="163" t="s">
        <v>25</v>
      </c>
      <c r="B279" s="29" t="s">
        <v>2474</v>
      </c>
      <c r="C279" s="4" t="s">
        <v>2475</v>
      </c>
      <c r="D279" s="2"/>
      <c r="E279" s="60">
        <v>44774</v>
      </c>
      <c r="F279" s="132">
        <f t="shared" si="11"/>
        <v>44788</v>
      </c>
      <c r="G279" s="2"/>
      <c r="H279" s="41" t="s">
        <v>2476</v>
      </c>
      <c r="I279" s="15" t="s">
        <v>2477</v>
      </c>
      <c r="J279" s="1" t="s">
        <v>2478</v>
      </c>
      <c r="K279" s="1" t="s">
        <v>31</v>
      </c>
      <c r="L279" s="1"/>
      <c r="M279" s="1" t="s">
        <v>32</v>
      </c>
      <c r="O279" s="1" t="s">
        <v>2479</v>
      </c>
      <c r="P279" s="1" t="s">
        <v>2480</v>
      </c>
      <c r="Q279" s="87" t="s">
        <v>2481</v>
      </c>
      <c r="R279" s="124" t="s">
        <v>314</v>
      </c>
      <c r="V279" s="4" t="s">
        <v>36</v>
      </c>
      <c r="W279" s="4" t="s">
        <v>37</v>
      </c>
      <c r="X279" s="1" t="s">
        <v>59</v>
      </c>
      <c r="Y279" s="15" t="s">
        <v>39</v>
      </c>
    </row>
    <row r="280" spans="1:26" s="4" customFormat="1">
      <c r="A280" s="4" t="s">
        <v>1224</v>
      </c>
      <c r="B280" s="29" t="s">
        <v>2482</v>
      </c>
      <c r="C280" s="29" t="s">
        <v>2483</v>
      </c>
      <c r="D280" s="1"/>
      <c r="E280" s="26"/>
      <c r="F280" s="2"/>
      <c r="G280" s="1" t="s">
        <v>364</v>
      </c>
      <c r="H280" s="1">
        <v>13925</v>
      </c>
      <c r="I280" s="1" t="s">
        <v>2484</v>
      </c>
      <c r="J280" s="1" t="s">
        <v>975</v>
      </c>
      <c r="K280" s="1" t="s">
        <v>31</v>
      </c>
      <c r="L280" s="1"/>
      <c r="M280" s="1" t="s">
        <v>32</v>
      </c>
      <c r="N280" s="1" t="s">
        <v>1227</v>
      </c>
      <c r="O280" s="1"/>
      <c r="P280" s="1"/>
      <c r="Q280" s="1"/>
      <c r="R280" s="1"/>
      <c r="T280" s="1" t="s">
        <v>1264</v>
      </c>
      <c r="U280" s="1" t="s">
        <v>1253</v>
      </c>
      <c r="V280" s="4" t="s">
        <v>616</v>
      </c>
      <c r="W280" s="4" t="s">
        <v>1265</v>
      </c>
    </row>
    <row r="281" spans="1:26" s="4" customFormat="1" ht="15" customHeight="1">
      <c r="A281" s="4" t="s">
        <v>1546</v>
      </c>
      <c r="B281" s="29" t="s">
        <v>1046</v>
      </c>
      <c r="C281" s="4" t="s">
        <v>2485</v>
      </c>
      <c r="D281" s="1"/>
      <c r="E281" s="26"/>
      <c r="F281" s="2"/>
      <c r="G281" s="41" t="s">
        <v>364</v>
      </c>
      <c r="H281" s="41">
        <v>18739</v>
      </c>
      <c r="I281" s="1" t="s">
        <v>2486</v>
      </c>
      <c r="J281" s="1" t="s">
        <v>1763</v>
      </c>
      <c r="K281" s="1" t="s">
        <v>31</v>
      </c>
      <c r="L281" s="1">
        <v>85614</v>
      </c>
      <c r="M281" s="1" t="s">
        <v>32</v>
      </c>
      <c r="N281" s="1" t="s">
        <v>1227</v>
      </c>
      <c r="O281" s="1" t="s">
        <v>2487</v>
      </c>
      <c r="P281" s="1" t="s">
        <v>2488</v>
      </c>
      <c r="Q281" s="82" t="s">
        <v>2489</v>
      </c>
      <c r="R281" s="31">
        <v>86919</v>
      </c>
      <c r="T281" s="1" t="s">
        <v>1276</v>
      </c>
      <c r="U281" s="1" t="s">
        <v>1277</v>
      </c>
      <c r="V281" s="1" t="s">
        <v>1278</v>
      </c>
      <c r="W281" s="1" t="s">
        <v>1279</v>
      </c>
    </row>
    <row r="282" spans="1:26" s="4" customFormat="1" ht="15" customHeight="1">
      <c r="A282" s="93" t="s">
        <v>1256</v>
      </c>
      <c r="B282" s="15" t="s">
        <v>2490</v>
      </c>
      <c r="C282" s="29" t="s">
        <v>2491</v>
      </c>
      <c r="D282" s="1"/>
      <c r="E282" s="26">
        <v>44656</v>
      </c>
      <c r="F282" s="2">
        <f>E282+14</f>
        <v>44670</v>
      </c>
      <c r="G282" s="15"/>
      <c r="H282" s="1">
        <v>9400</v>
      </c>
      <c r="I282" s="1" t="s">
        <v>2492</v>
      </c>
      <c r="J282" s="1" t="s">
        <v>822</v>
      </c>
      <c r="K282" s="1" t="s">
        <v>31</v>
      </c>
      <c r="L282" s="1" t="s">
        <v>2493</v>
      </c>
      <c r="M282" s="1" t="s">
        <v>32</v>
      </c>
      <c r="N282" s="4" t="s">
        <v>2494</v>
      </c>
      <c r="O282" s="1" t="s">
        <v>1048</v>
      </c>
      <c r="P282" s="1" t="s">
        <v>1049</v>
      </c>
      <c r="Q282" s="87" t="s">
        <v>2495</v>
      </c>
      <c r="R282" s="1">
        <v>90515</v>
      </c>
      <c r="V282" s="4" t="s">
        <v>1264</v>
      </c>
      <c r="W282" s="4" t="s">
        <v>1253</v>
      </c>
      <c r="X282" s="4" t="s">
        <v>616</v>
      </c>
      <c r="Y282" s="15" t="s">
        <v>1265</v>
      </c>
    </row>
    <row r="283" spans="1:26" s="4" customFormat="1" ht="15" customHeight="1">
      <c r="A283" s="4" t="s">
        <v>1256</v>
      </c>
      <c r="B283" s="29" t="s">
        <v>2496</v>
      </c>
      <c r="C283" s="29" t="s">
        <v>2497</v>
      </c>
      <c r="D283" s="1"/>
      <c r="E283" s="26">
        <v>44092</v>
      </c>
      <c r="F283" s="2">
        <v>44106</v>
      </c>
      <c r="G283" s="1" t="s">
        <v>364</v>
      </c>
      <c r="H283" s="1" t="s">
        <v>528</v>
      </c>
      <c r="I283" s="1" t="s">
        <v>2498</v>
      </c>
      <c r="J283" s="1" t="s">
        <v>434</v>
      </c>
      <c r="K283" s="1" t="s">
        <v>31</v>
      </c>
      <c r="L283" s="1">
        <v>85353</v>
      </c>
      <c r="M283" s="1" t="s">
        <v>32</v>
      </c>
      <c r="N283" s="1" t="s">
        <v>1227</v>
      </c>
      <c r="O283" s="1"/>
      <c r="P283" s="1"/>
      <c r="Q283" s="1"/>
      <c r="R283" s="1"/>
      <c r="S283" s="1"/>
      <c r="T283" s="1" t="s">
        <v>1264</v>
      </c>
      <c r="U283" s="1" t="s">
        <v>1253</v>
      </c>
      <c r="V283" s="4" t="s">
        <v>616</v>
      </c>
      <c r="W283" s="4" t="s">
        <v>1265</v>
      </c>
    </row>
    <row r="284" spans="1:26" s="4" customFormat="1" ht="15" customHeight="1">
      <c r="A284" s="4" t="s">
        <v>1266</v>
      </c>
      <c r="B284" s="29" t="s">
        <v>2496</v>
      </c>
      <c r="C284" s="29" t="s">
        <v>2499</v>
      </c>
      <c r="D284" s="1"/>
      <c r="E284" s="26">
        <v>44257</v>
      </c>
      <c r="F284" s="2">
        <f t="shared" ref="F284:F315" si="12">E284+14</f>
        <v>44271</v>
      </c>
      <c r="G284" s="1" t="s">
        <v>364</v>
      </c>
      <c r="H284" s="1">
        <v>2639</v>
      </c>
      <c r="I284" s="1" t="s">
        <v>2500</v>
      </c>
      <c r="J284" s="1" t="s">
        <v>63</v>
      </c>
      <c r="K284" s="1" t="s">
        <v>31</v>
      </c>
      <c r="L284" s="1">
        <v>85215</v>
      </c>
      <c r="M284" s="1" t="s">
        <v>32</v>
      </c>
      <c r="N284" s="1" t="s">
        <v>1227</v>
      </c>
      <c r="O284" s="1" t="s">
        <v>2501</v>
      </c>
      <c r="P284" s="1" t="s">
        <v>2502</v>
      </c>
      <c r="Q284" s="1"/>
      <c r="R284" s="1" t="s">
        <v>364</v>
      </c>
      <c r="T284" s="1" t="s">
        <v>1276</v>
      </c>
      <c r="U284" s="1" t="s">
        <v>1277</v>
      </c>
      <c r="V284" s="1" t="s">
        <v>2503</v>
      </c>
      <c r="W284" s="1" t="s">
        <v>1279</v>
      </c>
    </row>
    <row r="285" spans="1:26" s="4" customFormat="1" ht="15" customHeight="1">
      <c r="A285" s="92" t="s">
        <v>25</v>
      </c>
      <c r="B285" s="29" t="s">
        <v>2496</v>
      </c>
      <c r="C285" s="29" t="s">
        <v>2504</v>
      </c>
      <c r="D285" s="2"/>
      <c r="E285" s="60">
        <v>44761</v>
      </c>
      <c r="F285" s="132">
        <f t="shared" si="12"/>
        <v>44775</v>
      </c>
      <c r="G285" s="2"/>
      <c r="H285" s="1" t="s">
        <v>528</v>
      </c>
      <c r="I285" s="15" t="s">
        <v>2505</v>
      </c>
      <c r="J285" s="1" t="s">
        <v>49</v>
      </c>
      <c r="K285" s="1" t="s">
        <v>31</v>
      </c>
      <c r="L285" s="1"/>
      <c r="M285" s="1" t="s">
        <v>32</v>
      </c>
      <c r="N285" s="1" t="s">
        <v>1227</v>
      </c>
      <c r="O285" s="1" t="s">
        <v>2506</v>
      </c>
      <c r="P285" s="1" t="s">
        <v>2507</v>
      </c>
      <c r="Q285" s="87" t="s">
        <v>2508</v>
      </c>
      <c r="R285" s="1">
        <v>86841</v>
      </c>
      <c r="S285" s="53"/>
      <c r="T285" s="53"/>
      <c r="V285" s="4" t="s">
        <v>36</v>
      </c>
      <c r="W285" s="4" t="s">
        <v>37</v>
      </c>
      <c r="X285" s="1" t="s">
        <v>59</v>
      </c>
      <c r="Y285" s="15" t="s">
        <v>39</v>
      </c>
    </row>
    <row r="286" spans="1:26" s="4" customFormat="1" ht="15" customHeight="1">
      <c r="A286" s="163" t="s">
        <v>25</v>
      </c>
      <c r="B286" s="15" t="s">
        <v>2496</v>
      </c>
      <c r="C286" s="65" t="s">
        <v>2509</v>
      </c>
      <c r="D286" s="2"/>
      <c r="E286" s="2">
        <v>44852</v>
      </c>
      <c r="F286" s="71">
        <f t="shared" si="12"/>
        <v>44866</v>
      </c>
      <c r="G286" s="71"/>
      <c r="H286" s="1">
        <v>4210</v>
      </c>
      <c r="I286" s="15" t="s">
        <v>2238</v>
      </c>
      <c r="J286" s="1" t="s">
        <v>49</v>
      </c>
      <c r="K286" s="1" t="s">
        <v>31</v>
      </c>
      <c r="L286" s="1">
        <v>85295</v>
      </c>
      <c r="M286" s="1" t="s">
        <v>32</v>
      </c>
      <c r="O286" s="1" t="s">
        <v>2501</v>
      </c>
      <c r="P286" s="1" t="s">
        <v>2502</v>
      </c>
      <c r="Q286" s="1" t="s">
        <v>2510</v>
      </c>
      <c r="R286" s="1">
        <v>85351</v>
      </c>
      <c r="S286" s="1"/>
      <c r="T286" s="1"/>
      <c r="U286" s="1"/>
      <c r="V286" s="4" t="s">
        <v>36</v>
      </c>
      <c r="W286" s="4" t="s">
        <v>37</v>
      </c>
      <c r="X286" s="1" t="s">
        <v>59</v>
      </c>
      <c r="Y286" s="167" t="s">
        <v>39</v>
      </c>
      <c r="Z286" s="168"/>
    </row>
    <row r="287" spans="1:26" s="4" customFormat="1" ht="15" customHeight="1">
      <c r="A287" s="4" t="s">
        <v>1266</v>
      </c>
      <c r="B287" s="4" t="s">
        <v>2511</v>
      </c>
      <c r="C287" s="4" t="s">
        <v>2512</v>
      </c>
      <c r="D287" s="1"/>
      <c r="E287" s="26">
        <v>43704</v>
      </c>
      <c r="F287" s="2">
        <f t="shared" si="12"/>
        <v>43718</v>
      </c>
      <c r="G287" s="1" t="s">
        <v>364</v>
      </c>
      <c r="H287" s="1">
        <v>6677</v>
      </c>
      <c r="I287" s="33" t="s">
        <v>2093</v>
      </c>
      <c r="J287" s="33" t="s">
        <v>69</v>
      </c>
      <c r="K287" s="33" t="s">
        <v>31</v>
      </c>
      <c r="L287" s="33" t="s">
        <v>1944</v>
      </c>
      <c r="M287" s="1" t="s">
        <v>32</v>
      </c>
      <c r="N287" s="1" t="s">
        <v>1227</v>
      </c>
      <c r="O287" s="33" t="s">
        <v>2501</v>
      </c>
      <c r="P287" s="38" t="s">
        <v>2502</v>
      </c>
      <c r="Q287" s="11"/>
      <c r="R287" s="11">
        <v>73141</v>
      </c>
      <c r="T287" s="1" t="s">
        <v>1264</v>
      </c>
      <c r="U287" s="1" t="s">
        <v>1253</v>
      </c>
      <c r="V287" s="4" t="s">
        <v>616</v>
      </c>
      <c r="W287" s="4" t="s">
        <v>1265</v>
      </c>
    </row>
    <row r="288" spans="1:26" s="4" customFormat="1" ht="15" customHeight="1">
      <c r="A288" s="164" t="s">
        <v>1240</v>
      </c>
      <c r="B288" s="69" t="s">
        <v>2513</v>
      </c>
      <c r="C288" s="5" t="s">
        <v>2514</v>
      </c>
      <c r="D288" s="59"/>
      <c r="E288" s="2">
        <v>44839</v>
      </c>
      <c r="F288" s="2">
        <f t="shared" si="12"/>
        <v>44853</v>
      </c>
      <c r="G288" s="2"/>
      <c r="H288" s="43" t="s">
        <v>2515</v>
      </c>
      <c r="I288" s="7" t="s">
        <v>2516</v>
      </c>
      <c r="J288" s="33" t="s">
        <v>894</v>
      </c>
      <c r="K288" s="33" t="s">
        <v>31</v>
      </c>
      <c r="L288" s="33" t="s">
        <v>2517</v>
      </c>
      <c r="M288" s="33" t="s">
        <v>32</v>
      </c>
      <c r="N288" s="5"/>
      <c r="O288" s="33" t="s">
        <v>2518</v>
      </c>
      <c r="P288" s="33" t="s">
        <v>2519</v>
      </c>
      <c r="Q288" s="176" t="s">
        <v>2520</v>
      </c>
      <c r="R288" s="37">
        <v>86894</v>
      </c>
      <c r="S288" s="47"/>
      <c r="T288" s="47"/>
      <c r="U288" s="51"/>
      <c r="V288" s="4" t="s">
        <v>443</v>
      </c>
      <c r="W288" s="4" t="s">
        <v>37</v>
      </c>
      <c r="X288" s="4" t="s">
        <v>616</v>
      </c>
      <c r="Y288" s="167" t="s">
        <v>1247</v>
      </c>
      <c r="Z288" s="168"/>
    </row>
    <row r="289" spans="1:26" s="4" customFormat="1" ht="15" customHeight="1">
      <c r="A289" s="4" t="s">
        <v>1280</v>
      </c>
      <c r="B289" s="4" t="s">
        <v>2521</v>
      </c>
      <c r="C289" s="4" t="s">
        <v>2522</v>
      </c>
      <c r="D289" s="1"/>
      <c r="E289" s="26">
        <v>43773</v>
      </c>
      <c r="F289" s="2">
        <f t="shared" si="12"/>
        <v>43787</v>
      </c>
      <c r="G289" s="1" t="s">
        <v>364</v>
      </c>
      <c r="H289" s="1">
        <v>13801</v>
      </c>
      <c r="I289" s="33" t="s">
        <v>2523</v>
      </c>
      <c r="J289" s="33" t="s">
        <v>851</v>
      </c>
      <c r="K289" s="33" t="s">
        <v>31</v>
      </c>
      <c r="L289" s="33" t="s">
        <v>1461</v>
      </c>
      <c r="M289" s="1" t="s">
        <v>32</v>
      </c>
      <c r="N289" s="1" t="s">
        <v>1227</v>
      </c>
      <c r="O289" s="33" t="s">
        <v>2524</v>
      </c>
      <c r="P289" s="212" t="s">
        <v>2525</v>
      </c>
      <c r="Q289" s="37"/>
      <c r="R289" s="214">
        <v>70581</v>
      </c>
      <c r="S289" s="1"/>
      <c r="T289" s="1" t="s">
        <v>1264</v>
      </c>
      <c r="U289" s="1" t="s">
        <v>1253</v>
      </c>
      <c r="V289" s="4" t="s">
        <v>616</v>
      </c>
      <c r="W289" s="4" t="s">
        <v>1265</v>
      </c>
    </row>
    <row r="290" spans="1:26" s="4" customFormat="1" ht="15" customHeight="1">
      <c r="A290" s="4" t="s">
        <v>1266</v>
      </c>
      <c r="B290" s="4" t="s">
        <v>258</v>
      </c>
      <c r="C290" s="4" t="s">
        <v>2526</v>
      </c>
      <c r="D290" s="1"/>
      <c r="E290" s="26">
        <v>43732</v>
      </c>
      <c r="F290" s="2">
        <f t="shared" si="12"/>
        <v>43746</v>
      </c>
      <c r="G290" s="1" t="s">
        <v>364</v>
      </c>
      <c r="H290" s="1">
        <v>3400</v>
      </c>
      <c r="I290" s="33" t="s">
        <v>697</v>
      </c>
      <c r="J290" s="33" t="s">
        <v>434</v>
      </c>
      <c r="K290" s="33" t="s">
        <v>31</v>
      </c>
      <c r="L290" s="33" t="s">
        <v>675</v>
      </c>
      <c r="M290" s="1" t="s">
        <v>32</v>
      </c>
      <c r="N290" s="1" t="s">
        <v>1227</v>
      </c>
      <c r="O290" s="33" t="s">
        <v>2527</v>
      </c>
      <c r="P290" s="38" t="s">
        <v>2528</v>
      </c>
      <c r="Q290" s="37"/>
      <c r="R290" s="37">
        <v>71979</v>
      </c>
      <c r="S290" s="1"/>
      <c r="T290" s="1" t="s">
        <v>1276</v>
      </c>
      <c r="U290" s="1" t="s">
        <v>1277</v>
      </c>
      <c r="V290" s="1" t="s">
        <v>1278</v>
      </c>
      <c r="W290" s="1" t="s">
        <v>1279</v>
      </c>
      <c r="Y290" s="1"/>
      <c r="Z290" s="1"/>
    </row>
    <row r="291" spans="1:26" s="4" customFormat="1" ht="15" customHeight="1">
      <c r="A291" s="4" t="s">
        <v>1266</v>
      </c>
      <c r="B291" s="29" t="s">
        <v>258</v>
      </c>
      <c r="C291" s="29" t="s">
        <v>2529</v>
      </c>
      <c r="D291" s="1"/>
      <c r="E291" s="26">
        <v>44264</v>
      </c>
      <c r="F291" s="2">
        <f t="shared" si="12"/>
        <v>44278</v>
      </c>
      <c r="G291" s="1" t="s">
        <v>364</v>
      </c>
      <c r="H291" s="1">
        <v>2500</v>
      </c>
      <c r="I291" s="1" t="s">
        <v>2530</v>
      </c>
      <c r="J291" s="1" t="s">
        <v>49</v>
      </c>
      <c r="K291" s="1" t="s">
        <v>31</v>
      </c>
      <c r="L291" s="1">
        <v>85296</v>
      </c>
      <c r="M291" s="1" t="s">
        <v>32</v>
      </c>
      <c r="N291" s="1" t="s">
        <v>1227</v>
      </c>
      <c r="O291" s="1" t="s">
        <v>2531</v>
      </c>
      <c r="P291" s="1" t="s">
        <v>2532</v>
      </c>
      <c r="Q291" s="1"/>
      <c r="R291" s="1">
        <v>75716</v>
      </c>
      <c r="S291" s="51"/>
      <c r="T291" s="1" t="s">
        <v>1264</v>
      </c>
      <c r="U291" s="1" t="s">
        <v>1253</v>
      </c>
      <c r="V291" s="4" t="s">
        <v>616</v>
      </c>
      <c r="W291" s="4" t="s">
        <v>1265</v>
      </c>
    </row>
    <row r="292" spans="1:26" s="4" customFormat="1" ht="15" customHeight="1">
      <c r="A292" s="4" t="s">
        <v>1256</v>
      </c>
      <c r="B292" s="29" t="s">
        <v>258</v>
      </c>
      <c r="C292" s="29" t="s">
        <v>2533</v>
      </c>
      <c r="D292" s="1"/>
      <c r="E292" s="26">
        <v>44277</v>
      </c>
      <c r="F292" s="2">
        <f t="shared" si="12"/>
        <v>44291</v>
      </c>
      <c r="G292" s="1" t="s">
        <v>364</v>
      </c>
      <c r="H292" s="1">
        <v>9201</v>
      </c>
      <c r="I292" s="1" t="s">
        <v>2534</v>
      </c>
      <c r="J292" s="1" t="s">
        <v>851</v>
      </c>
      <c r="K292" s="1" t="s">
        <v>31</v>
      </c>
      <c r="L292" s="1" t="s">
        <v>1711</v>
      </c>
      <c r="M292" s="1" t="s">
        <v>32</v>
      </c>
      <c r="N292" s="1" t="s">
        <v>1227</v>
      </c>
      <c r="O292" s="1" t="s">
        <v>2535</v>
      </c>
      <c r="P292" s="1" t="s">
        <v>2536</v>
      </c>
      <c r="Q292" s="1"/>
      <c r="R292" s="1">
        <v>76884</v>
      </c>
      <c r="S292" s="1"/>
      <c r="T292" s="1" t="s">
        <v>1264</v>
      </c>
      <c r="U292" s="1" t="s">
        <v>1253</v>
      </c>
      <c r="V292" s="4" t="s">
        <v>616</v>
      </c>
      <c r="W292" s="4" t="s">
        <v>1265</v>
      </c>
    </row>
    <row r="293" spans="1:26" s="4" customFormat="1" ht="15" customHeight="1">
      <c r="A293" s="4" t="s">
        <v>1256</v>
      </c>
      <c r="B293" s="29" t="s">
        <v>258</v>
      </c>
      <c r="C293" s="29" t="s">
        <v>2537</v>
      </c>
      <c r="D293" s="1"/>
      <c r="E293" s="26">
        <v>44291</v>
      </c>
      <c r="F293" s="2">
        <f t="shared" si="12"/>
        <v>44305</v>
      </c>
      <c r="G293" s="1" t="s">
        <v>364</v>
      </c>
      <c r="H293" s="1">
        <v>16601</v>
      </c>
      <c r="I293" s="1" t="s">
        <v>2538</v>
      </c>
      <c r="J293" s="1" t="s">
        <v>851</v>
      </c>
      <c r="K293" s="1" t="s">
        <v>31</v>
      </c>
      <c r="L293" s="1" t="s">
        <v>1777</v>
      </c>
      <c r="M293" s="1" t="s">
        <v>32</v>
      </c>
      <c r="N293" s="1" t="s">
        <v>1227</v>
      </c>
      <c r="O293" s="1" t="s">
        <v>2539</v>
      </c>
      <c r="P293" s="1" t="s">
        <v>2540</v>
      </c>
      <c r="Q293" s="1"/>
      <c r="R293" s="1">
        <v>75653</v>
      </c>
      <c r="S293" s="1"/>
      <c r="T293" s="1" t="s">
        <v>1264</v>
      </c>
      <c r="U293" s="1" t="s">
        <v>1253</v>
      </c>
      <c r="V293" s="4" t="s">
        <v>616</v>
      </c>
      <c r="W293" s="4" t="s">
        <v>1265</v>
      </c>
    </row>
    <row r="294" spans="1:26" s="4" customFormat="1" ht="15" customHeight="1">
      <c r="A294" s="4" t="s">
        <v>1256</v>
      </c>
      <c r="B294" s="29" t="s">
        <v>258</v>
      </c>
      <c r="C294" s="29" t="s">
        <v>2541</v>
      </c>
      <c r="D294" s="1"/>
      <c r="E294" s="26">
        <v>44307</v>
      </c>
      <c r="F294" s="2">
        <f t="shared" si="12"/>
        <v>44321</v>
      </c>
      <c r="G294" s="1" t="s">
        <v>364</v>
      </c>
      <c r="H294" s="1">
        <v>15863</v>
      </c>
      <c r="I294" s="1" t="s">
        <v>2542</v>
      </c>
      <c r="J294" s="1" t="s">
        <v>398</v>
      </c>
      <c r="K294" s="1" t="s">
        <v>31</v>
      </c>
      <c r="L294" s="1">
        <v>85260</v>
      </c>
      <c r="M294" s="1" t="s">
        <v>32</v>
      </c>
      <c r="N294" s="1" t="s">
        <v>1227</v>
      </c>
      <c r="O294" s="1" t="s">
        <v>2543</v>
      </c>
      <c r="P294" s="1" t="s">
        <v>2544</v>
      </c>
      <c r="Q294" s="1"/>
      <c r="R294" s="1">
        <v>74978</v>
      </c>
      <c r="S294" s="1"/>
      <c r="T294" s="1"/>
      <c r="U294" s="1"/>
      <c r="V294" s="1"/>
      <c r="W294" s="1"/>
    </row>
    <row r="295" spans="1:26" s="4" customFormat="1" ht="15" customHeight="1">
      <c r="A295" s="4" t="s">
        <v>1309</v>
      </c>
      <c r="B295" s="29" t="s">
        <v>258</v>
      </c>
      <c r="C295" s="29" t="s">
        <v>2545</v>
      </c>
      <c r="D295" s="1"/>
      <c r="E295" s="26">
        <v>44329</v>
      </c>
      <c r="F295" s="2">
        <f t="shared" si="12"/>
        <v>44343</v>
      </c>
      <c r="G295" s="1" t="s">
        <v>364</v>
      </c>
      <c r="H295" s="1">
        <v>1717</v>
      </c>
      <c r="I295" s="1" t="s">
        <v>2546</v>
      </c>
      <c r="J295" s="1" t="s">
        <v>434</v>
      </c>
      <c r="K295" s="1" t="s">
        <v>31</v>
      </c>
      <c r="L295" s="1">
        <v>85085</v>
      </c>
      <c r="M295" s="1" t="s">
        <v>32</v>
      </c>
      <c r="N295" s="1" t="s">
        <v>1227</v>
      </c>
      <c r="O295" s="1" t="s">
        <v>2547</v>
      </c>
      <c r="P295" s="1" t="s">
        <v>2548</v>
      </c>
      <c r="Q295" s="1"/>
      <c r="R295" s="1">
        <v>77192</v>
      </c>
      <c r="T295" s="1" t="s">
        <v>1276</v>
      </c>
      <c r="U295" s="1" t="s">
        <v>1277</v>
      </c>
      <c r="V295" s="1" t="s">
        <v>1278</v>
      </c>
      <c r="W295" s="1" t="s">
        <v>1279</v>
      </c>
    </row>
    <row r="296" spans="1:26" s="4" customFormat="1">
      <c r="A296" s="122" t="s">
        <v>1256</v>
      </c>
      <c r="B296" s="29" t="s">
        <v>258</v>
      </c>
      <c r="C296" s="29" t="s">
        <v>2549</v>
      </c>
      <c r="D296" s="2"/>
      <c r="E296" s="26">
        <v>44439</v>
      </c>
      <c r="F296" s="60">
        <f t="shared" si="12"/>
        <v>44453</v>
      </c>
      <c r="G296" s="1" t="s">
        <v>364</v>
      </c>
      <c r="H296" s="1">
        <v>1499</v>
      </c>
      <c r="I296" s="1" t="s">
        <v>2550</v>
      </c>
      <c r="J296" s="1" t="s">
        <v>844</v>
      </c>
      <c r="K296" s="1" t="s">
        <v>31</v>
      </c>
      <c r="L296" s="1">
        <v>85395</v>
      </c>
      <c r="M296" s="1" t="s">
        <v>32</v>
      </c>
      <c r="N296" s="1" t="s">
        <v>1227</v>
      </c>
      <c r="O296" s="1" t="s">
        <v>654</v>
      </c>
      <c r="P296" s="1" t="s">
        <v>655</v>
      </c>
      <c r="Q296" s="83" t="s">
        <v>656</v>
      </c>
      <c r="R296" s="31" t="s">
        <v>364</v>
      </c>
      <c r="T296" s="1" t="s">
        <v>1276</v>
      </c>
      <c r="U296" s="1" t="s">
        <v>1277</v>
      </c>
      <c r="V296" s="1" t="s">
        <v>2551</v>
      </c>
      <c r="W296" s="1" t="s">
        <v>1279</v>
      </c>
    </row>
    <row r="297" spans="1:26" s="4" customFormat="1" ht="15" customHeight="1">
      <c r="A297" s="122" t="s">
        <v>1256</v>
      </c>
      <c r="B297" s="29" t="s">
        <v>258</v>
      </c>
      <c r="C297" s="29" t="s">
        <v>2552</v>
      </c>
      <c r="D297" s="2">
        <v>43664</v>
      </c>
      <c r="E297" s="139">
        <v>44441</v>
      </c>
      <c r="F297" s="2">
        <f t="shared" si="12"/>
        <v>44455</v>
      </c>
      <c r="G297" s="1" t="s">
        <v>364</v>
      </c>
      <c r="H297" s="1">
        <v>2121</v>
      </c>
      <c r="I297" s="1" t="s">
        <v>2553</v>
      </c>
      <c r="J297" s="1" t="s">
        <v>434</v>
      </c>
      <c r="K297" s="1" t="s">
        <v>31</v>
      </c>
      <c r="L297" s="1">
        <v>85008</v>
      </c>
      <c r="M297" s="1" t="s">
        <v>32</v>
      </c>
      <c r="N297" s="1" t="s">
        <v>1227</v>
      </c>
      <c r="O297" s="1" t="s">
        <v>2554</v>
      </c>
      <c r="P297" s="1" t="s">
        <v>2555</v>
      </c>
      <c r="Q297" s="1"/>
      <c r="R297" s="1">
        <v>74715</v>
      </c>
      <c r="T297" s="1" t="s">
        <v>1264</v>
      </c>
      <c r="U297" s="1" t="s">
        <v>1253</v>
      </c>
      <c r="V297" s="4" t="s">
        <v>616</v>
      </c>
      <c r="W297" s="4" t="s">
        <v>1265</v>
      </c>
    </row>
    <row r="298" spans="1:26" s="4" customFormat="1" ht="15" customHeight="1">
      <c r="A298" s="92" t="s">
        <v>25</v>
      </c>
      <c r="B298" s="15" t="s">
        <v>258</v>
      </c>
      <c r="C298" s="65" t="s">
        <v>2556</v>
      </c>
      <c r="D298" s="2"/>
      <c r="E298" s="26">
        <v>44559</v>
      </c>
      <c r="F298" s="71">
        <f t="shared" si="12"/>
        <v>44573</v>
      </c>
      <c r="G298" s="71"/>
      <c r="H298" s="1">
        <v>1825</v>
      </c>
      <c r="I298" s="1" t="s">
        <v>2557</v>
      </c>
      <c r="J298" s="1" t="s">
        <v>63</v>
      </c>
      <c r="K298" s="1" t="s">
        <v>31</v>
      </c>
      <c r="L298" s="1"/>
      <c r="M298" s="1" t="s">
        <v>32</v>
      </c>
      <c r="N298" s="1" t="s">
        <v>1227</v>
      </c>
      <c r="O298" s="1" t="s">
        <v>659</v>
      </c>
      <c r="P298" s="1" t="s">
        <v>660</v>
      </c>
      <c r="Q298" s="87" t="s">
        <v>2558</v>
      </c>
      <c r="R298" s="1">
        <v>81602</v>
      </c>
      <c r="V298" s="4" t="s">
        <v>36</v>
      </c>
      <c r="W298" s="4" t="s">
        <v>1277</v>
      </c>
      <c r="X298" s="1" t="s">
        <v>59</v>
      </c>
      <c r="Y298" s="15" t="s">
        <v>1330</v>
      </c>
    </row>
    <row r="299" spans="1:26" s="4" customFormat="1" ht="15" customHeight="1">
      <c r="A299" s="93" t="s">
        <v>1256</v>
      </c>
      <c r="B299" s="29" t="s">
        <v>258</v>
      </c>
      <c r="C299" s="29" t="s">
        <v>2559</v>
      </c>
      <c r="D299" s="2"/>
      <c r="E299" s="26">
        <v>44602</v>
      </c>
      <c r="F299" s="2">
        <f t="shared" si="12"/>
        <v>44616</v>
      </c>
      <c r="G299" s="2"/>
      <c r="H299" s="1">
        <v>25325</v>
      </c>
      <c r="I299" s="1" t="s">
        <v>2560</v>
      </c>
      <c r="J299" s="1" t="s">
        <v>434</v>
      </c>
      <c r="K299" s="1" t="s">
        <v>31</v>
      </c>
      <c r="L299" s="1">
        <v>85085</v>
      </c>
      <c r="M299" s="1" t="s">
        <v>32</v>
      </c>
      <c r="N299" s="1" t="s">
        <v>1227</v>
      </c>
      <c r="O299" s="1" t="s">
        <v>2561</v>
      </c>
      <c r="P299" s="1" t="s">
        <v>2562</v>
      </c>
      <c r="Q299" s="83" t="s">
        <v>2563</v>
      </c>
      <c r="R299" s="1">
        <v>79591</v>
      </c>
      <c r="S299" s="47"/>
      <c r="T299" s="47"/>
      <c r="U299" s="51"/>
      <c r="V299" s="4" t="s">
        <v>1264</v>
      </c>
      <c r="W299" s="4" t="s">
        <v>1253</v>
      </c>
      <c r="X299" s="4" t="s">
        <v>616</v>
      </c>
      <c r="Y299" s="15" t="s">
        <v>1265</v>
      </c>
    </row>
    <row r="300" spans="1:26" s="4" customFormat="1" ht="15" customHeight="1">
      <c r="A300" s="92" t="s">
        <v>25</v>
      </c>
      <c r="B300" s="4" t="s">
        <v>258</v>
      </c>
      <c r="C300" s="29" t="s">
        <v>2564</v>
      </c>
      <c r="D300" s="2"/>
      <c r="E300" s="2">
        <v>44763</v>
      </c>
      <c r="F300" s="132">
        <f t="shared" si="12"/>
        <v>44777</v>
      </c>
      <c r="G300" s="2"/>
      <c r="H300" s="1">
        <v>2001</v>
      </c>
      <c r="I300" s="15" t="s">
        <v>420</v>
      </c>
      <c r="J300" s="1" t="s">
        <v>398</v>
      </c>
      <c r="K300" s="1" t="s">
        <v>31</v>
      </c>
      <c r="L300" s="1"/>
      <c r="M300" s="1" t="s">
        <v>32</v>
      </c>
      <c r="O300" s="1" t="s">
        <v>2565</v>
      </c>
      <c r="P300" s="1" t="s">
        <v>2566</v>
      </c>
      <c r="Q300" s="1"/>
      <c r="R300" s="1">
        <v>81394</v>
      </c>
      <c r="S300" s="1"/>
      <c r="T300" s="1"/>
      <c r="U300" s="1"/>
      <c r="V300" s="4" t="s">
        <v>36</v>
      </c>
      <c r="W300" s="4" t="s">
        <v>37</v>
      </c>
      <c r="X300" s="1" t="s">
        <v>59</v>
      </c>
      <c r="Y300" s="15" t="s">
        <v>39</v>
      </c>
    </row>
    <row r="301" spans="1:26" s="4" customFormat="1" ht="15" customHeight="1">
      <c r="A301" s="163" t="s">
        <v>25</v>
      </c>
      <c r="B301" s="15" t="s">
        <v>258</v>
      </c>
      <c r="C301" s="65" t="s">
        <v>2567</v>
      </c>
      <c r="D301" s="2"/>
      <c r="E301" s="2">
        <v>44837</v>
      </c>
      <c r="F301" s="2">
        <f t="shared" si="12"/>
        <v>44851</v>
      </c>
      <c r="G301" s="2"/>
      <c r="H301" s="1">
        <v>1310</v>
      </c>
      <c r="I301" s="15" t="s">
        <v>591</v>
      </c>
      <c r="J301" s="1" t="s">
        <v>63</v>
      </c>
      <c r="K301" s="1" t="s">
        <v>31</v>
      </c>
      <c r="L301" s="1">
        <v>85210</v>
      </c>
      <c r="M301" s="1" t="s">
        <v>32</v>
      </c>
      <c r="O301" s="1" t="s">
        <v>260</v>
      </c>
      <c r="P301" s="1" t="s">
        <v>2568</v>
      </c>
      <c r="Q301" s="87" t="s">
        <v>2569</v>
      </c>
      <c r="R301" s="1">
        <v>83696</v>
      </c>
      <c r="S301" s="47"/>
      <c r="T301" s="47"/>
      <c r="U301" s="51"/>
      <c r="V301" s="4" t="s">
        <v>36</v>
      </c>
      <c r="W301" s="4" t="s">
        <v>37</v>
      </c>
      <c r="X301" s="1" t="s">
        <v>59</v>
      </c>
      <c r="Y301" s="167" t="s">
        <v>39</v>
      </c>
      <c r="Z301" s="168"/>
    </row>
    <row r="302" spans="1:26" s="4" customFormat="1" ht="15" customHeight="1">
      <c r="A302" s="163" t="s">
        <v>25</v>
      </c>
      <c r="B302" s="15" t="s">
        <v>258</v>
      </c>
      <c r="C302" s="65" t="s">
        <v>2570</v>
      </c>
      <c r="D302" s="2"/>
      <c r="E302" s="2">
        <v>44847</v>
      </c>
      <c r="F302" s="71">
        <f t="shared" si="12"/>
        <v>44861</v>
      </c>
      <c r="G302" s="71"/>
      <c r="H302" s="1">
        <v>200</v>
      </c>
      <c r="I302" s="15" t="s">
        <v>2571</v>
      </c>
      <c r="J302" s="1" t="s">
        <v>69</v>
      </c>
      <c r="K302" s="1" t="s">
        <v>31</v>
      </c>
      <c r="L302" s="1">
        <v>85286</v>
      </c>
      <c r="M302" s="1" t="s">
        <v>32</v>
      </c>
      <c r="O302" s="1" t="s">
        <v>2572</v>
      </c>
      <c r="P302" s="1" t="s">
        <v>2573</v>
      </c>
      <c r="Q302" s="87" t="s">
        <v>2574</v>
      </c>
      <c r="R302" s="1">
        <v>82087</v>
      </c>
      <c r="S302" s="47"/>
      <c r="T302" s="47"/>
      <c r="U302" s="51"/>
      <c r="V302" s="4" t="s">
        <v>36</v>
      </c>
      <c r="W302" s="4" t="s">
        <v>37</v>
      </c>
      <c r="X302" s="1" t="s">
        <v>59</v>
      </c>
      <c r="Y302" s="167" t="s">
        <v>39</v>
      </c>
      <c r="Z302" s="168"/>
    </row>
    <row r="303" spans="1:26" s="4" customFormat="1" ht="15" customHeight="1">
      <c r="A303" s="163" t="s">
        <v>25</v>
      </c>
      <c r="B303" s="15" t="s">
        <v>258</v>
      </c>
      <c r="C303" s="65" t="s">
        <v>2575</v>
      </c>
      <c r="D303" s="2"/>
      <c r="E303" s="2">
        <v>44890</v>
      </c>
      <c r="F303" s="60">
        <f t="shared" si="12"/>
        <v>44904</v>
      </c>
      <c r="G303" s="60"/>
      <c r="H303" s="1">
        <v>711</v>
      </c>
      <c r="I303" s="15" t="s">
        <v>1002</v>
      </c>
      <c r="J303" s="1" t="s">
        <v>415</v>
      </c>
      <c r="K303" s="1" t="s">
        <v>31</v>
      </c>
      <c r="L303" s="1">
        <v>85282</v>
      </c>
      <c r="M303" s="1" t="s">
        <v>32</v>
      </c>
      <c r="O303" s="1" t="s">
        <v>2576</v>
      </c>
      <c r="P303" s="1" t="s">
        <v>2577</v>
      </c>
      <c r="Q303" s="1"/>
      <c r="R303" s="1">
        <v>87436</v>
      </c>
      <c r="V303" s="4" t="s">
        <v>36</v>
      </c>
      <c r="W303" s="4" t="s">
        <v>37</v>
      </c>
      <c r="X303" s="1" t="s">
        <v>59</v>
      </c>
      <c r="Y303" s="167" t="s">
        <v>39</v>
      </c>
      <c r="Z303" s="168"/>
    </row>
    <row r="304" spans="1:26" s="4" customFormat="1" ht="15" customHeight="1">
      <c r="A304" s="4" t="s">
        <v>1256</v>
      </c>
      <c r="B304" s="29" t="s">
        <v>2578</v>
      </c>
      <c r="C304" s="29" t="s">
        <v>2579</v>
      </c>
      <c r="D304" s="1"/>
      <c r="E304" s="26">
        <v>44154</v>
      </c>
      <c r="F304" s="2">
        <f t="shared" si="12"/>
        <v>44168</v>
      </c>
      <c r="G304" s="1" t="s">
        <v>364</v>
      </c>
      <c r="H304" s="1">
        <v>8340</v>
      </c>
      <c r="I304" s="1" t="s">
        <v>821</v>
      </c>
      <c r="J304" s="1" t="s">
        <v>822</v>
      </c>
      <c r="K304" s="1" t="s">
        <v>31</v>
      </c>
      <c r="L304" s="1">
        <v>85305</v>
      </c>
      <c r="M304" s="1" t="s">
        <v>32</v>
      </c>
      <c r="N304" s="1" t="s">
        <v>1227</v>
      </c>
      <c r="O304" s="1" t="s">
        <v>2580</v>
      </c>
      <c r="P304" s="1" t="s">
        <v>2581</v>
      </c>
      <c r="Q304" s="46"/>
      <c r="R304" s="46"/>
      <c r="S304" s="1"/>
      <c r="T304" s="1" t="s">
        <v>1264</v>
      </c>
      <c r="U304" s="1" t="s">
        <v>1253</v>
      </c>
      <c r="V304" s="4" t="s">
        <v>616</v>
      </c>
      <c r="W304" s="4" t="s">
        <v>1265</v>
      </c>
    </row>
    <row r="305" spans="1:26" s="4" customFormat="1">
      <c r="A305" s="4" t="s">
        <v>1256</v>
      </c>
      <c r="B305" s="69" t="s">
        <v>2582</v>
      </c>
      <c r="C305" s="5" t="s">
        <v>2583</v>
      </c>
      <c r="D305" s="33"/>
      <c r="E305" s="26">
        <v>44144</v>
      </c>
      <c r="F305" s="60">
        <f t="shared" si="12"/>
        <v>44158</v>
      </c>
      <c r="G305" s="33" t="s">
        <v>364</v>
      </c>
      <c r="H305" s="33" t="s">
        <v>2584</v>
      </c>
      <c r="I305" s="33" t="s">
        <v>2585</v>
      </c>
      <c r="J305" s="33" t="s">
        <v>434</v>
      </c>
      <c r="K305" s="33" t="s">
        <v>31</v>
      </c>
      <c r="L305" s="33" t="s">
        <v>2089</v>
      </c>
      <c r="M305" s="1" t="s">
        <v>32</v>
      </c>
      <c r="N305" s="1" t="s">
        <v>1227</v>
      </c>
      <c r="O305" s="33" t="s">
        <v>2586</v>
      </c>
      <c r="P305" s="33" t="s">
        <v>2587</v>
      </c>
      <c r="Q305" s="74"/>
      <c r="R305" s="74"/>
    </row>
    <row r="306" spans="1:26" s="4" customFormat="1" ht="15" customHeight="1">
      <c r="A306" s="4" t="s">
        <v>1280</v>
      </c>
      <c r="B306" s="29" t="s">
        <v>2588</v>
      </c>
      <c r="C306" s="29" t="s">
        <v>2589</v>
      </c>
      <c r="D306" s="1"/>
      <c r="E306" s="26">
        <v>44047</v>
      </c>
      <c r="F306" s="2">
        <f t="shared" si="12"/>
        <v>44061</v>
      </c>
      <c r="G306" s="1" t="s">
        <v>364</v>
      </c>
      <c r="H306" s="1">
        <v>2100</v>
      </c>
      <c r="I306" s="1" t="s">
        <v>2590</v>
      </c>
      <c r="J306" s="1" t="s">
        <v>844</v>
      </c>
      <c r="K306" s="1" t="s">
        <v>31</v>
      </c>
      <c r="L306" s="1" t="s">
        <v>1431</v>
      </c>
      <c r="M306" s="1" t="s">
        <v>32</v>
      </c>
      <c r="N306" s="1" t="s">
        <v>1227</v>
      </c>
      <c r="O306" s="1" t="s">
        <v>2591</v>
      </c>
      <c r="P306" s="1" t="s">
        <v>2592</v>
      </c>
      <c r="Q306" s="1"/>
      <c r="R306" s="1">
        <v>74174</v>
      </c>
      <c r="T306" s="1" t="s">
        <v>1264</v>
      </c>
      <c r="U306" s="1" t="s">
        <v>1253</v>
      </c>
      <c r="V306" s="4" t="s">
        <v>616</v>
      </c>
      <c r="W306" s="4" t="s">
        <v>1265</v>
      </c>
    </row>
    <row r="307" spans="1:26" s="4" customFormat="1" ht="15" customHeight="1">
      <c r="A307" s="4" t="s">
        <v>1266</v>
      </c>
      <c r="B307" s="29" t="s">
        <v>2593</v>
      </c>
      <c r="C307" s="29" t="s">
        <v>2594</v>
      </c>
      <c r="D307" s="1"/>
      <c r="E307" s="26">
        <v>44054</v>
      </c>
      <c r="F307" s="2">
        <f t="shared" si="12"/>
        <v>44068</v>
      </c>
      <c r="G307" s="1"/>
      <c r="H307" s="1"/>
      <c r="I307" s="1" t="s">
        <v>2595</v>
      </c>
      <c r="J307" s="1" t="s">
        <v>69</v>
      </c>
      <c r="K307" s="1" t="s">
        <v>31</v>
      </c>
      <c r="L307" s="1"/>
      <c r="M307" s="1" t="s">
        <v>32</v>
      </c>
      <c r="N307" s="1" t="s">
        <v>1227</v>
      </c>
      <c r="O307" s="1"/>
      <c r="P307" s="1"/>
      <c r="Q307" s="1"/>
      <c r="R307" s="1"/>
      <c r="T307" s="1" t="s">
        <v>1264</v>
      </c>
      <c r="U307" s="1" t="s">
        <v>1253</v>
      </c>
      <c r="V307" s="4" t="s">
        <v>616</v>
      </c>
      <c r="W307" s="4" t="s">
        <v>1265</v>
      </c>
    </row>
    <row r="308" spans="1:26" s="4" customFormat="1">
      <c r="A308" s="164" t="s">
        <v>1240</v>
      </c>
      <c r="B308" s="70" t="s">
        <v>2593</v>
      </c>
      <c r="C308" s="56" t="s">
        <v>2596</v>
      </c>
      <c r="D308" s="60"/>
      <c r="E308" s="2">
        <v>44811</v>
      </c>
      <c r="F308" s="60">
        <f t="shared" si="12"/>
        <v>44825</v>
      </c>
      <c r="G308" s="60"/>
      <c r="H308" s="54" t="s">
        <v>2597</v>
      </c>
      <c r="I308" s="80" t="s">
        <v>2598</v>
      </c>
      <c r="J308" s="55" t="s">
        <v>434</v>
      </c>
      <c r="K308" s="55" t="s">
        <v>31</v>
      </c>
      <c r="L308" s="55" t="s">
        <v>2599</v>
      </c>
      <c r="M308" s="55" t="s">
        <v>32</v>
      </c>
      <c r="N308" s="56"/>
      <c r="O308" s="55" t="s">
        <v>2600</v>
      </c>
      <c r="P308" s="55" t="s">
        <v>2601</v>
      </c>
      <c r="Q308" s="55"/>
      <c r="R308" s="57">
        <v>88531</v>
      </c>
      <c r="V308" s="4" t="s">
        <v>443</v>
      </c>
      <c r="W308" s="4" t="s">
        <v>37</v>
      </c>
      <c r="X308" s="4" t="s">
        <v>616</v>
      </c>
      <c r="Y308" s="167" t="s">
        <v>1247</v>
      </c>
      <c r="Z308" s="168"/>
    </row>
    <row r="309" spans="1:26" s="4" customFormat="1" ht="15" customHeight="1">
      <c r="A309" s="4" t="s">
        <v>1266</v>
      </c>
      <c r="B309" s="4" t="s">
        <v>2602</v>
      </c>
      <c r="C309" s="4" t="s">
        <v>2603</v>
      </c>
      <c r="D309" s="1"/>
      <c r="E309" s="26">
        <v>43781</v>
      </c>
      <c r="F309" s="2">
        <f t="shared" si="12"/>
        <v>43795</v>
      </c>
      <c r="G309" s="1" t="s">
        <v>364</v>
      </c>
      <c r="H309" s="1">
        <v>2055</v>
      </c>
      <c r="I309" s="1" t="s">
        <v>1325</v>
      </c>
      <c r="J309" s="33" t="s">
        <v>69</v>
      </c>
      <c r="K309" s="33" t="s">
        <v>31</v>
      </c>
      <c r="L309" s="33" t="s">
        <v>1478</v>
      </c>
      <c r="M309" s="1" t="s">
        <v>32</v>
      </c>
      <c r="N309" s="1" t="s">
        <v>1227</v>
      </c>
      <c r="O309" s="33" t="s">
        <v>2604</v>
      </c>
      <c r="P309" s="11" t="s">
        <v>2605</v>
      </c>
      <c r="Q309" s="37"/>
      <c r="R309" s="37">
        <v>73726</v>
      </c>
      <c r="T309" s="1" t="s">
        <v>1264</v>
      </c>
      <c r="U309" s="1" t="s">
        <v>1253</v>
      </c>
      <c r="V309" s="4" t="s">
        <v>616</v>
      </c>
      <c r="W309" s="4" t="s">
        <v>1265</v>
      </c>
    </row>
    <row r="310" spans="1:26" s="4" customFormat="1" ht="29.25" customHeight="1">
      <c r="A310" s="163" t="s">
        <v>25</v>
      </c>
      <c r="B310" s="29" t="s">
        <v>2602</v>
      </c>
      <c r="C310" s="4" t="s">
        <v>2606</v>
      </c>
      <c r="D310" s="2"/>
      <c r="E310" s="2">
        <v>44838</v>
      </c>
      <c r="F310" s="2">
        <f t="shared" si="12"/>
        <v>44852</v>
      </c>
      <c r="G310" s="2"/>
      <c r="H310" s="41">
        <v>4377</v>
      </c>
      <c r="I310" s="15" t="s">
        <v>2607</v>
      </c>
      <c r="J310" s="1" t="s">
        <v>49</v>
      </c>
      <c r="K310" s="1" t="s">
        <v>31</v>
      </c>
      <c r="L310" s="1">
        <v>85295</v>
      </c>
      <c r="M310" s="1" t="s">
        <v>32</v>
      </c>
      <c r="O310" s="1" t="s">
        <v>2608</v>
      </c>
      <c r="P310" s="1" t="s">
        <v>2609</v>
      </c>
      <c r="Q310" s="87" t="s">
        <v>2610</v>
      </c>
      <c r="R310" s="31">
        <v>87417</v>
      </c>
      <c r="V310" s="4" t="s">
        <v>36</v>
      </c>
      <c r="W310" s="4" t="s">
        <v>37</v>
      </c>
      <c r="X310" s="1" t="s">
        <v>59</v>
      </c>
      <c r="Y310" s="167" t="s">
        <v>39</v>
      </c>
      <c r="Z310" s="168"/>
    </row>
    <row r="311" spans="1:26" s="4" customFormat="1" ht="15" customHeight="1">
      <c r="A311" s="4" t="s">
        <v>1266</v>
      </c>
      <c r="B311" s="29" t="s">
        <v>2611</v>
      </c>
      <c r="C311" s="29" t="s">
        <v>2612</v>
      </c>
      <c r="D311" s="1"/>
      <c r="E311" s="26">
        <v>44256</v>
      </c>
      <c r="F311" s="2">
        <f t="shared" si="12"/>
        <v>44270</v>
      </c>
      <c r="G311" s="1"/>
      <c r="H311" s="1" t="s">
        <v>43</v>
      </c>
      <c r="I311" s="1" t="s">
        <v>2613</v>
      </c>
      <c r="J311" s="1" t="s">
        <v>2202</v>
      </c>
      <c r="K311" s="1" t="s">
        <v>31</v>
      </c>
      <c r="L311" s="1">
        <v>85132</v>
      </c>
      <c r="M311" s="1" t="s">
        <v>32</v>
      </c>
      <c r="N311" s="1" t="s">
        <v>1227</v>
      </c>
      <c r="O311" s="1" t="s">
        <v>2614</v>
      </c>
      <c r="P311" s="1" t="s">
        <v>2615</v>
      </c>
      <c r="Q311" s="1"/>
      <c r="R311" s="1"/>
      <c r="T311" s="1" t="s">
        <v>1264</v>
      </c>
      <c r="U311" s="1" t="s">
        <v>1253</v>
      </c>
      <c r="V311" s="4" t="s">
        <v>616</v>
      </c>
      <c r="W311" s="4" t="s">
        <v>1265</v>
      </c>
    </row>
    <row r="312" spans="1:26" s="4" customFormat="1" ht="15" customHeight="1">
      <c r="A312" s="4" t="s">
        <v>1280</v>
      </c>
      <c r="B312" s="29" t="s">
        <v>2616</v>
      </c>
      <c r="C312" s="29" t="s">
        <v>2617</v>
      </c>
      <c r="D312" s="1"/>
      <c r="E312" s="26">
        <v>43942</v>
      </c>
      <c r="F312" s="2">
        <f t="shared" si="12"/>
        <v>43956</v>
      </c>
      <c r="G312" s="1" t="s">
        <v>364</v>
      </c>
      <c r="H312" s="1">
        <v>3000</v>
      </c>
      <c r="I312" s="1" t="s">
        <v>933</v>
      </c>
      <c r="J312" s="1" t="s">
        <v>873</v>
      </c>
      <c r="K312" s="1" t="s">
        <v>31</v>
      </c>
      <c r="L312" s="1">
        <v>85392</v>
      </c>
      <c r="M312" s="1" t="s">
        <v>32</v>
      </c>
      <c r="N312" s="1" t="s">
        <v>1227</v>
      </c>
      <c r="O312" s="1"/>
      <c r="P312" s="1"/>
      <c r="Q312" s="1"/>
      <c r="R312" s="1"/>
      <c r="T312" s="1" t="s">
        <v>1264</v>
      </c>
      <c r="U312" s="1" t="s">
        <v>1253</v>
      </c>
      <c r="V312" s="4" t="s">
        <v>616</v>
      </c>
      <c r="W312" s="4" t="s">
        <v>1265</v>
      </c>
    </row>
    <row r="313" spans="1:26" s="4" customFormat="1" ht="15" customHeight="1">
      <c r="A313" s="4" t="s">
        <v>1256</v>
      </c>
      <c r="B313" s="29" t="s">
        <v>2616</v>
      </c>
      <c r="C313" s="29" t="s">
        <v>2618</v>
      </c>
      <c r="D313" s="1"/>
      <c r="E313" s="26">
        <v>44180</v>
      </c>
      <c r="F313" s="2">
        <f t="shared" si="12"/>
        <v>44194</v>
      </c>
      <c r="G313" s="1" t="s">
        <v>364</v>
      </c>
      <c r="H313" s="1">
        <v>3000</v>
      </c>
      <c r="I313" s="1" t="s">
        <v>2619</v>
      </c>
      <c r="J313" s="1" t="s">
        <v>873</v>
      </c>
      <c r="K313" s="1" t="s">
        <v>31</v>
      </c>
      <c r="L313" s="1">
        <v>85392</v>
      </c>
      <c r="M313" s="1" t="s">
        <v>32</v>
      </c>
      <c r="N313" s="1" t="s">
        <v>1227</v>
      </c>
      <c r="O313" s="1"/>
      <c r="P313" s="1"/>
      <c r="Q313" s="1"/>
      <c r="R313" s="25"/>
      <c r="S313" s="51"/>
      <c r="T313" s="1" t="s">
        <v>1264</v>
      </c>
      <c r="U313" s="1" t="s">
        <v>1253</v>
      </c>
      <c r="V313" s="4" t="s">
        <v>616</v>
      </c>
      <c r="W313" s="4" t="s">
        <v>1265</v>
      </c>
    </row>
    <row r="314" spans="1:26" s="4" customFormat="1" ht="15" customHeight="1">
      <c r="A314" s="4" t="s">
        <v>1256</v>
      </c>
      <c r="B314" s="29" t="s">
        <v>2620</v>
      </c>
      <c r="C314" s="29" t="s">
        <v>2621</v>
      </c>
      <c r="D314" s="1"/>
      <c r="E314" s="26">
        <v>44307</v>
      </c>
      <c r="F314" s="2">
        <f t="shared" si="12"/>
        <v>44321</v>
      </c>
      <c r="G314" s="1" t="s">
        <v>364</v>
      </c>
      <c r="H314" s="1">
        <v>7542</v>
      </c>
      <c r="I314" s="1" t="s">
        <v>2622</v>
      </c>
      <c r="J314" s="1" t="s">
        <v>398</v>
      </c>
      <c r="K314" s="1" t="s">
        <v>31</v>
      </c>
      <c r="L314" s="1">
        <v>85251</v>
      </c>
      <c r="M314" s="1" t="s">
        <v>32</v>
      </c>
      <c r="N314" s="1" t="s">
        <v>1227</v>
      </c>
      <c r="O314" s="1" t="s">
        <v>2623</v>
      </c>
      <c r="P314" s="1" t="s">
        <v>2624</v>
      </c>
      <c r="Q314" s="46"/>
      <c r="R314" s="46"/>
      <c r="S314" s="1"/>
      <c r="T314" s="1" t="s">
        <v>1264</v>
      </c>
      <c r="U314" s="1" t="s">
        <v>1253</v>
      </c>
      <c r="V314" s="4" t="s">
        <v>616</v>
      </c>
      <c r="W314" s="4" t="s">
        <v>1265</v>
      </c>
    </row>
    <row r="315" spans="1:26" s="4" customFormat="1" ht="15" customHeight="1">
      <c r="A315" s="163" t="s">
        <v>25</v>
      </c>
      <c r="B315" s="70" t="s">
        <v>2620</v>
      </c>
      <c r="C315" s="56" t="s">
        <v>2625</v>
      </c>
      <c r="D315" s="60"/>
      <c r="E315" s="2">
        <v>44812</v>
      </c>
      <c r="F315" s="60">
        <f t="shared" si="12"/>
        <v>44826</v>
      </c>
      <c r="G315" s="60"/>
      <c r="H315" s="76">
        <v>1450</v>
      </c>
      <c r="I315" s="80" t="s">
        <v>2626</v>
      </c>
      <c r="J315" s="55" t="s">
        <v>63</v>
      </c>
      <c r="K315" s="55" t="s">
        <v>31</v>
      </c>
      <c r="L315" s="55" t="s">
        <v>1923</v>
      </c>
      <c r="M315" s="55" t="s">
        <v>32</v>
      </c>
      <c r="N315" s="56"/>
      <c r="O315" s="55" t="s">
        <v>2627</v>
      </c>
      <c r="P315" s="55" t="s">
        <v>2628</v>
      </c>
      <c r="Q315" s="89" t="s">
        <v>2629</v>
      </c>
      <c r="R315" s="57">
        <v>87876</v>
      </c>
      <c r="S315" s="1"/>
      <c r="T315" s="1"/>
      <c r="U315" s="1"/>
      <c r="V315" s="4" t="s">
        <v>36</v>
      </c>
      <c r="W315" s="4" t="s">
        <v>37</v>
      </c>
      <c r="X315" s="1" t="s">
        <v>59</v>
      </c>
      <c r="Y315" s="167" t="s">
        <v>39</v>
      </c>
      <c r="Z315" s="168"/>
    </row>
    <row r="316" spans="1:26" s="4" customFormat="1" ht="13.5" customHeight="1">
      <c r="A316" s="93" t="s">
        <v>1256</v>
      </c>
      <c r="B316" s="29" t="s">
        <v>2630</v>
      </c>
      <c r="C316" s="29" t="s">
        <v>2631</v>
      </c>
      <c r="D316" s="2"/>
      <c r="E316" s="26">
        <v>44573</v>
      </c>
      <c r="F316" s="2">
        <f t="shared" ref="F316:F347" si="13">E316+14</f>
        <v>44587</v>
      </c>
      <c r="G316" s="2"/>
      <c r="H316" s="1">
        <v>5777</v>
      </c>
      <c r="I316" s="1" t="s">
        <v>596</v>
      </c>
      <c r="J316" s="1" t="s">
        <v>434</v>
      </c>
      <c r="K316" s="1" t="s">
        <v>31</v>
      </c>
      <c r="L316" s="1">
        <v>85034</v>
      </c>
      <c r="M316" s="1" t="s">
        <v>32</v>
      </c>
      <c r="N316" s="1" t="s">
        <v>1227</v>
      </c>
      <c r="O316" s="1" t="s">
        <v>2632</v>
      </c>
      <c r="P316" s="1" t="s">
        <v>2633</v>
      </c>
      <c r="Q316" s="81" t="s">
        <v>2634</v>
      </c>
      <c r="R316" s="1">
        <v>79546</v>
      </c>
      <c r="S316" s="53"/>
      <c r="T316" s="53"/>
      <c r="V316" s="4" t="s">
        <v>1264</v>
      </c>
      <c r="W316" s="4" t="s">
        <v>1253</v>
      </c>
      <c r="X316" s="4" t="s">
        <v>616</v>
      </c>
      <c r="Y316" s="15" t="s">
        <v>1265</v>
      </c>
    </row>
    <row r="317" spans="1:26" s="4" customFormat="1" ht="21.75" customHeight="1">
      <c r="A317" s="93" t="s">
        <v>1256</v>
      </c>
      <c r="B317" s="29" t="s">
        <v>2635</v>
      </c>
      <c r="C317" s="4" t="s">
        <v>2636</v>
      </c>
      <c r="D317" s="2"/>
      <c r="E317" s="26">
        <v>44545</v>
      </c>
      <c r="F317" s="2">
        <f t="shared" si="13"/>
        <v>44559</v>
      </c>
      <c r="G317" s="2"/>
      <c r="H317" s="41">
        <v>5777</v>
      </c>
      <c r="I317" s="1" t="s">
        <v>596</v>
      </c>
      <c r="J317" s="1" t="s">
        <v>434</v>
      </c>
      <c r="K317" s="1" t="s">
        <v>31</v>
      </c>
      <c r="L317" s="1">
        <v>85054</v>
      </c>
      <c r="M317" s="1" t="s">
        <v>32</v>
      </c>
      <c r="N317" s="1" t="s">
        <v>1227</v>
      </c>
      <c r="O317" s="1" t="s">
        <v>2632</v>
      </c>
      <c r="P317" s="1" t="s">
        <v>2637</v>
      </c>
      <c r="Q317" s="81" t="s">
        <v>2634</v>
      </c>
      <c r="R317" s="31">
        <v>87235</v>
      </c>
      <c r="V317" s="4" t="s">
        <v>1264</v>
      </c>
      <c r="W317" s="4" t="s">
        <v>1253</v>
      </c>
      <c r="X317" s="4" t="s">
        <v>616</v>
      </c>
      <c r="Y317" s="15" t="s">
        <v>1265</v>
      </c>
    </row>
    <row r="318" spans="1:26" s="4" customFormat="1" ht="15" customHeight="1">
      <c r="A318" s="4" t="s">
        <v>1280</v>
      </c>
      <c r="B318" s="4" t="s">
        <v>2638</v>
      </c>
      <c r="C318" s="4" t="s">
        <v>2639</v>
      </c>
      <c r="D318" s="1"/>
      <c r="E318" s="26">
        <v>43829</v>
      </c>
      <c r="F318" s="2">
        <f t="shared" si="13"/>
        <v>43843</v>
      </c>
      <c r="G318" s="1" t="s">
        <v>364</v>
      </c>
      <c r="H318" s="1">
        <v>4321</v>
      </c>
      <c r="I318" s="1" t="s">
        <v>2640</v>
      </c>
      <c r="J318" s="33" t="s">
        <v>844</v>
      </c>
      <c r="K318" s="33" t="s">
        <v>31</v>
      </c>
      <c r="L318" s="33" t="s">
        <v>1685</v>
      </c>
      <c r="M318" s="1" t="s">
        <v>32</v>
      </c>
      <c r="N318" s="1" t="s">
        <v>1227</v>
      </c>
      <c r="O318" s="33" t="s">
        <v>2641</v>
      </c>
      <c r="P318" s="11" t="s">
        <v>2642</v>
      </c>
      <c r="Q318" s="214"/>
      <c r="R318" s="214">
        <v>74808</v>
      </c>
      <c r="T318" s="1" t="s">
        <v>1264</v>
      </c>
      <c r="U318" s="1" t="s">
        <v>1253</v>
      </c>
      <c r="V318" s="4" t="s">
        <v>616</v>
      </c>
      <c r="W318" s="4" t="s">
        <v>1265</v>
      </c>
    </row>
    <row r="319" spans="1:26">
      <c r="A319" t="s">
        <v>1256</v>
      </c>
      <c r="B319" s="192" t="s">
        <v>2638</v>
      </c>
      <c r="C319" s="192" t="s">
        <v>2643</v>
      </c>
      <c r="E319" s="201">
        <v>44131</v>
      </c>
      <c r="F319" s="197">
        <f t="shared" si="13"/>
        <v>44145</v>
      </c>
      <c r="G319" s="25" t="s">
        <v>364</v>
      </c>
      <c r="H319" s="25">
        <v>2250</v>
      </c>
      <c r="I319" s="25" t="s">
        <v>1912</v>
      </c>
      <c r="J319" s="25" t="s">
        <v>844</v>
      </c>
      <c r="K319" s="25" t="s">
        <v>31</v>
      </c>
      <c r="L319" s="25">
        <v>85338</v>
      </c>
      <c r="M319" s="1" t="s">
        <v>32</v>
      </c>
      <c r="N319" s="1" t="s">
        <v>1227</v>
      </c>
      <c r="S319" s="25"/>
      <c r="T319" s="25" t="s">
        <v>1264</v>
      </c>
      <c r="U319" s="25" t="s">
        <v>1253</v>
      </c>
      <c r="V319" t="s">
        <v>616</v>
      </c>
      <c r="W319" t="s">
        <v>1265</v>
      </c>
    </row>
    <row r="320" spans="1:26" s="4" customFormat="1" ht="18" customHeight="1">
      <c r="A320" s="122" t="s">
        <v>1256</v>
      </c>
      <c r="B320" s="29" t="s">
        <v>2638</v>
      </c>
      <c r="C320" s="4" t="s">
        <v>2644</v>
      </c>
      <c r="D320" s="2"/>
      <c r="E320" s="26">
        <v>44490</v>
      </c>
      <c r="F320" s="2">
        <f t="shared" si="13"/>
        <v>44504</v>
      </c>
      <c r="G320" s="2"/>
      <c r="H320" s="41"/>
      <c r="I320" s="1" t="s">
        <v>2645</v>
      </c>
      <c r="J320" s="1" t="s">
        <v>844</v>
      </c>
      <c r="K320" s="1" t="s">
        <v>31</v>
      </c>
      <c r="L320" s="1">
        <v>85323</v>
      </c>
      <c r="M320" s="1" t="s">
        <v>32</v>
      </c>
      <c r="N320" s="1" t="s">
        <v>1227</v>
      </c>
      <c r="O320" s="1" t="s">
        <v>2646</v>
      </c>
      <c r="P320" s="1" t="s">
        <v>2647</v>
      </c>
      <c r="Q320" s="1"/>
      <c r="R320" s="1"/>
      <c r="T320" s="1" t="s">
        <v>1264</v>
      </c>
      <c r="U320" s="1" t="s">
        <v>1253</v>
      </c>
      <c r="V320" s="4" t="s">
        <v>616</v>
      </c>
      <c r="W320" s="4" t="s">
        <v>1265</v>
      </c>
    </row>
    <row r="321" spans="1:26" s="4" customFormat="1">
      <c r="A321" s="122" t="s">
        <v>1256</v>
      </c>
      <c r="B321" s="29" t="s">
        <v>2638</v>
      </c>
      <c r="C321" s="4" t="s">
        <v>2648</v>
      </c>
      <c r="D321" s="2"/>
      <c r="E321" s="26">
        <v>44495</v>
      </c>
      <c r="F321" s="60">
        <f t="shared" si="13"/>
        <v>44509</v>
      </c>
      <c r="G321" s="60"/>
      <c r="H321" s="41" t="s">
        <v>379</v>
      </c>
      <c r="I321" s="1" t="s">
        <v>2649</v>
      </c>
      <c r="J321" s="1" t="s">
        <v>873</v>
      </c>
      <c r="K321" s="1" t="s">
        <v>31</v>
      </c>
      <c r="L321" s="1"/>
      <c r="M321" s="1" t="s">
        <v>32</v>
      </c>
      <c r="N321" s="1" t="s">
        <v>1227</v>
      </c>
      <c r="O321" s="1" t="s">
        <v>2650</v>
      </c>
      <c r="P321" s="1" t="s">
        <v>2651</v>
      </c>
      <c r="Q321" s="1"/>
      <c r="R321" s="1" t="s">
        <v>364</v>
      </c>
      <c r="T321" s="1" t="s">
        <v>1276</v>
      </c>
      <c r="U321" s="1" t="s">
        <v>1277</v>
      </c>
      <c r="V321" s="1" t="s">
        <v>1278</v>
      </c>
      <c r="W321" s="1" t="s">
        <v>1279</v>
      </c>
    </row>
    <row r="322" spans="1:26" s="4" customFormat="1" ht="15" customHeight="1">
      <c r="A322" s="4" t="s">
        <v>1256</v>
      </c>
      <c r="B322" s="29" t="s">
        <v>2652</v>
      </c>
      <c r="C322" s="29" t="s">
        <v>2653</v>
      </c>
      <c r="D322" s="1"/>
      <c r="E322" s="26">
        <v>44124</v>
      </c>
      <c r="F322" s="2">
        <f t="shared" si="13"/>
        <v>44138</v>
      </c>
      <c r="G322" s="1" t="s">
        <v>364</v>
      </c>
      <c r="H322" s="1">
        <v>1650</v>
      </c>
      <c r="I322" s="1" t="s">
        <v>2654</v>
      </c>
      <c r="J322" s="1" t="s">
        <v>873</v>
      </c>
      <c r="K322" s="1" t="s">
        <v>31</v>
      </c>
      <c r="L322" s="1" t="s">
        <v>1273</v>
      </c>
      <c r="M322" s="1" t="s">
        <v>32</v>
      </c>
      <c r="N322" s="1" t="s">
        <v>1227</v>
      </c>
      <c r="O322" s="1" t="s">
        <v>2655</v>
      </c>
      <c r="P322" s="1" t="s">
        <v>2656</v>
      </c>
      <c r="Q322" s="1"/>
      <c r="R322" s="1" t="s">
        <v>364</v>
      </c>
      <c r="S322" s="1"/>
      <c r="T322" s="1" t="s">
        <v>1276</v>
      </c>
      <c r="U322" s="1" t="s">
        <v>1277</v>
      </c>
      <c r="V322" s="1" t="s">
        <v>2657</v>
      </c>
      <c r="W322" s="1" t="s">
        <v>1279</v>
      </c>
    </row>
    <row r="323" spans="1:26" s="4" customFormat="1" ht="15" customHeight="1">
      <c r="A323" s="92" t="s">
        <v>25</v>
      </c>
      <c r="B323" s="15" t="s">
        <v>2658</v>
      </c>
      <c r="C323" s="65" t="s">
        <v>2659</v>
      </c>
      <c r="D323" s="2"/>
      <c r="E323" s="26">
        <v>44518</v>
      </c>
      <c r="F323" s="2">
        <f t="shared" si="13"/>
        <v>44532</v>
      </c>
      <c r="G323" s="2"/>
      <c r="H323" s="1">
        <v>63</v>
      </c>
      <c r="I323" s="1" t="s">
        <v>2660</v>
      </c>
      <c r="J323" s="1" t="s">
        <v>63</v>
      </c>
      <c r="K323" s="1" t="s">
        <v>31</v>
      </c>
      <c r="L323" s="1">
        <v>85210</v>
      </c>
      <c r="M323" s="1" t="s">
        <v>32</v>
      </c>
      <c r="N323" s="1" t="s">
        <v>1227</v>
      </c>
      <c r="O323" s="1" t="s">
        <v>2661</v>
      </c>
      <c r="P323" s="1" t="s">
        <v>2662</v>
      </c>
      <c r="Q323" s="87" t="s">
        <v>2663</v>
      </c>
      <c r="R323" s="1">
        <v>82449</v>
      </c>
      <c r="V323" s="4" t="s">
        <v>36</v>
      </c>
      <c r="W323" s="4" t="s">
        <v>1277</v>
      </c>
      <c r="X323" s="1" t="s">
        <v>59</v>
      </c>
      <c r="Y323" s="15" t="s">
        <v>1330</v>
      </c>
    </row>
    <row r="324" spans="1:26" s="4" customFormat="1" ht="15" customHeight="1">
      <c r="A324" s="4" t="s">
        <v>1266</v>
      </c>
      <c r="B324" s="29" t="s">
        <v>2664</v>
      </c>
      <c r="C324" s="29" t="s">
        <v>2665</v>
      </c>
      <c r="D324" s="1"/>
      <c r="E324" s="26">
        <v>44090</v>
      </c>
      <c r="F324" s="2">
        <f t="shared" si="13"/>
        <v>44104</v>
      </c>
      <c r="G324" s="1" t="s">
        <v>364</v>
      </c>
      <c r="H324" s="1">
        <v>1201</v>
      </c>
      <c r="I324" s="1" t="s">
        <v>414</v>
      </c>
      <c r="J324" s="1" t="s">
        <v>415</v>
      </c>
      <c r="K324" s="1" t="s">
        <v>31</v>
      </c>
      <c r="L324" s="1">
        <v>85281</v>
      </c>
      <c r="M324" s="1" t="s">
        <v>32</v>
      </c>
      <c r="N324" s="1" t="s">
        <v>1227</v>
      </c>
      <c r="O324" s="1" t="s">
        <v>2666</v>
      </c>
      <c r="P324" s="1" t="s">
        <v>2667</v>
      </c>
      <c r="Q324" s="1"/>
      <c r="R324" s="1">
        <v>72736</v>
      </c>
      <c r="S324" s="1"/>
      <c r="T324" s="1" t="s">
        <v>1276</v>
      </c>
      <c r="U324" s="1" t="s">
        <v>1277</v>
      </c>
      <c r="V324" s="1" t="s">
        <v>1278</v>
      </c>
      <c r="W324" s="1" t="s">
        <v>1279</v>
      </c>
    </row>
    <row r="325" spans="1:26">
      <c r="A325" s="188" t="s">
        <v>25</v>
      </c>
      <c r="B325" s="192" t="s">
        <v>276</v>
      </c>
      <c r="C325" t="s">
        <v>2668</v>
      </c>
      <c r="D325" s="197"/>
      <c r="E325" s="200">
        <v>44491</v>
      </c>
      <c r="F325" s="197">
        <f t="shared" si="13"/>
        <v>44505</v>
      </c>
      <c r="G325" s="197" t="s">
        <v>364</v>
      </c>
      <c r="H325" s="206">
        <v>28777</v>
      </c>
      <c r="I325" s="25" t="s">
        <v>2669</v>
      </c>
      <c r="J325" s="25" t="s">
        <v>398</v>
      </c>
      <c r="K325" s="25" t="s">
        <v>31</v>
      </c>
      <c r="L325" s="25">
        <v>85262</v>
      </c>
      <c r="M325" s="1" t="s">
        <v>32</v>
      </c>
      <c r="N325" s="1" t="s">
        <v>1227</v>
      </c>
      <c r="O325" s="25" t="s">
        <v>2670</v>
      </c>
      <c r="P325" s="25" t="s">
        <v>2671</v>
      </c>
      <c r="Q325" s="98" t="s">
        <v>2672</v>
      </c>
      <c r="R325" s="221">
        <v>83835</v>
      </c>
      <c r="S325" s="25"/>
      <c r="T325" s="25" t="s">
        <v>1276</v>
      </c>
      <c r="U325" s="25" t="s">
        <v>1277</v>
      </c>
      <c r="V325" s="25" t="s">
        <v>2673</v>
      </c>
      <c r="W325" s="25" t="s">
        <v>1279</v>
      </c>
    </row>
    <row r="326" spans="1:26" s="4" customFormat="1" ht="15" customHeight="1">
      <c r="A326" s="4" t="s">
        <v>1266</v>
      </c>
      <c r="B326" s="68" t="s">
        <v>2674</v>
      </c>
      <c r="C326" s="47" t="s">
        <v>2675</v>
      </c>
      <c r="D326" s="46"/>
      <c r="E326" s="138">
        <v>44152</v>
      </c>
      <c r="F326" s="71">
        <f t="shared" si="13"/>
        <v>44166</v>
      </c>
      <c r="G326" s="66" t="s">
        <v>364</v>
      </c>
      <c r="H326" s="66">
        <v>331</v>
      </c>
      <c r="I326" s="33" t="s">
        <v>2676</v>
      </c>
      <c r="J326" s="46" t="s">
        <v>69</v>
      </c>
      <c r="K326" s="33" t="s">
        <v>31</v>
      </c>
      <c r="L326" s="67">
        <v>85225</v>
      </c>
      <c r="M326" s="1" t="s">
        <v>32</v>
      </c>
      <c r="N326" s="1" t="s">
        <v>1227</v>
      </c>
      <c r="O326" s="46" t="s">
        <v>2677</v>
      </c>
      <c r="P326" s="46" t="s">
        <v>2678</v>
      </c>
      <c r="Q326" s="25"/>
      <c r="R326" s="25"/>
      <c r="T326" s="1" t="s">
        <v>1264</v>
      </c>
      <c r="U326" s="1" t="s">
        <v>1253</v>
      </c>
      <c r="V326" s="4" t="s">
        <v>616</v>
      </c>
      <c r="W326" s="4" t="s">
        <v>1265</v>
      </c>
    </row>
    <row r="327" spans="1:26" s="4" customFormat="1">
      <c r="A327" s="4" t="s">
        <v>1266</v>
      </c>
      <c r="B327" s="4" t="s">
        <v>2679</v>
      </c>
      <c r="C327" s="4" t="s">
        <v>2680</v>
      </c>
      <c r="D327" s="1"/>
      <c r="E327" s="26">
        <v>43808</v>
      </c>
      <c r="F327" s="2">
        <f t="shared" si="13"/>
        <v>43822</v>
      </c>
      <c r="G327" s="1" t="s">
        <v>364</v>
      </c>
      <c r="H327" s="1">
        <v>1515</v>
      </c>
      <c r="I327" s="1" t="s">
        <v>1477</v>
      </c>
      <c r="J327" s="33" t="s">
        <v>69</v>
      </c>
      <c r="K327" s="33" t="s">
        <v>31</v>
      </c>
      <c r="L327" s="33" t="s">
        <v>347</v>
      </c>
      <c r="M327" s="1" t="s">
        <v>32</v>
      </c>
      <c r="N327" s="1" t="s">
        <v>1227</v>
      </c>
      <c r="O327" s="33" t="s">
        <v>2681</v>
      </c>
      <c r="P327" s="11" t="s">
        <v>2682</v>
      </c>
      <c r="Q327" s="37"/>
      <c r="R327" s="37">
        <v>73294</v>
      </c>
      <c r="T327" s="1" t="s">
        <v>1264</v>
      </c>
      <c r="U327" s="1" t="s">
        <v>1253</v>
      </c>
      <c r="V327" s="4" t="s">
        <v>616</v>
      </c>
      <c r="W327" s="4" t="s">
        <v>1265</v>
      </c>
    </row>
    <row r="328" spans="1:26" s="4" customFormat="1" ht="15" customHeight="1">
      <c r="A328" s="4" t="s">
        <v>1266</v>
      </c>
      <c r="B328" s="4" t="s">
        <v>2683</v>
      </c>
      <c r="C328" s="29" t="s">
        <v>2684</v>
      </c>
      <c r="D328" s="1"/>
      <c r="E328" s="26">
        <v>44138</v>
      </c>
      <c r="F328" s="2">
        <f t="shared" si="13"/>
        <v>44152</v>
      </c>
      <c r="G328" s="1" t="s">
        <v>364</v>
      </c>
      <c r="H328" s="1">
        <v>3215</v>
      </c>
      <c r="I328" s="1" t="s">
        <v>1860</v>
      </c>
      <c r="J328" s="1" t="s">
        <v>49</v>
      </c>
      <c r="K328" s="33" t="s">
        <v>31</v>
      </c>
      <c r="L328" s="1">
        <v>85295</v>
      </c>
      <c r="M328" s="1" t="s">
        <v>32</v>
      </c>
      <c r="N328" s="1" t="s">
        <v>1227</v>
      </c>
      <c r="O328" s="1" t="s">
        <v>2685</v>
      </c>
      <c r="P328" s="1" t="s">
        <v>2686</v>
      </c>
      <c r="Q328" s="1"/>
      <c r="R328" s="1" t="s">
        <v>364</v>
      </c>
      <c r="S328" s="1"/>
      <c r="T328" s="1" t="s">
        <v>1276</v>
      </c>
      <c r="U328" s="1" t="s">
        <v>1277</v>
      </c>
      <c r="V328" s="1" t="s">
        <v>1278</v>
      </c>
      <c r="W328" s="1" t="s">
        <v>1279</v>
      </c>
    </row>
    <row r="329" spans="1:26" s="4" customFormat="1" ht="15" customHeight="1">
      <c r="A329" s="164" t="s">
        <v>1240</v>
      </c>
      <c r="B329" s="29" t="s">
        <v>2687</v>
      </c>
      <c r="C329" s="4" t="s">
        <v>2688</v>
      </c>
      <c r="D329" s="130"/>
      <c r="E329" s="2">
        <v>44847</v>
      </c>
      <c r="F329" s="2">
        <f t="shared" si="13"/>
        <v>44861</v>
      </c>
      <c r="G329" s="2"/>
      <c r="H329" s="41">
        <v>3560</v>
      </c>
      <c r="I329" s="15" t="s">
        <v>2689</v>
      </c>
      <c r="J329" s="1" t="s">
        <v>1348</v>
      </c>
      <c r="K329" s="1" t="s">
        <v>31</v>
      </c>
      <c r="L329" s="1">
        <v>85310</v>
      </c>
      <c r="M329" s="1" t="s">
        <v>32</v>
      </c>
      <c r="O329" s="1" t="s">
        <v>2690</v>
      </c>
      <c r="P329" s="1" t="s">
        <v>2691</v>
      </c>
      <c r="Q329" s="87" t="s">
        <v>2692</v>
      </c>
      <c r="R329" s="174"/>
      <c r="V329" s="4" t="s">
        <v>443</v>
      </c>
      <c r="W329" s="4" t="s">
        <v>37</v>
      </c>
      <c r="X329" s="4" t="s">
        <v>616</v>
      </c>
      <c r="Y329" s="167" t="s">
        <v>1247</v>
      </c>
      <c r="Z329" s="168"/>
    </row>
    <row r="330" spans="1:26" s="4" customFormat="1" ht="15" customHeight="1">
      <c r="A330" s="4" t="s">
        <v>1266</v>
      </c>
      <c r="B330" s="29" t="s">
        <v>2693</v>
      </c>
      <c r="C330" s="29" t="s">
        <v>2694</v>
      </c>
      <c r="D330" s="1"/>
      <c r="E330" s="26">
        <v>44049</v>
      </c>
      <c r="F330" s="2">
        <f t="shared" si="13"/>
        <v>44063</v>
      </c>
      <c r="G330" s="1" t="s">
        <v>364</v>
      </c>
      <c r="H330" s="1">
        <v>2800</v>
      </c>
      <c r="I330" s="1" t="s">
        <v>2695</v>
      </c>
      <c r="J330" s="1" t="s">
        <v>2696</v>
      </c>
      <c r="K330" s="33" t="s">
        <v>31</v>
      </c>
      <c r="L330" s="1">
        <v>85086</v>
      </c>
      <c r="M330" s="1" t="s">
        <v>32</v>
      </c>
      <c r="N330" s="1" t="s">
        <v>1227</v>
      </c>
      <c r="O330" s="1" t="s">
        <v>2697</v>
      </c>
      <c r="P330" s="1" t="s">
        <v>2698</v>
      </c>
      <c r="Q330" s="1"/>
      <c r="R330" s="1"/>
      <c r="T330" s="1" t="s">
        <v>1264</v>
      </c>
      <c r="U330" s="1" t="s">
        <v>1253</v>
      </c>
      <c r="V330" s="4" t="s">
        <v>616</v>
      </c>
      <c r="W330" s="4" t="s">
        <v>1265</v>
      </c>
    </row>
    <row r="331" spans="1:26" s="4" customFormat="1" ht="15" customHeight="1">
      <c r="A331" s="4" t="s">
        <v>1393</v>
      </c>
      <c r="B331" s="29" t="s">
        <v>2693</v>
      </c>
      <c r="C331" s="29" t="s">
        <v>2699</v>
      </c>
      <c r="D331" s="1"/>
      <c r="E331" s="139">
        <v>44427</v>
      </c>
      <c r="F331" s="2">
        <f t="shared" si="13"/>
        <v>44441</v>
      </c>
      <c r="G331" s="1" t="s">
        <v>364</v>
      </c>
      <c r="H331" s="1">
        <v>2800</v>
      </c>
      <c r="I331" s="1" t="s">
        <v>2695</v>
      </c>
      <c r="J331" s="1" t="s">
        <v>2696</v>
      </c>
      <c r="K331" s="33" t="s">
        <v>31</v>
      </c>
      <c r="L331" s="1">
        <v>85253</v>
      </c>
      <c r="M331" s="1" t="s">
        <v>32</v>
      </c>
      <c r="N331" s="1" t="s">
        <v>1227</v>
      </c>
      <c r="O331" s="1" t="s">
        <v>2697</v>
      </c>
      <c r="P331" s="1" t="s">
        <v>2698</v>
      </c>
      <c r="Q331" s="1"/>
      <c r="R331" s="1">
        <v>73017</v>
      </c>
      <c r="T331" s="1" t="s">
        <v>1276</v>
      </c>
      <c r="U331" s="1" t="s">
        <v>1277</v>
      </c>
      <c r="V331" s="1" t="s">
        <v>2551</v>
      </c>
      <c r="W331" s="1" t="s">
        <v>1279</v>
      </c>
    </row>
    <row r="332" spans="1:26" s="4" customFormat="1" ht="15" customHeight="1">
      <c r="A332" s="4" t="s">
        <v>1266</v>
      </c>
      <c r="B332" s="4" t="s">
        <v>2700</v>
      </c>
      <c r="C332" s="29" t="s">
        <v>2701</v>
      </c>
      <c r="D332" s="1"/>
      <c r="E332" s="26">
        <v>44243</v>
      </c>
      <c r="F332" s="2">
        <f t="shared" si="13"/>
        <v>44257</v>
      </c>
      <c r="G332" s="1" t="s">
        <v>364</v>
      </c>
      <c r="H332" s="1" t="s">
        <v>2702</v>
      </c>
      <c r="I332" s="1" t="s">
        <v>2702</v>
      </c>
      <c r="J332" s="1" t="s">
        <v>49</v>
      </c>
      <c r="K332" s="33" t="s">
        <v>31</v>
      </c>
      <c r="L332" s="1"/>
      <c r="M332" s="1" t="s">
        <v>32</v>
      </c>
      <c r="N332" s="1" t="s">
        <v>1227</v>
      </c>
      <c r="O332" s="1" t="s">
        <v>2703</v>
      </c>
      <c r="P332" s="1" t="s">
        <v>2704</v>
      </c>
      <c r="Q332" s="1"/>
      <c r="R332" s="1" t="s">
        <v>364</v>
      </c>
      <c r="T332" s="1" t="s">
        <v>1276</v>
      </c>
      <c r="U332" s="1" t="s">
        <v>1277</v>
      </c>
      <c r="V332" s="1" t="s">
        <v>2503</v>
      </c>
      <c r="W332" s="1" t="s">
        <v>1279</v>
      </c>
    </row>
    <row r="333" spans="1:26" s="4" customFormat="1" ht="18.75" customHeight="1">
      <c r="A333" s="4" t="s">
        <v>1280</v>
      </c>
      <c r="B333" s="4" t="s">
        <v>282</v>
      </c>
      <c r="C333" s="4" t="s">
        <v>2705</v>
      </c>
      <c r="D333" s="1"/>
      <c r="E333" s="26">
        <v>43755</v>
      </c>
      <c r="F333" s="2">
        <f t="shared" si="13"/>
        <v>43769</v>
      </c>
      <c r="G333" s="1" t="s">
        <v>364</v>
      </c>
      <c r="H333" s="1">
        <v>1025</v>
      </c>
      <c r="I333" s="1" t="s">
        <v>2706</v>
      </c>
      <c r="J333" s="33" t="s">
        <v>873</v>
      </c>
      <c r="K333" s="33" t="s">
        <v>31</v>
      </c>
      <c r="L333" s="33" t="s">
        <v>2707</v>
      </c>
      <c r="M333" s="1" t="s">
        <v>32</v>
      </c>
      <c r="N333" s="1" t="s">
        <v>1227</v>
      </c>
      <c r="O333" s="33" t="s">
        <v>2708</v>
      </c>
      <c r="P333" s="11" t="s">
        <v>2709</v>
      </c>
      <c r="Q333" s="52"/>
      <c r="R333" s="37">
        <v>71626</v>
      </c>
      <c r="T333" s="1" t="s">
        <v>1276</v>
      </c>
      <c r="U333" s="1" t="s">
        <v>1277</v>
      </c>
      <c r="V333" s="1" t="s">
        <v>1278</v>
      </c>
      <c r="W333" s="1" t="s">
        <v>1279</v>
      </c>
    </row>
    <row r="334" spans="1:26" s="4" customFormat="1">
      <c r="A334" s="4" t="s">
        <v>1266</v>
      </c>
      <c r="B334" s="4" t="s">
        <v>282</v>
      </c>
      <c r="C334" s="4" t="s">
        <v>2710</v>
      </c>
      <c r="D334" s="1"/>
      <c r="E334" s="26">
        <v>43781</v>
      </c>
      <c r="F334" s="2">
        <f t="shared" si="13"/>
        <v>43795</v>
      </c>
      <c r="G334" s="1" t="s">
        <v>364</v>
      </c>
      <c r="H334" s="1">
        <v>2100</v>
      </c>
      <c r="I334" s="1" t="s">
        <v>1438</v>
      </c>
      <c r="J334" s="33" t="s">
        <v>49</v>
      </c>
      <c r="K334" s="33" t="s">
        <v>31</v>
      </c>
      <c r="L334" s="33" t="s">
        <v>2711</v>
      </c>
      <c r="M334" s="1" t="s">
        <v>32</v>
      </c>
      <c r="N334" s="1" t="s">
        <v>1227</v>
      </c>
      <c r="O334" s="33" t="s">
        <v>2712</v>
      </c>
      <c r="P334" s="11" t="s">
        <v>2713</v>
      </c>
      <c r="Q334" s="52"/>
      <c r="R334" s="37">
        <v>73365</v>
      </c>
      <c r="S334" s="1">
        <v>15</v>
      </c>
      <c r="T334" s="1" t="s">
        <v>1276</v>
      </c>
      <c r="U334" s="1" t="s">
        <v>1277</v>
      </c>
      <c r="V334" s="1" t="s">
        <v>2551</v>
      </c>
      <c r="W334" s="1" t="s">
        <v>1279</v>
      </c>
    </row>
    <row r="335" spans="1:26" s="1" customFormat="1" ht="15" customHeight="1">
      <c r="A335" s="122" t="s">
        <v>1256</v>
      </c>
      <c r="B335" s="70" t="s">
        <v>2714</v>
      </c>
      <c r="C335" s="56" t="s">
        <v>2715</v>
      </c>
      <c r="D335" s="60"/>
      <c r="E335" s="26">
        <v>44456</v>
      </c>
      <c r="F335" s="2">
        <f t="shared" si="13"/>
        <v>44470</v>
      </c>
      <c r="G335" s="54" t="s">
        <v>364</v>
      </c>
      <c r="H335" s="54" t="s">
        <v>43</v>
      </c>
      <c r="I335" s="55" t="s">
        <v>2716</v>
      </c>
      <c r="J335" s="55" t="s">
        <v>837</v>
      </c>
      <c r="K335" s="33" t="s">
        <v>31</v>
      </c>
      <c r="L335" s="55"/>
      <c r="M335" s="1" t="s">
        <v>32</v>
      </c>
      <c r="N335" s="1" t="s">
        <v>1227</v>
      </c>
      <c r="O335" s="55" t="s">
        <v>2717</v>
      </c>
      <c r="P335" s="55" t="s">
        <v>2718</v>
      </c>
      <c r="Q335" s="218"/>
      <c r="R335" s="55"/>
      <c r="T335" s="1" t="s">
        <v>1264</v>
      </c>
      <c r="U335" s="1" t="s">
        <v>1253</v>
      </c>
      <c r="V335" s="4" t="s">
        <v>616</v>
      </c>
      <c r="W335" s="4" t="s">
        <v>1265</v>
      </c>
      <c r="X335" s="4"/>
      <c r="Y335" s="4"/>
      <c r="Z335" s="4"/>
    </row>
    <row r="336" spans="1:26" s="4" customFormat="1">
      <c r="A336" s="4" t="s">
        <v>1224</v>
      </c>
      <c r="B336" s="29" t="s">
        <v>2719</v>
      </c>
      <c r="C336" s="29" t="s">
        <v>2720</v>
      </c>
      <c r="D336" s="1"/>
      <c r="E336" s="26">
        <v>43956</v>
      </c>
      <c r="F336" s="2">
        <f t="shared" si="13"/>
        <v>43970</v>
      </c>
      <c r="G336" s="1" t="s">
        <v>364</v>
      </c>
      <c r="H336" s="1">
        <v>4965</v>
      </c>
      <c r="I336" s="1" t="s">
        <v>2721</v>
      </c>
      <c r="J336" s="1" t="s">
        <v>916</v>
      </c>
      <c r="K336" s="33" t="s">
        <v>31</v>
      </c>
      <c r="L336" s="1">
        <v>85757</v>
      </c>
      <c r="M336" s="1" t="s">
        <v>32</v>
      </c>
      <c r="N336" s="1" t="s">
        <v>1227</v>
      </c>
      <c r="O336" s="1"/>
      <c r="P336" s="1"/>
      <c r="Q336" s="1"/>
      <c r="R336" s="1" t="s">
        <v>364</v>
      </c>
      <c r="S336" s="51"/>
      <c r="T336" s="1" t="s">
        <v>1276</v>
      </c>
      <c r="U336" s="1" t="s">
        <v>1277</v>
      </c>
      <c r="V336" s="1" t="s">
        <v>2551</v>
      </c>
      <c r="W336" s="1" t="s">
        <v>1279</v>
      </c>
    </row>
    <row r="337" spans="1:26" s="4" customFormat="1">
      <c r="A337" s="93" t="s">
        <v>1256</v>
      </c>
      <c r="B337" s="29" t="s">
        <v>2722</v>
      </c>
      <c r="C337" s="4" t="s">
        <v>2723</v>
      </c>
      <c r="D337" s="2"/>
      <c r="E337" s="26">
        <v>44705</v>
      </c>
      <c r="F337" s="60">
        <f t="shared" si="13"/>
        <v>44719</v>
      </c>
      <c r="G337" s="60"/>
      <c r="H337" s="41"/>
      <c r="I337" s="1" t="s">
        <v>2724</v>
      </c>
      <c r="J337" s="1" t="s">
        <v>2725</v>
      </c>
      <c r="K337" s="1" t="s">
        <v>31</v>
      </c>
      <c r="L337" s="1"/>
      <c r="M337" s="1" t="s">
        <v>32</v>
      </c>
      <c r="O337" s="1" t="s">
        <v>2726</v>
      </c>
      <c r="P337" s="1" t="s">
        <v>2727</v>
      </c>
      <c r="Q337" s="87" t="s">
        <v>2728</v>
      </c>
      <c r="R337" s="31">
        <v>87516</v>
      </c>
      <c r="V337" s="4" t="s">
        <v>1264</v>
      </c>
      <c r="W337" s="4" t="s">
        <v>1253</v>
      </c>
      <c r="X337" s="4" t="s">
        <v>616</v>
      </c>
      <c r="Y337" s="15" t="s">
        <v>1265</v>
      </c>
    </row>
    <row r="338" spans="1:26" s="4" customFormat="1" ht="15" customHeight="1">
      <c r="A338" s="4" t="s">
        <v>1266</v>
      </c>
      <c r="B338" s="4" t="s">
        <v>2729</v>
      </c>
      <c r="C338" s="4" t="s">
        <v>2730</v>
      </c>
      <c r="D338" s="1"/>
      <c r="E338" s="140">
        <v>43669</v>
      </c>
      <c r="F338" s="2">
        <f t="shared" si="13"/>
        <v>43683</v>
      </c>
      <c r="G338" s="1" t="s">
        <v>364</v>
      </c>
      <c r="H338" s="1">
        <v>8612</v>
      </c>
      <c r="I338" s="33" t="s">
        <v>1917</v>
      </c>
      <c r="J338" s="33" t="s">
        <v>398</v>
      </c>
      <c r="K338" s="33" t="s">
        <v>31</v>
      </c>
      <c r="L338" s="33" t="s">
        <v>2731</v>
      </c>
      <c r="M338" s="1" t="s">
        <v>32</v>
      </c>
      <c r="N338" s="1" t="s">
        <v>1227</v>
      </c>
      <c r="O338" s="33" t="s">
        <v>2732</v>
      </c>
      <c r="P338" s="38" t="s">
        <v>2733</v>
      </c>
      <c r="Q338" s="52"/>
      <c r="R338" s="11">
        <v>74865</v>
      </c>
      <c r="T338" s="1" t="s">
        <v>1264</v>
      </c>
      <c r="U338" s="1" t="s">
        <v>1253</v>
      </c>
      <c r="V338" s="4" t="s">
        <v>616</v>
      </c>
      <c r="W338" s="4" t="s">
        <v>1265</v>
      </c>
    </row>
    <row r="339" spans="1:26" s="4" customFormat="1">
      <c r="A339" s="4" t="s">
        <v>2734</v>
      </c>
      <c r="B339" s="4" t="s">
        <v>2735</v>
      </c>
      <c r="C339" s="26" t="s">
        <v>364</v>
      </c>
      <c r="D339" s="2" t="s">
        <v>364</v>
      </c>
      <c r="E339" s="26">
        <v>43643</v>
      </c>
      <c r="F339" s="2">
        <f t="shared" si="13"/>
        <v>43657</v>
      </c>
      <c r="G339" s="33" t="s">
        <v>364</v>
      </c>
      <c r="H339" s="1">
        <v>709</v>
      </c>
      <c r="I339" s="33" t="s">
        <v>2736</v>
      </c>
      <c r="J339" s="33" t="s">
        <v>916</v>
      </c>
      <c r="K339" s="33" t="s">
        <v>31</v>
      </c>
      <c r="L339" s="1">
        <v>85713</v>
      </c>
      <c r="M339" s="1" t="s">
        <v>32</v>
      </c>
      <c r="N339" s="1" t="s">
        <v>1227</v>
      </c>
      <c r="O339" s="33" t="s">
        <v>2737</v>
      </c>
      <c r="P339" s="38" t="s">
        <v>2738</v>
      </c>
      <c r="Q339" s="11"/>
      <c r="R339" s="11">
        <v>74424</v>
      </c>
      <c r="T339" s="1" t="s">
        <v>1264</v>
      </c>
      <c r="U339" s="1" t="s">
        <v>1253</v>
      </c>
      <c r="V339" s="4" t="s">
        <v>616</v>
      </c>
      <c r="W339" s="4" t="s">
        <v>1265</v>
      </c>
    </row>
    <row r="340" spans="1:26" s="4" customFormat="1" ht="15" customHeight="1">
      <c r="A340" s="4" t="s">
        <v>1280</v>
      </c>
      <c r="B340" s="29" t="s">
        <v>2739</v>
      </c>
      <c r="C340" s="29" t="s">
        <v>2740</v>
      </c>
      <c r="D340" s="1"/>
      <c r="E340" s="138">
        <v>43966</v>
      </c>
      <c r="F340" s="2">
        <f t="shared" si="13"/>
        <v>43980</v>
      </c>
      <c r="G340" s="1" t="s">
        <v>364</v>
      </c>
      <c r="H340" s="1">
        <v>7271</v>
      </c>
      <c r="I340" s="1" t="s">
        <v>2741</v>
      </c>
      <c r="J340" s="1" t="s">
        <v>822</v>
      </c>
      <c r="K340" s="33" t="s">
        <v>31</v>
      </c>
      <c r="L340" s="1" t="s">
        <v>2493</v>
      </c>
      <c r="M340" s="1" t="s">
        <v>32</v>
      </c>
      <c r="N340" s="1" t="s">
        <v>1227</v>
      </c>
      <c r="O340" s="1" t="s">
        <v>2742</v>
      </c>
      <c r="P340" s="1" t="s">
        <v>2743</v>
      </c>
      <c r="Q340" s="1"/>
      <c r="R340" s="1">
        <v>76478</v>
      </c>
      <c r="T340" s="1" t="s">
        <v>1276</v>
      </c>
      <c r="U340" s="1" t="s">
        <v>1277</v>
      </c>
      <c r="V340" s="1" t="s">
        <v>2503</v>
      </c>
      <c r="W340" s="1" t="s">
        <v>1279</v>
      </c>
    </row>
    <row r="341" spans="1:26" s="4" customFormat="1" ht="15" customHeight="1">
      <c r="A341" s="4" t="s">
        <v>1280</v>
      </c>
      <c r="B341" s="4" t="s">
        <v>2744</v>
      </c>
      <c r="C341" s="4" t="s">
        <v>2745</v>
      </c>
      <c r="D341" s="1"/>
      <c r="E341" s="26">
        <v>43698</v>
      </c>
      <c r="F341" s="2">
        <f t="shared" si="13"/>
        <v>43712</v>
      </c>
      <c r="G341" s="1" t="s">
        <v>364</v>
      </c>
      <c r="H341" s="1">
        <v>4950</v>
      </c>
      <c r="I341" s="1" t="s">
        <v>709</v>
      </c>
      <c r="J341" s="33" t="s">
        <v>434</v>
      </c>
      <c r="K341" s="33" t="s">
        <v>31</v>
      </c>
      <c r="L341" s="33" t="s">
        <v>2089</v>
      </c>
      <c r="M341" s="1" t="s">
        <v>32</v>
      </c>
      <c r="N341" s="1" t="s">
        <v>1227</v>
      </c>
      <c r="O341" s="33" t="s">
        <v>2746</v>
      </c>
      <c r="P341" s="11" t="s">
        <v>2747</v>
      </c>
      <c r="Q341" s="52"/>
      <c r="R341" s="11">
        <v>75630</v>
      </c>
      <c r="T341" s="1" t="s">
        <v>1276</v>
      </c>
      <c r="U341" s="1" t="s">
        <v>1277</v>
      </c>
      <c r="V341" s="1" t="s">
        <v>1278</v>
      </c>
      <c r="W341" s="1" t="s">
        <v>1279</v>
      </c>
    </row>
    <row r="342" spans="1:26" s="4" customFormat="1" ht="15" customHeight="1">
      <c r="A342" s="164" t="s">
        <v>1240</v>
      </c>
      <c r="B342" s="29" t="s">
        <v>2748</v>
      </c>
      <c r="C342" s="29" t="s">
        <v>2749</v>
      </c>
      <c r="D342" s="2"/>
      <c r="E342" s="2">
        <v>44834</v>
      </c>
      <c r="F342" s="2">
        <f t="shared" si="13"/>
        <v>44848</v>
      </c>
      <c r="G342" s="2"/>
      <c r="H342" s="41">
        <v>11860</v>
      </c>
      <c r="I342" s="15" t="s">
        <v>933</v>
      </c>
      <c r="J342" s="1" t="s">
        <v>837</v>
      </c>
      <c r="K342" s="1" t="s">
        <v>31</v>
      </c>
      <c r="L342" s="1">
        <v>85379</v>
      </c>
      <c r="M342" s="1" t="s">
        <v>32</v>
      </c>
      <c r="O342" s="1" t="s">
        <v>2750</v>
      </c>
      <c r="P342" s="1" t="s">
        <v>2751</v>
      </c>
      <c r="Q342" s="87" t="s">
        <v>2752</v>
      </c>
      <c r="R342" s="31">
        <v>91895</v>
      </c>
      <c r="V342" s="4" t="s">
        <v>443</v>
      </c>
      <c r="W342" s="4" t="s">
        <v>37</v>
      </c>
      <c r="X342" s="4" t="s">
        <v>616</v>
      </c>
      <c r="Y342" s="167" t="s">
        <v>1247</v>
      </c>
      <c r="Z342" s="168"/>
    </row>
    <row r="343" spans="1:26" s="4" customFormat="1" ht="15" customHeight="1">
      <c r="A343" s="4" t="s">
        <v>1256</v>
      </c>
      <c r="B343" s="29" t="s">
        <v>1096</v>
      </c>
      <c r="C343" s="29" t="s">
        <v>2753</v>
      </c>
      <c r="D343" s="1"/>
      <c r="E343" s="138">
        <v>44173</v>
      </c>
      <c r="F343" s="2">
        <f t="shared" si="13"/>
        <v>44187</v>
      </c>
      <c r="G343" s="1" t="s">
        <v>364</v>
      </c>
      <c r="H343" s="1">
        <v>1195</v>
      </c>
      <c r="I343" s="1" t="s">
        <v>2754</v>
      </c>
      <c r="J343" s="1" t="s">
        <v>873</v>
      </c>
      <c r="K343" s="33" t="s">
        <v>31</v>
      </c>
      <c r="L343" s="1">
        <v>85323</v>
      </c>
      <c r="M343" s="1" t="s">
        <v>32</v>
      </c>
      <c r="N343" s="1" t="s">
        <v>1227</v>
      </c>
      <c r="O343" s="1"/>
      <c r="P343" s="1"/>
      <c r="Q343" s="74"/>
      <c r="R343" s="74" t="s">
        <v>364</v>
      </c>
      <c r="T343" s="1" t="s">
        <v>1276</v>
      </c>
      <c r="U343" s="1" t="s">
        <v>1277</v>
      </c>
      <c r="V343" s="1" t="s">
        <v>1278</v>
      </c>
      <c r="W343" s="1" t="s">
        <v>1279</v>
      </c>
    </row>
    <row r="344" spans="1:26" s="4" customFormat="1">
      <c r="A344" s="4" t="s">
        <v>1256</v>
      </c>
      <c r="B344" s="29" t="s">
        <v>1096</v>
      </c>
      <c r="C344" s="29" t="s">
        <v>2755</v>
      </c>
      <c r="D344" s="1"/>
      <c r="E344" s="138">
        <v>44229</v>
      </c>
      <c r="F344" s="2">
        <f t="shared" si="13"/>
        <v>44243</v>
      </c>
      <c r="G344" s="1" t="s">
        <v>364</v>
      </c>
      <c r="H344" s="1">
        <v>1655</v>
      </c>
      <c r="I344" s="1" t="s">
        <v>2756</v>
      </c>
      <c r="J344" s="1" t="s">
        <v>844</v>
      </c>
      <c r="K344" s="33" t="s">
        <v>31</v>
      </c>
      <c r="L344" s="1">
        <v>85338</v>
      </c>
      <c r="M344" s="1" t="s">
        <v>32</v>
      </c>
      <c r="N344" s="1" t="s">
        <v>1227</v>
      </c>
      <c r="O344" s="1" t="s">
        <v>2757</v>
      </c>
      <c r="P344" s="1" t="s">
        <v>2758</v>
      </c>
      <c r="Q344" s="1"/>
      <c r="R344" s="1" t="s">
        <v>364</v>
      </c>
      <c r="S344" s="1"/>
      <c r="T344" s="1" t="s">
        <v>1276</v>
      </c>
      <c r="U344" s="1" t="s">
        <v>1277</v>
      </c>
      <c r="V344" s="1" t="s">
        <v>1278</v>
      </c>
      <c r="W344" s="1" t="s">
        <v>1279</v>
      </c>
    </row>
    <row r="345" spans="1:26" s="4" customFormat="1" ht="15" customHeight="1">
      <c r="A345" s="4" t="s">
        <v>1256</v>
      </c>
      <c r="B345" s="69" t="s">
        <v>1096</v>
      </c>
      <c r="C345" s="5" t="s">
        <v>2759</v>
      </c>
      <c r="D345" s="33"/>
      <c r="E345" s="26">
        <v>44358</v>
      </c>
      <c r="F345" s="2">
        <f t="shared" si="13"/>
        <v>44372</v>
      </c>
      <c r="G345" s="43" t="s">
        <v>364</v>
      </c>
      <c r="H345" s="43" t="s">
        <v>184</v>
      </c>
      <c r="I345" s="33" t="s">
        <v>2760</v>
      </c>
      <c r="J345" s="33" t="s">
        <v>822</v>
      </c>
      <c r="K345" s="33" t="s">
        <v>31</v>
      </c>
      <c r="L345" s="33"/>
      <c r="M345" s="1" t="s">
        <v>32</v>
      </c>
      <c r="N345" s="1" t="s">
        <v>1227</v>
      </c>
      <c r="O345" s="33" t="s">
        <v>2761</v>
      </c>
      <c r="P345" s="33" t="s">
        <v>2762</v>
      </c>
      <c r="Q345" s="37" t="s">
        <v>364</v>
      </c>
      <c r="R345" s="37">
        <v>81552</v>
      </c>
      <c r="T345" s="1" t="s">
        <v>1276</v>
      </c>
      <c r="U345" s="1" t="s">
        <v>1277</v>
      </c>
      <c r="V345" s="1" t="s">
        <v>2551</v>
      </c>
      <c r="W345" s="1" t="s">
        <v>1279</v>
      </c>
    </row>
    <row r="346" spans="1:26" s="4" customFormat="1">
      <c r="A346" s="122" t="s">
        <v>1256</v>
      </c>
      <c r="B346" s="69" t="s">
        <v>1096</v>
      </c>
      <c r="C346" s="5" t="s">
        <v>2763</v>
      </c>
      <c r="D346" s="59"/>
      <c r="E346" s="26">
        <v>44481</v>
      </c>
      <c r="F346" s="60">
        <f t="shared" si="13"/>
        <v>44495</v>
      </c>
      <c r="G346" s="60"/>
      <c r="H346" s="43" t="s">
        <v>2764</v>
      </c>
      <c r="I346" s="33" t="s">
        <v>364</v>
      </c>
      <c r="J346" s="33" t="s">
        <v>844</v>
      </c>
      <c r="K346" s="33" t="s">
        <v>31</v>
      </c>
      <c r="L346" s="33" t="s">
        <v>1685</v>
      </c>
      <c r="M346" s="1" t="s">
        <v>32</v>
      </c>
      <c r="N346" s="1" t="s">
        <v>1227</v>
      </c>
      <c r="O346" s="33" t="s">
        <v>2765</v>
      </c>
      <c r="P346" s="33" t="s">
        <v>2766</v>
      </c>
      <c r="Q346" s="33"/>
      <c r="R346" s="33"/>
      <c r="S346" s="1"/>
      <c r="T346" s="1" t="s">
        <v>1264</v>
      </c>
      <c r="U346" s="1" t="s">
        <v>1253</v>
      </c>
      <c r="V346" s="4" t="s">
        <v>616</v>
      </c>
      <c r="W346" s="4" t="s">
        <v>1265</v>
      </c>
    </row>
    <row r="347" spans="1:26" s="4" customFormat="1" ht="15" customHeight="1">
      <c r="A347" s="93" t="s">
        <v>1256</v>
      </c>
      <c r="B347" s="29" t="s">
        <v>1096</v>
      </c>
      <c r="C347" s="4" t="s">
        <v>2767</v>
      </c>
      <c r="D347" s="2"/>
      <c r="E347" s="26">
        <v>44631</v>
      </c>
      <c r="F347" s="2">
        <f t="shared" si="13"/>
        <v>44645</v>
      </c>
      <c r="G347" s="2"/>
      <c r="H347" s="41">
        <v>15152</v>
      </c>
      <c r="I347" s="1" t="s">
        <v>611</v>
      </c>
      <c r="J347" s="1" t="s">
        <v>1969</v>
      </c>
      <c r="K347" s="1" t="s">
        <v>31</v>
      </c>
      <c r="L347" s="1">
        <v>85340</v>
      </c>
      <c r="M347" s="1" t="s">
        <v>32</v>
      </c>
      <c r="O347" s="1" t="s">
        <v>2768</v>
      </c>
      <c r="P347" s="1" t="s">
        <v>2769</v>
      </c>
      <c r="Q347" s="82" t="s">
        <v>2770</v>
      </c>
      <c r="R347" s="31">
        <v>86139</v>
      </c>
      <c r="S347" s="47"/>
      <c r="T347" s="47"/>
      <c r="U347" s="51"/>
      <c r="V347" s="4" t="s">
        <v>1264</v>
      </c>
      <c r="W347" s="4" t="s">
        <v>1253</v>
      </c>
      <c r="X347" s="4" t="s">
        <v>616</v>
      </c>
      <c r="Y347" s="15" t="s">
        <v>1265</v>
      </c>
    </row>
    <row r="348" spans="1:26" s="4" customFormat="1" ht="15" customHeight="1">
      <c r="A348" s="164" t="s">
        <v>1240</v>
      </c>
      <c r="B348" s="15" t="s">
        <v>1096</v>
      </c>
      <c r="C348" s="29" t="s">
        <v>2771</v>
      </c>
      <c r="D348" s="2"/>
      <c r="E348" s="2">
        <v>44805</v>
      </c>
      <c r="F348" s="2">
        <f t="shared" ref="F348:F356" si="14">E348+14</f>
        <v>44819</v>
      </c>
      <c r="G348" s="2"/>
      <c r="H348" s="1">
        <v>6801</v>
      </c>
      <c r="I348" s="15" t="s">
        <v>2772</v>
      </c>
      <c r="J348" s="1" t="s">
        <v>822</v>
      </c>
      <c r="K348" s="1" t="s">
        <v>31</v>
      </c>
      <c r="L348" s="1">
        <v>85355</v>
      </c>
      <c r="M348" s="1" t="s">
        <v>32</v>
      </c>
      <c r="N348" s="4" t="s">
        <v>2773</v>
      </c>
      <c r="O348" s="1" t="s">
        <v>2774</v>
      </c>
      <c r="P348" s="1" t="s">
        <v>2775</v>
      </c>
      <c r="Q348" s="87" t="s">
        <v>2776</v>
      </c>
      <c r="R348" s="1">
        <v>88846</v>
      </c>
      <c r="V348" s="4" t="s">
        <v>443</v>
      </c>
      <c r="W348" s="4" t="s">
        <v>37</v>
      </c>
      <c r="X348" s="4" t="s">
        <v>616</v>
      </c>
      <c r="Y348" s="15" t="s">
        <v>1247</v>
      </c>
    </row>
    <row r="349" spans="1:26" s="4" customFormat="1" ht="15" customHeight="1">
      <c r="A349" s="4" t="s">
        <v>1280</v>
      </c>
      <c r="B349" s="4" t="s">
        <v>302</v>
      </c>
      <c r="C349" s="4" t="s">
        <v>2777</v>
      </c>
      <c r="D349" s="1"/>
      <c r="E349" s="26">
        <v>43816</v>
      </c>
      <c r="F349" s="2">
        <f t="shared" si="14"/>
        <v>43830</v>
      </c>
      <c r="G349" s="1" t="s">
        <v>364</v>
      </c>
      <c r="H349" s="1">
        <v>17017</v>
      </c>
      <c r="I349" s="33" t="s">
        <v>2345</v>
      </c>
      <c r="J349" s="33" t="s">
        <v>844</v>
      </c>
      <c r="K349" s="46" t="s">
        <v>31</v>
      </c>
      <c r="L349" s="33" t="s">
        <v>1431</v>
      </c>
      <c r="M349" s="1" t="s">
        <v>32</v>
      </c>
      <c r="N349" s="1" t="s">
        <v>1227</v>
      </c>
      <c r="O349" s="33" t="s">
        <v>2778</v>
      </c>
      <c r="P349" s="38" t="s">
        <v>2779</v>
      </c>
      <c r="Q349" s="52"/>
      <c r="R349" s="127">
        <v>74948</v>
      </c>
      <c r="S349" s="1"/>
      <c r="T349" s="1" t="s">
        <v>1264</v>
      </c>
      <c r="U349" s="1" t="s">
        <v>1253</v>
      </c>
      <c r="V349" s="4" t="s">
        <v>616</v>
      </c>
      <c r="W349" s="4" t="s">
        <v>1265</v>
      </c>
    </row>
    <row r="350" spans="1:26" s="4" customFormat="1" ht="15" customHeight="1">
      <c r="A350" s="4" t="s">
        <v>1266</v>
      </c>
      <c r="B350" s="68" t="s">
        <v>2780</v>
      </c>
      <c r="C350" s="47" t="s">
        <v>2781</v>
      </c>
      <c r="D350" s="46"/>
      <c r="E350" s="138">
        <v>44145</v>
      </c>
      <c r="F350" s="71">
        <f t="shared" si="14"/>
        <v>44159</v>
      </c>
      <c r="G350" s="66" t="s">
        <v>364</v>
      </c>
      <c r="H350" s="66">
        <v>3115</v>
      </c>
      <c r="I350" s="33" t="s">
        <v>2782</v>
      </c>
      <c r="J350" s="46" t="s">
        <v>63</v>
      </c>
      <c r="K350" s="46" t="s">
        <v>31</v>
      </c>
      <c r="L350" s="67">
        <v>85215</v>
      </c>
      <c r="M350" s="1" t="s">
        <v>32</v>
      </c>
      <c r="N350" s="1" t="s">
        <v>1227</v>
      </c>
      <c r="O350" s="46" t="s">
        <v>2783</v>
      </c>
      <c r="P350" s="46" t="s">
        <v>2784</v>
      </c>
      <c r="Q350" s="1"/>
      <c r="R350" s="1" t="s">
        <v>364</v>
      </c>
      <c r="S350" s="1"/>
      <c r="T350" s="1" t="s">
        <v>1276</v>
      </c>
      <c r="U350" s="1" t="s">
        <v>1277</v>
      </c>
      <c r="V350" s="1" t="s">
        <v>1278</v>
      </c>
      <c r="W350" s="1" t="s">
        <v>1279</v>
      </c>
    </row>
    <row r="351" spans="1:26" s="4" customFormat="1" ht="15" customHeight="1">
      <c r="A351" s="4" t="s">
        <v>1256</v>
      </c>
      <c r="B351" s="68" t="s">
        <v>2780</v>
      </c>
      <c r="C351" s="47" t="s">
        <v>2785</v>
      </c>
      <c r="D351" s="46"/>
      <c r="E351" s="139">
        <v>44188</v>
      </c>
      <c r="F351" s="2">
        <f t="shared" si="14"/>
        <v>44202</v>
      </c>
      <c r="G351" s="66" t="s">
        <v>364</v>
      </c>
      <c r="H351" s="66">
        <v>1111</v>
      </c>
      <c r="I351" s="33" t="s">
        <v>1443</v>
      </c>
      <c r="J351" s="46" t="s">
        <v>434</v>
      </c>
      <c r="K351" s="1" t="s">
        <v>31</v>
      </c>
      <c r="L351" s="46" t="s">
        <v>1321</v>
      </c>
      <c r="M351" s="1" t="s">
        <v>32</v>
      </c>
      <c r="N351" s="1" t="s">
        <v>1227</v>
      </c>
      <c r="O351" s="46"/>
      <c r="P351" s="50"/>
      <c r="Q351" s="199"/>
      <c r="R351" s="46"/>
      <c r="T351" s="4" t="s">
        <v>1264</v>
      </c>
      <c r="U351" s="1" t="s">
        <v>1253</v>
      </c>
      <c r="V351" s="4" t="s">
        <v>616</v>
      </c>
      <c r="W351" s="4" t="s">
        <v>1265</v>
      </c>
    </row>
    <row r="352" spans="1:26" s="4" customFormat="1" ht="15" customHeight="1">
      <c r="A352" s="4" t="s">
        <v>1256</v>
      </c>
      <c r="B352" s="29" t="s">
        <v>2780</v>
      </c>
      <c r="C352" s="29" t="s">
        <v>2786</v>
      </c>
      <c r="D352" s="1"/>
      <c r="E352" s="138">
        <v>44271</v>
      </c>
      <c r="F352" s="2">
        <f t="shared" si="14"/>
        <v>44285</v>
      </c>
      <c r="G352" s="1" t="s">
        <v>364</v>
      </c>
      <c r="H352" s="1">
        <v>2900</v>
      </c>
      <c r="I352" s="1" t="s">
        <v>2787</v>
      </c>
      <c r="J352" s="1" t="s">
        <v>844</v>
      </c>
      <c r="K352" s="1" t="s">
        <v>31</v>
      </c>
      <c r="L352" s="1" t="s">
        <v>1685</v>
      </c>
      <c r="M352" s="1" t="s">
        <v>32</v>
      </c>
      <c r="N352" s="1" t="s">
        <v>1227</v>
      </c>
      <c r="O352" s="1"/>
      <c r="P352" s="1"/>
      <c r="Q352" s="1"/>
      <c r="R352" s="1"/>
    </row>
    <row r="353" spans="1:25" s="4" customFormat="1" ht="15" customHeight="1">
      <c r="A353" s="4" t="s">
        <v>1393</v>
      </c>
      <c r="B353" s="29" t="s">
        <v>2788</v>
      </c>
      <c r="C353" s="4" t="s">
        <v>2788</v>
      </c>
      <c r="D353" s="1"/>
      <c r="E353" s="139">
        <v>44427</v>
      </c>
      <c r="F353" s="2">
        <f t="shared" si="14"/>
        <v>44441</v>
      </c>
      <c r="G353" s="41" t="s">
        <v>364</v>
      </c>
      <c r="H353" s="41">
        <v>950</v>
      </c>
      <c r="I353" s="1" t="s">
        <v>2789</v>
      </c>
      <c r="J353" s="1" t="s">
        <v>434</v>
      </c>
      <c r="K353" s="1" t="s">
        <v>31</v>
      </c>
      <c r="L353" s="1">
        <v>85024</v>
      </c>
      <c r="M353" s="1" t="s">
        <v>32</v>
      </c>
      <c r="N353" s="1" t="s">
        <v>1227</v>
      </c>
      <c r="O353" s="1" t="s">
        <v>2016</v>
      </c>
      <c r="P353" s="1" t="s">
        <v>2790</v>
      </c>
      <c r="Q353" s="31"/>
      <c r="R353" s="31" t="s">
        <v>364</v>
      </c>
      <c r="T353" s="1" t="s">
        <v>1276</v>
      </c>
      <c r="U353" s="1" t="s">
        <v>1277</v>
      </c>
      <c r="V353" s="1" t="s">
        <v>1278</v>
      </c>
      <c r="W353" s="1" t="s">
        <v>1279</v>
      </c>
    </row>
    <row r="354" spans="1:25" s="4" customFormat="1" ht="15" customHeight="1">
      <c r="A354" s="4" t="s">
        <v>1280</v>
      </c>
      <c r="B354" s="4" t="s">
        <v>2791</v>
      </c>
      <c r="C354" s="4" t="s">
        <v>2792</v>
      </c>
      <c r="D354" s="1"/>
      <c r="E354" s="26">
        <v>43782</v>
      </c>
      <c r="F354" s="2">
        <f t="shared" si="14"/>
        <v>43796</v>
      </c>
      <c r="G354" s="1" t="s">
        <v>364</v>
      </c>
      <c r="H354" s="1">
        <v>12126</v>
      </c>
      <c r="I354" s="1" t="s">
        <v>2793</v>
      </c>
      <c r="J354" s="1" t="s">
        <v>2794</v>
      </c>
      <c r="K354" s="1" t="s">
        <v>31</v>
      </c>
      <c r="L354" s="1"/>
      <c r="M354" s="1" t="s">
        <v>32</v>
      </c>
      <c r="N354" s="1" t="s">
        <v>1227</v>
      </c>
      <c r="O354" s="1" t="s">
        <v>2795</v>
      </c>
      <c r="P354" s="1" t="s">
        <v>1574</v>
      </c>
      <c r="Q354" s="1"/>
      <c r="R354" s="1" t="s">
        <v>364</v>
      </c>
      <c r="S354" s="1"/>
      <c r="T354" s="1" t="s">
        <v>1276</v>
      </c>
      <c r="U354" s="1" t="s">
        <v>1277</v>
      </c>
      <c r="V354" s="1" t="s">
        <v>1278</v>
      </c>
      <c r="W354" s="1" t="s">
        <v>1279</v>
      </c>
    </row>
    <row r="355" spans="1:25" s="4" customFormat="1" ht="15" customHeight="1">
      <c r="A355" s="4" t="s">
        <v>1280</v>
      </c>
      <c r="B355" s="29" t="s">
        <v>2796</v>
      </c>
      <c r="C355" s="29" t="s">
        <v>2797</v>
      </c>
      <c r="D355" s="1">
        <v>43773</v>
      </c>
      <c r="E355" s="26">
        <v>43972</v>
      </c>
      <c r="F355" s="2">
        <f t="shared" si="14"/>
        <v>43986</v>
      </c>
      <c r="G355" s="1" t="s">
        <v>364</v>
      </c>
      <c r="H355" s="1">
        <v>16385</v>
      </c>
      <c r="I355" s="1" t="s">
        <v>2798</v>
      </c>
      <c r="J355" s="1" t="s">
        <v>837</v>
      </c>
      <c r="K355" s="1" t="s">
        <v>31</v>
      </c>
      <c r="L355" s="1">
        <v>85388</v>
      </c>
      <c r="M355" s="1" t="s">
        <v>32</v>
      </c>
      <c r="N355" s="1" t="s">
        <v>1227</v>
      </c>
      <c r="O355" s="1" t="s">
        <v>2799</v>
      </c>
      <c r="P355" s="1" t="s">
        <v>2800</v>
      </c>
      <c r="Q355" s="25"/>
      <c r="R355" s="1"/>
      <c r="T355" s="4" t="s">
        <v>1264</v>
      </c>
      <c r="U355" s="1" t="s">
        <v>1253</v>
      </c>
      <c r="V355" s="4" t="s">
        <v>616</v>
      </c>
      <c r="W355" s="4" t="s">
        <v>1265</v>
      </c>
    </row>
    <row r="356" spans="1:25" s="4" customFormat="1" ht="15" customHeight="1">
      <c r="A356" s="93" t="s">
        <v>1240</v>
      </c>
      <c r="B356" s="29" t="s">
        <v>2801</v>
      </c>
      <c r="C356" s="4" t="s">
        <v>2802</v>
      </c>
      <c r="D356" s="130"/>
      <c r="E356" s="26">
        <v>44757</v>
      </c>
      <c r="F356" s="2">
        <f t="shared" si="14"/>
        <v>44771</v>
      </c>
      <c r="G356" s="2"/>
      <c r="H356" s="41">
        <v>9000</v>
      </c>
      <c r="I356" s="1" t="s">
        <v>1580</v>
      </c>
      <c r="J356" s="1" t="s">
        <v>851</v>
      </c>
      <c r="K356" s="1" t="s">
        <v>31</v>
      </c>
      <c r="L356" s="1">
        <v>85381</v>
      </c>
      <c r="M356" s="1" t="s">
        <v>32</v>
      </c>
      <c r="O356" s="1" t="s">
        <v>2803</v>
      </c>
      <c r="P356" s="1" t="s">
        <v>2804</v>
      </c>
      <c r="Q356" s="87" t="s">
        <v>2805</v>
      </c>
      <c r="R356" s="31">
        <v>92051</v>
      </c>
      <c r="V356" s="4" t="s">
        <v>443</v>
      </c>
      <c r="W356" s="4" t="s">
        <v>1253</v>
      </c>
      <c r="X356" s="4" t="s">
        <v>616</v>
      </c>
      <c r="Y356" s="15" t="s">
        <v>1247</v>
      </c>
    </row>
    <row r="357" spans="1:25" s="4" customFormat="1" ht="15" customHeight="1">
      <c r="A357" s="4" t="s">
        <v>2806</v>
      </c>
      <c r="B357" s="4" t="s">
        <v>323</v>
      </c>
      <c r="C357" s="4" t="s">
        <v>2807</v>
      </c>
      <c r="D357" s="2" t="s">
        <v>364</v>
      </c>
      <c r="E357" s="26">
        <v>43661</v>
      </c>
      <c r="F357" s="2">
        <v>43675</v>
      </c>
      <c r="G357" s="1" t="s">
        <v>364</v>
      </c>
      <c r="H357" s="33" t="s">
        <v>2808</v>
      </c>
      <c r="I357" s="1" t="s">
        <v>2183</v>
      </c>
      <c r="J357" s="33" t="s">
        <v>129</v>
      </c>
      <c r="K357" s="1" t="s">
        <v>31</v>
      </c>
      <c r="L357" s="33" t="s">
        <v>2809</v>
      </c>
      <c r="M357" s="1" t="s">
        <v>32</v>
      </c>
      <c r="N357" s="1" t="s">
        <v>1227</v>
      </c>
      <c r="O357" s="33" t="s">
        <v>2810</v>
      </c>
      <c r="P357" s="38" t="s">
        <v>2811</v>
      </c>
      <c r="Q357" s="213"/>
      <c r="R357" s="11">
        <v>73965</v>
      </c>
      <c r="S357" s="51"/>
      <c r="T357" s="4" t="s">
        <v>1264</v>
      </c>
      <c r="U357" s="1" t="s">
        <v>1253</v>
      </c>
      <c r="V357" s="4" t="s">
        <v>616</v>
      </c>
      <c r="W357" s="4" t="s">
        <v>1265</v>
      </c>
    </row>
    <row r="358" spans="1:25" s="4" customFormat="1" ht="16.5" customHeight="1">
      <c r="A358" s="4" t="s">
        <v>1280</v>
      </c>
      <c r="B358" s="4" t="s">
        <v>323</v>
      </c>
      <c r="C358" s="4" t="s">
        <v>2812</v>
      </c>
      <c r="D358" s="1"/>
      <c r="E358" s="26">
        <v>43664</v>
      </c>
      <c r="F358" s="2">
        <f>E358+14</f>
        <v>43678</v>
      </c>
      <c r="G358" s="1" t="s">
        <v>364</v>
      </c>
      <c r="H358" s="1">
        <v>23800</v>
      </c>
      <c r="I358" s="33" t="s">
        <v>2813</v>
      </c>
      <c r="J358" s="33" t="s">
        <v>434</v>
      </c>
      <c r="K358" s="1" t="s">
        <v>31</v>
      </c>
      <c r="L358" s="33" t="s">
        <v>802</v>
      </c>
      <c r="M358" s="1" t="s">
        <v>32</v>
      </c>
      <c r="N358" s="1" t="s">
        <v>1227</v>
      </c>
      <c r="O358" s="33" t="s">
        <v>2814</v>
      </c>
      <c r="P358" s="38" t="s">
        <v>2815</v>
      </c>
      <c r="Q358" s="52"/>
      <c r="R358" s="11">
        <v>72341</v>
      </c>
      <c r="T358" s="4" t="s">
        <v>1264</v>
      </c>
      <c r="U358" s="1" t="s">
        <v>1253</v>
      </c>
      <c r="V358" s="4" t="s">
        <v>616</v>
      </c>
      <c r="W358" s="4" t="s">
        <v>1265</v>
      </c>
    </row>
    <row r="359" spans="1:25" s="4" customFormat="1" ht="15" customHeight="1">
      <c r="A359" s="4" t="s">
        <v>1266</v>
      </c>
      <c r="B359" s="4" t="s">
        <v>323</v>
      </c>
      <c r="C359" s="4" t="s">
        <v>2816</v>
      </c>
      <c r="D359" s="1"/>
      <c r="E359" s="26">
        <v>43692</v>
      </c>
      <c r="F359" s="2">
        <f>E359+14</f>
        <v>43706</v>
      </c>
      <c r="G359" s="1" t="s">
        <v>364</v>
      </c>
      <c r="H359" s="1">
        <v>5900</v>
      </c>
      <c r="I359" s="33" t="s">
        <v>2817</v>
      </c>
      <c r="J359" s="33" t="s">
        <v>69</v>
      </c>
      <c r="K359" s="1" t="s">
        <v>31</v>
      </c>
      <c r="L359" s="33" t="s">
        <v>2818</v>
      </c>
      <c r="M359" s="1" t="s">
        <v>32</v>
      </c>
      <c r="N359" s="1" t="s">
        <v>1227</v>
      </c>
      <c r="O359" s="33" t="s">
        <v>2819</v>
      </c>
      <c r="P359" s="38" t="s">
        <v>2820</v>
      </c>
      <c r="Q359" s="52"/>
      <c r="R359" s="11">
        <v>67592</v>
      </c>
      <c r="T359" s="1"/>
      <c r="U359" s="1"/>
    </row>
    <row r="360" spans="1:25" s="4" customFormat="1" ht="15" customHeight="1">
      <c r="A360" s="4" t="s">
        <v>1266</v>
      </c>
      <c r="B360" s="4" t="s">
        <v>323</v>
      </c>
      <c r="C360" s="4" t="s">
        <v>2821</v>
      </c>
      <c r="D360" s="1"/>
      <c r="F360" s="2">
        <v>43720</v>
      </c>
      <c r="G360" s="1" t="s">
        <v>364</v>
      </c>
      <c r="H360" s="1">
        <v>23800</v>
      </c>
      <c r="I360" s="33" t="s">
        <v>2822</v>
      </c>
      <c r="J360" s="33" t="s">
        <v>434</v>
      </c>
      <c r="K360" s="1" t="s">
        <v>31</v>
      </c>
      <c r="L360" s="33"/>
      <c r="M360" s="1" t="s">
        <v>32</v>
      </c>
      <c r="N360" s="1" t="s">
        <v>1227</v>
      </c>
      <c r="O360" s="33" t="s">
        <v>2823</v>
      </c>
      <c r="P360" s="38" t="s">
        <v>2824</v>
      </c>
      <c r="Q360" s="52"/>
      <c r="R360" s="37" t="s">
        <v>364</v>
      </c>
      <c r="S360" s="1"/>
      <c r="T360" s="1" t="s">
        <v>1276</v>
      </c>
      <c r="U360" s="1" t="s">
        <v>1277</v>
      </c>
      <c r="V360" s="1" t="s">
        <v>2551</v>
      </c>
      <c r="W360" s="1" t="s">
        <v>1279</v>
      </c>
    </row>
    <row r="361" spans="1:25" s="4" customFormat="1" ht="15" customHeight="1">
      <c r="A361" s="4" t="s">
        <v>1280</v>
      </c>
      <c r="B361" s="4" t="s">
        <v>323</v>
      </c>
      <c r="C361" s="4" t="s">
        <v>2825</v>
      </c>
      <c r="D361" s="1"/>
      <c r="E361" s="26">
        <v>43746</v>
      </c>
      <c r="F361" s="2">
        <f t="shared" ref="F361:F376" si="15">E361+14</f>
        <v>43760</v>
      </c>
      <c r="G361" s="1" t="s">
        <v>364</v>
      </c>
      <c r="H361" s="1">
        <v>16800</v>
      </c>
      <c r="I361" s="33" t="s">
        <v>2345</v>
      </c>
      <c r="J361" s="33" t="s">
        <v>844</v>
      </c>
      <c r="K361" s="1" t="s">
        <v>31</v>
      </c>
      <c r="L361" s="33" t="s">
        <v>1685</v>
      </c>
      <c r="M361" s="1" t="s">
        <v>32</v>
      </c>
      <c r="N361" s="1" t="s">
        <v>1227</v>
      </c>
      <c r="O361" s="33" t="s">
        <v>1126</v>
      </c>
      <c r="P361" s="38" t="s">
        <v>1125</v>
      </c>
      <c r="Q361" s="52"/>
      <c r="R361" s="37"/>
      <c r="S361" s="1"/>
      <c r="T361" s="1"/>
      <c r="U361" s="1"/>
    </row>
    <row r="362" spans="1:25" s="4" customFormat="1" ht="15" customHeight="1">
      <c r="A362" s="4" t="s">
        <v>1266</v>
      </c>
      <c r="B362" s="29" t="s">
        <v>323</v>
      </c>
      <c r="C362" s="29" t="s">
        <v>2826</v>
      </c>
      <c r="D362" s="1"/>
      <c r="E362" s="26">
        <v>43907</v>
      </c>
      <c r="F362" s="2">
        <f t="shared" si="15"/>
        <v>43921</v>
      </c>
      <c r="G362" s="1" t="s">
        <v>364</v>
      </c>
      <c r="H362" s="1">
        <v>3033</v>
      </c>
      <c r="I362" s="1" t="s">
        <v>2827</v>
      </c>
      <c r="J362" s="1" t="s">
        <v>69</v>
      </c>
      <c r="K362" s="1" t="s">
        <v>31</v>
      </c>
      <c r="L362" s="1">
        <v>85286</v>
      </c>
      <c r="M362" s="1" t="s">
        <v>32</v>
      </c>
      <c r="N362" s="1" t="s">
        <v>1227</v>
      </c>
      <c r="O362" s="1" t="s">
        <v>2828</v>
      </c>
      <c r="P362" s="1" t="s">
        <v>2829</v>
      </c>
      <c r="Q362" s="1"/>
      <c r="R362" s="1">
        <v>77105</v>
      </c>
      <c r="S362" s="1"/>
      <c r="T362" s="1" t="s">
        <v>1276</v>
      </c>
      <c r="U362" s="1" t="s">
        <v>1277</v>
      </c>
      <c r="V362" s="1" t="s">
        <v>2830</v>
      </c>
      <c r="W362" s="1" t="s">
        <v>1279</v>
      </c>
    </row>
    <row r="363" spans="1:25" s="4" customFormat="1" ht="15" customHeight="1">
      <c r="A363" s="4" t="s">
        <v>1266</v>
      </c>
      <c r="B363" s="29" t="s">
        <v>323</v>
      </c>
      <c r="C363" s="29" t="s">
        <v>2831</v>
      </c>
      <c r="D363" s="1"/>
      <c r="E363" s="26">
        <v>44020</v>
      </c>
      <c r="F363" s="2">
        <f t="shared" si="15"/>
        <v>44034</v>
      </c>
      <c r="G363" s="1" t="s">
        <v>364</v>
      </c>
      <c r="H363" s="1">
        <v>800</v>
      </c>
      <c r="I363" s="1" t="s">
        <v>2832</v>
      </c>
      <c r="J363" s="1" t="s">
        <v>415</v>
      </c>
      <c r="K363" s="1" t="s">
        <v>31</v>
      </c>
      <c r="L363" s="1">
        <v>85281</v>
      </c>
      <c r="M363" s="1" t="s">
        <v>32</v>
      </c>
      <c r="N363" s="1" t="s">
        <v>1227</v>
      </c>
      <c r="O363" s="1" t="s">
        <v>2833</v>
      </c>
      <c r="P363" s="1" t="s">
        <v>2834</v>
      </c>
      <c r="Q363" s="1"/>
      <c r="R363" s="1">
        <v>75247</v>
      </c>
      <c r="S363" s="51"/>
      <c r="T363" s="1" t="s">
        <v>1276</v>
      </c>
      <c r="U363" s="1" t="s">
        <v>1277</v>
      </c>
      <c r="V363" s="1" t="s">
        <v>2835</v>
      </c>
      <c r="W363" s="1" t="s">
        <v>1279</v>
      </c>
    </row>
    <row r="364" spans="1:25" s="4" customFormat="1" ht="15" customHeight="1">
      <c r="A364" s="4" t="s">
        <v>1266</v>
      </c>
      <c r="B364" s="29" t="s">
        <v>323</v>
      </c>
      <c r="C364" s="29" t="s">
        <v>2836</v>
      </c>
      <c r="D364" s="1"/>
      <c r="E364" s="26">
        <v>44027</v>
      </c>
      <c r="F364" s="2">
        <f t="shared" si="15"/>
        <v>44041</v>
      </c>
      <c r="G364" s="1" t="s">
        <v>364</v>
      </c>
      <c r="H364" s="1">
        <v>4003</v>
      </c>
      <c r="I364" s="1" t="s">
        <v>2837</v>
      </c>
      <c r="J364" s="1" t="s">
        <v>415</v>
      </c>
      <c r="K364" s="1" t="s">
        <v>31</v>
      </c>
      <c r="L364" s="1">
        <v>85282</v>
      </c>
      <c r="M364" s="1" t="s">
        <v>32</v>
      </c>
      <c r="N364" s="1" t="s">
        <v>1227</v>
      </c>
      <c r="O364" s="1"/>
      <c r="P364" s="1"/>
      <c r="Q364" s="1"/>
      <c r="R364" s="1" t="s">
        <v>364</v>
      </c>
      <c r="S364" s="1"/>
      <c r="T364" s="1" t="s">
        <v>1276</v>
      </c>
      <c r="U364" s="1" t="s">
        <v>1277</v>
      </c>
      <c r="V364" s="1" t="s">
        <v>2838</v>
      </c>
      <c r="W364" s="1" t="s">
        <v>1279</v>
      </c>
    </row>
    <row r="365" spans="1:25" s="4" customFormat="1" ht="15" customHeight="1">
      <c r="A365" s="4" t="s">
        <v>1266</v>
      </c>
      <c r="B365" s="29" t="s">
        <v>323</v>
      </c>
      <c r="C365" s="192" t="s">
        <v>2839</v>
      </c>
      <c r="D365" s="1"/>
      <c r="E365" s="26">
        <v>44028</v>
      </c>
      <c r="F365" s="2">
        <f t="shared" si="15"/>
        <v>44042</v>
      </c>
      <c r="G365" s="1" t="s">
        <v>364</v>
      </c>
      <c r="H365" s="1" t="s">
        <v>364</v>
      </c>
      <c r="I365" s="25" t="s">
        <v>2840</v>
      </c>
      <c r="J365" s="1" t="s">
        <v>398</v>
      </c>
      <c r="K365" s="1" t="s">
        <v>31</v>
      </c>
      <c r="L365" s="1">
        <v>85255</v>
      </c>
      <c r="M365" s="1" t="s">
        <v>32</v>
      </c>
      <c r="N365" s="1" t="s">
        <v>1227</v>
      </c>
      <c r="O365" s="25" t="s">
        <v>2841</v>
      </c>
      <c r="P365" s="1" t="s">
        <v>2842</v>
      </c>
      <c r="Q365" s="25"/>
      <c r="R365" s="1">
        <v>73092</v>
      </c>
      <c r="S365" s="1"/>
      <c r="T365" s="1"/>
      <c r="U365" s="1" t="s">
        <v>1276</v>
      </c>
      <c r="V365" s="1" t="s">
        <v>1277</v>
      </c>
      <c r="W365" s="1" t="s">
        <v>2551</v>
      </c>
      <c r="X365" s="1" t="s">
        <v>2843</v>
      </c>
    </row>
    <row r="366" spans="1:25" s="4" customFormat="1" ht="15" customHeight="1">
      <c r="A366" s="4" t="s">
        <v>1280</v>
      </c>
      <c r="B366" s="29" t="s">
        <v>323</v>
      </c>
      <c r="C366" s="29" t="s">
        <v>2844</v>
      </c>
      <c r="D366" s="1"/>
      <c r="E366" s="26">
        <v>44055</v>
      </c>
      <c r="F366" s="2">
        <f t="shared" si="15"/>
        <v>44069</v>
      </c>
      <c r="G366" s="1" t="s">
        <v>364</v>
      </c>
      <c r="H366" s="1">
        <v>7140</v>
      </c>
      <c r="I366" s="1" t="s">
        <v>2845</v>
      </c>
      <c r="J366" s="1" t="s">
        <v>398</v>
      </c>
      <c r="K366" s="1" t="s">
        <v>31</v>
      </c>
      <c r="L366" s="1">
        <v>85251</v>
      </c>
      <c r="M366" s="1" t="s">
        <v>32</v>
      </c>
      <c r="N366" s="1" t="s">
        <v>1227</v>
      </c>
      <c r="O366" s="1" t="s">
        <v>2846</v>
      </c>
      <c r="P366" s="1" t="s">
        <v>2847</v>
      </c>
      <c r="Q366" s="1"/>
      <c r="R366" s="1">
        <v>75512</v>
      </c>
      <c r="S366" s="53"/>
      <c r="U366" s="4" t="s">
        <v>1264</v>
      </c>
      <c r="V366" s="1" t="s">
        <v>1253</v>
      </c>
      <c r="W366" s="4" t="s">
        <v>616</v>
      </c>
      <c r="X366" s="4" t="s">
        <v>1265</v>
      </c>
    </row>
    <row r="367" spans="1:25" s="4" customFormat="1" ht="15" customHeight="1">
      <c r="A367" s="4" t="s">
        <v>1435</v>
      </c>
      <c r="B367" s="29" t="s">
        <v>323</v>
      </c>
      <c r="C367" s="29" t="s">
        <v>2848</v>
      </c>
      <c r="D367" s="1"/>
      <c r="E367" s="26">
        <v>44117</v>
      </c>
      <c r="F367" s="2">
        <f t="shared" si="15"/>
        <v>44131</v>
      </c>
      <c r="G367" s="1"/>
      <c r="H367" s="1" t="s">
        <v>528</v>
      </c>
      <c r="I367" s="1" t="s">
        <v>2849</v>
      </c>
      <c r="J367" s="1" t="s">
        <v>69</v>
      </c>
      <c r="K367" s="1" t="s">
        <v>31</v>
      </c>
      <c r="L367" s="1"/>
      <c r="M367" s="1" t="s">
        <v>32</v>
      </c>
      <c r="N367" s="1" t="s">
        <v>1227</v>
      </c>
      <c r="O367" s="1" t="s">
        <v>2828</v>
      </c>
      <c r="P367" s="1" t="s">
        <v>2829</v>
      </c>
      <c r="Q367" s="1"/>
      <c r="R367" s="1"/>
      <c r="U367" s="1"/>
      <c r="V367" s="1"/>
    </row>
    <row r="368" spans="1:25" s="4" customFormat="1" ht="15" customHeight="1">
      <c r="A368" s="4" t="s">
        <v>1256</v>
      </c>
      <c r="B368" s="69" t="s">
        <v>323</v>
      </c>
      <c r="C368" s="5" t="s">
        <v>2850</v>
      </c>
      <c r="D368" s="33"/>
      <c r="E368" s="26">
        <v>44347</v>
      </c>
      <c r="F368" s="60">
        <f t="shared" si="15"/>
        <v>44361</v>
      </c>
      <c r="G368" s="49" t="s">
        <v>364</v>
      </c>
      <c r="H368" s="49">
        <v>20022</v>
      </c>
      <c r="I368" s="33" t="s">
        <v>2851</v>
      </c>
      <c r="J368" s="33" t="s">
        <v>434</v>
      </c>
      <c r="K368" s="1" t="s">
        <v>31</v>
      </c>
      <c r="L368" s="33" t="s">
        <v>2181</v>
      </c>
      <c r="M368" s="1" t="s">
        <v>32</v>
      </c>
      <c r="N368" s="1" t="s">
        <v>1227</v>
      </c>
      <c r="O368" s="33" t="s">
        <v>2823</v>
      </c>
      <c r="P368" s="33" t="s">
        <v>2824</v>
      </c>
      <c r="Q368" s="37" t="s">
        <v>364</v>
      </c>
      <c r="R368" s="33" t="s">
        <v>2852</v>
      </c>
      <c r="S368" s="1"/>
      <c r="T368" s="1"/>
      <c r="U368" s="4" t="s">
        <v>1264</v>
      </c>
      <c r="V368" s="1" t="s">
        <v>1253</v>
      </c>
      <c r="W368" s="4" t="s">
        <v>616</v>
      </c>
      <c r="X368" s="4" t="s">
        <v>1265</v>
      </c>
    </row>
    <row r="369" spans="1:26" s="4" customFormat="1" ht="15" customHeight="1">
      <c r="A369" s="4" t="s">
        <v>1309</v>
      </c>
      <c r="B369" s="29" t="s">
        <v>323</v>
      </c>
      <c r="C369" s="29" t="s">
        <v>2853</v>
      </c>
      <c r="D369" s="1"/>
      <c r="E369" s="26">
        <v>44364</v>
      </c>
      <c r="F369" s="2">
        <f t="shared" si="15"/>
        <v>44378</v>
      </c>
      <c r="G369" s="1" t="s">
        <v>364</v>
      </c>
      <c r="H369" s="1">
        <v>2645</v>
      </c>
      <c r="I369" s="1" t="s">
        <v>697</v>
      </c>
      <c r="J369" s="1" t="s">
        <v>415</v>
      </c>
      <c r="K369" s="1" t="s">
        <v>31</v>
      </c>
      <c r="L369" s="1">
        <v>85282</v>
      </c>
      <c r="M369" s="1" t="s">
        <v>32</v>
      </c>
      <c r="N369" s="1" t="s">
        <v>1227</v>
      </c>
      <c r="O369" s="1" t="s">
        <v>2854</v>
      </c>
      <c r="P369" s="1" t="s">
        <v>1517</v>
      </c>
      <c r="Q369" s="1" t="s">
        <v>364</v>
      </c>
      <c r="R369" s="1">
        <v>78662</v>
      </c>
      <c r="U369" s="1" t="s">
        <v>36</v>
      </c>
      <c r="V369" s="1" t="s">
        <v>1277</v>
      </c>
      <c r="W369" s="1" t="s">
        <v>2551</v>
      </c>
      <c r="X369" s="1" t="s">
        <v>2843</v>
      </c>
    </row>
    <row r="370" spans="1:26" s="4" customFormat="1" ht="15.75">
      <c r="A370" s="121" t="s">
        <v>25</v>
      </c>
      <c r="B370" s="4" t="s">
        <v>323</v>
      </c>
      <c r="C370" s="29" t="s">
        <v>2855</v>
      </c>
      <c r="D370" s="2"/>
      <c r="E370" s="26">
        <v>44475</v>
      </c>
      <c r="F370" s="2">
        <f t="shared" si="15"/>
        <v>44489</v>
      </c>
      <c r="G370" s="2"/>
      <c r="H370" s="1"/>
      <c r="I370" s="1" t="s">
        <v>2856</v>
      </c>
      <c r="J370" s="1" t="s">
        <v>63</v>
      </c>
      <c r="K370" s="1" t="s">
        <v>31</v>
      </c>
      <c r="L370" s="1"/>
      <c r="M370" s="1" t="s">
        <v>32</v>
      </c>
      <c r="N370" s="1" t="s">
        <v>1227</v>
      </c>
      <c r="O370" s="1" t="s">
        <v>2810</v>
      </c>
      <c r="P370" s="1" t="s">
        <v>2811</v>
      </c>
      <c r="Q370" s="95" t="s">
        <v>2857</v>
      </c>
      <c r="R370" s="95" t="s">
        <v>364</v>
      </c>
      <c r="S370" s="53"/>
      <c r="U370" s="1" t="s">
        <v>36</v>
      </c>
      <c r="V370" s="1" t="s">
        <v>1277</v>
      </c>
      <c r="W370" s="1" t="s">
        <v>2551</v>
      </c>
      <c r="X370" s="1" t="s">
        <v>2843</v>
      </c>
    </row>
    <row r="371" spans="1:26" s="4" customFormat="1">
      <c r="A371" s="122" t="s">
        <v>1256</v>
      </c>
      <c r="B371" s="29" t="s">
        <v>323</v>
      </c>
      <c r="C371" s="29" t="s">
        <v>2858</v>
      </c>
      <c r="D371" s="2"/>
      <c r="E371" s="26">
        <v>44489</v>
      </c>
      <c r="F371" s="2">
        <f t="shared" si="15"/>
        <v>44503</v>
      </c>
      <c r="G371" s="2"/>
      <c r="H371" s="1" t="s">
        <v>2859</v>
      </c>
      <c r="I371" s="1" t="s">
        <v>2860</v>
      </c>
      <c r="J371" s="1" t="s">
        <v>398</v>
      </c>
      <c r="K371" s="1" t="s">
        <v>31</v>
      </c>
      <c r="L371" s="1"/>
      <c r="M371" s="1" t="s">
        <v>32</v>
      </c>
      <c r="N371" s="1" t="s">
        <v>1227</v>
      </c>
      <c r="O371" s="1" t="s">
        <v>2861</v>
      </c>
      <c r="P371" s="1" t="s">
        <v>2862</v>
      </c>
      <c r="Q371" s="1"/>
      <c r="R371" s="1"/>
      <c r="S371" s="1"/>
      <c r="T371" s="1"/>
      <c r="U371" s="4" t="s">
        <v>1264</v>
      </c>
      <c r="V371" s="1" t="s">
        <v>1253</v>
      </c>
      <c r="W371" s="4" t="s">
        <v>616</v>
      </c>
      <c r="X371" s="4" t="s">
        <v>1265</v>
      </c>
    </row>
    <row r="372" spans="1:26" s="4" customFormat="1">
      <c r="A372" s="164" t="s">
        <v>1240</v>
      </c>
      <c r="B372" s="29" t="s">
        <v>323</v>
      </c>
      <c r="C372" s="4" t="s">
        <v>2863</v>
      </c>
      <c r="D372" s="2"/>
      <c r="E372" s="2">
        <v>44803</v>
      </c>
      <c r="F372" s="60">
        <f t="shared" si="15"/>
        <v>44817</v>
      </c>
      <c r="G372" s="60"/>
      <c r="H372" s="41"/>
      <c r="I372" s="15" t="s">
        <v>2864</v>
      </c>
      <c r="J372" s="1" t="s">
        <v>844</v>
      </c>
      <c r="K372" s="1" t="s">
        <v>31</v>
      </c>
      <c r="L372" s="1">
        <v>85395</v>
      </c>
      <c r="M372" s="1" t="s">
        <v>32</v>
      </c>
      <c r="O372" s="1" t="s">
        <v>2814</v>
      </c>
      <c r="P372" s="1" t="s">
        <v>2865</v>
      </c>
      <c r="Q372" s="1"/>
      <c r="R372" s="31"/>
      <c r="S372" s="47"/>
      <c r="T372" s="47"/>
      <c r="U372" s="51"/>
      <c r="V372" s="4" t="s">
        <v>443</v>
      </c>
      <c r="W372" s="4" t="s">
        <v>37</v>
      </c>
      <c r="X372" s="4" t="s">
        <v>616</v>
      </c>
      <c r="Y372" s="15" t="s">
        <v>1247</v>
      </c>
    </row>
    <row r="373" spans="1:26" s="4" customFormat="1">
      <c r="A373" s="164" t="s">
        <v>1240</v>
      </c>
      <c r="B373" s="69" t="s">
        <v>323</v>
      </c>
      <c r="C373" s="5" t="s">
        <v>2866</v>
      </c>
      <c r="D373" s="59"/>
      <c r="E373" s="2">
        <v>44819</v>
      </c>
      <c r="F373" s="2">
        <f t="shared" si="15"/>
        <v>44833</v>
      </c>
      <c r="G373" s="2"/>
      <c r="H373" s="49">
        <v>3233</v>
      </c>
      <c r="I373" s="7" t="s">
        <v>474</v>
      </c>
      <c r="J373" s="33" t="s">
        <v>434</v>
      </c>
      <c r="K373" s="33" t="s">
        <v>31</v>
      </c>
      <c r="L373" s="33" t="s">
        <v>1964</v>
      </c>
      <c r="M373" s="33" t="s">
        <v>32</v>
      </c>
      <c r="N373" s="5"/>
      <c r="O373" s="33" t="s">
        <v>2867</v>
      </c>
      <c r="P373" s="33" t="s">
        <v>2868</v>
      </c>
      <c r="Q373" s="33"/>
      <c r="R373" s="37">
        <v>83506</v>
      </c>
      <c r="V373" s="4" t="s">
        <v>443</v>
      </c>
      <c r="W373" s="4" t="s">
        <v>37</v>
      </c>
      <c r="X373" s="4" t="s">
        <v>616</v>
      </c>
      <c r="Y373" s="167" t="s">
        <v>1247</v>
      </c>
      <c r="Z373" s="168"/>
    </row>
    <row r="374" spans="1:26" s="4" customFormat="1">
      <c r="A374" s="93" t="s">
        <v>1240</v>
      </c>
      <c r="B374" s="29" t="s">
        <v>2869</v>
      </c>
      <c r="C374" s="4" t="s">
        <v>2870</v>
      </c>
      <c r="D374" s="2"/>
      <c r="E374" s="2">
        <v>44767</v>
      </c>
      <c r="F374" s="132">
        <f t="shared" si="15"/>
        <v>44781</v>
      </c>
      <c r="G374" s="2"/>
      <c r="H374" s="41">
        <v>2252</v>
      </c>
      <c r="I374" s="15" t="s">
        <v>2871</v>
      </c>
      <c r="J374" s="1" t="s">
        <v>434</v>
      </c>
      <c r="K374" s="1" t="s">
        <v>31</v>
      </c>
      <c r="L374" s="1">
        <v>85031</v>
      </c>
      <c r="M374" s="1" t="s">
        <v>32</v>
      </c>
      <c r="O374" s="1" t="s">
        <v>2872</v>
      </c>
      <c r="P374" s="1" t="s">
        <v>2873</v>
      </c>
      <c r="Q374" s="1"/>
      <c r="R374" s="31">
        <v>91346</v>
      </c>
      <c r="V374" s="4" t="s">
        <v>443</v>
      </c>
      <c r="W374" s="4" t="s">
        <v>37</v>
      </c>
      <c r="X374" s="4" t="s">
        <v>616</v>
      </c>
      <c r="Y374" s="15" t="s">
        <v>1247</v>
      </c>
    </row>
    <row r="375" spans="1:26" s="4" customFormat="1">
      <c r="A375" s="93" t="s">
        <v>1240</v>
      </c>
      <c r="B375" s="29" t="s">
        <v>2869</v>
      </c>
      <c r="C375" s="4" t="s">
        <v>2874</v>
      </c>
      <c r="D375" s="2"/>
      <c r="E375" s="2">
        <v>44767</v>
      </c>
      <c r="F375" s="132">
        <f t="shared" si="15"/>
        <v>44781</v>
      </c>
      <c r="G375" s="2"/>
      <c r="H375" s="41">
        <v>3602</v>
      </c>
      <c r="I375" s="15" t="s">
        <v>2875</v>
      </c>
      <c r="J375" s="1" t="s">
        <v>1510</v>
      </c>
      <c r="K375" s="1" t="s">
        <v>31</v>
      </c>
      <c r="L375" s="1">
        <v>85031</v>
      </c>
      <c r="M375" s="1" t="s">
        <v>32</v>
      </c>
      <c r="O375" s="1" t="s">
        <v>2876</v>
      </c>
      <c r="P375" s="1" t="s">
        <v>2877</v>
      </c>
      <c r="Q375" s="87" t="s">
        <v>2878</v>
      </c>
      <c r="R375" s="31">
        <v>91344</v>
      </c>
      <c r="V375" s="4" t="s">
        <v>443</v>
      </c>
      <c r="W375" s="4" t="s">
        <v>37</v>
      </c>
      <c r="X375" s="4" t="s">
        <v>616</v>
      </c>
      <c r="Y375" s="15" t="s">
        <v>1247</v>
      </c>
    </row>
    <row r="376" spans="1:26" s="4" customFormat="1">
      <c r="A376" s="164" t="s">
        <v>1240</v>
      </c>
      <c r="B376" s="29" t="s">
        <v>2879</v>
      </c>
      <c r="C376" s="4" t="s">
        <v>2880</v>
      </c>
      <c r="D376" s="2"/>
      <c r="E376" s="2">
        <v>44893</v>
      </c>
      <c r="F376" s="2">
        <f t="shared" si="15"/>
        <v>44907</v>
      </c>
      <c r="G376" s="2"/>
      <c r="H376" s="41">
        <v>3802</v>
      </c>
      <c r="I376" s="15" t="s">
        <v>2881</v>
      </c>
      <c r="J376" s="1" t="s">
        <v>1661</v>
      </c>
      <c r="K376" s="1" t="s">
        <v>31</v>
      </c>
      <c r="L376" s="1">
        <v>85019</v>
      </c>
      <c r="M376" s="1" t="s">
        <v>32</v>
      </c>
      <c r="O376" s="1" t="s">
        <v>2882</v>
      </c>
      <c r="P376" s="1" t="s">
        <v>2883</v>
      </c>
      <c r="Q376" s="87" t="s">
        <v>2884</v>
      </c>
      <c r="R376" s="31">
        <v>92794</v>
      </c>
      <c r="V376" s="4" t="s">
        <v>443</v>
      </c>
      <c r="W376" s="4" t="s">
        <v>37</v>
      </c>
      <c r="X376" s="4" t="s">
        <v>616</v>
      </c>
      <c r="Y376" s="167" t="s">
        <v>1247</v>
      </c>
      <c r="Z376" s="168"/>
    </row>
    <row r="377" spans="1:26" s="4" customFormat="1">
      <c r="A377" s="4" t="s">
        <v>1280</v>
      </c>
      <c r="B377" s="4" t="s">
        <v>2885</v>
      </c>
      <c r="C377" s="4" t="s">
        <v>2886</v>
      </c>
      <c r="D377" s="2" t="s">
        <v>364</v>
      </c>
      <c r="E377" s="26">
        <v>43670</v>
      </c>
      <c r="F377" s="2">
        <v>43684</v>
      </c>
      <c r="G377" s="33" t="s">
        <v>364</v>
      </c>
      <c r="H377" s="1">
        <v>5601</v>
      </c>
      <c r="I377" s="33" t="s">
        <v>1320</v>
      </c>
      <c r="J377" s="33" t="s">
        <v>434</v>
      </c>
      <c r="K377" s="33" t="s">
        <v>31</v>
      </c>
      <c r="L377" s="33" t="s">
        <v>2887</v>
      </c>
      <c r="M377" s="1" t="s">
        <v>32</v>
      </c>
      <c r="N377" s="1" t="s">
        <v>1227</v>
      </c>
      <c r="O377" s="33" t="s">
        <v>2888</v>
      </c>
      <c r="P377" s="38" t="s">
        <v>2873</v>
      </c>
      <c r="Q377" s="52"/>
      <c r="R377" s="11">
        <v>76290</v>
      </c>
      <c r="V377" s="1"/>
    </row>
    <row r="378" spans="1:26" s="4" customFormat="1">
      <c r="A378" s="4" t="s">
        <v>1280</v>
      </c>
      <c r="B378" s="4" t="s">
        <v>2885</v>
      </c>
      <c r="C378" s="4" t="s">
        <v>2889</v>
      </c>
      <c r="D378" s="1"/>
      <c r="E378" s="26">
        <v>43718</v>
      </c>
      <c r="F378" s="2">
        <f t="shared" ref="F378:F395" si="16">E378+14</f>
        <v>43732</v>
      </c>
      <c r="G378" s="1" t="s">
        <v>364</v>
      </c>
      <c r="H378" s="1">
        <v>8803</v>
      </c>
      <c r="I378" s="33" t="s">
        <v>893</v>
      </c>
      <c r="J378" s="33" t="s">
        <v>894</v>
      </c>
      <c r="K378" s="33" t="s">
        <v>31</v>
      </c>
      <c r="L378" s="33" t="s">
        <v>2517</v>
      </c>
      <c r="M378" s="1" t="s">
        <v>32</v>
      </c>
      <c r="N378" s="1" t="s">
        <v>1227</v>
      </c>
      <c r="O378" s="33" t="s">
        <v>2890</v>
      </c>
      <c r="P378" s="38" t="s">
        <v>2891</v>
      </c>
      <c r="Q378" s="52"/>
      <c r="R378" s="37">
        <v>75097</v>
      </c>
      <c r="U378" s="1"/>
      <c r="V378" s="1"/>
    </row>
    <row r="379" spans="1:26" s="4" customFormat="1">
      <c r="A379" s="4" t="s">
        <v>1266</v>
      </c>
      <c r="B379" s="29" t="s">
        <v>2885</v>
      </c>
      <c r="C379" s="29" t="s">
        <v>2892</v>
      </c>
      <c r="D379" s="1"/>
      <c r="E379" s="26">
        <v>44154</v>
      </c>
      <c r="F379" s="2">
        <f t="shared" si="16"/>
        <v>44168</v>
      </c>
      <c r="G379" s="1" t="s">
        <v>364</v>
      </c>
      <c r="H379" s="1">
        <v>9160</v>
      </c>
      <c r="I379" s="1" t="s">
        <v>2893</v>
      </c>
      <c r="J379" s="1" t="s">
        <v>398</v>
      </c>
      <c r="K379" s="1" t="s">
        <v>31</v>
      </c>
      <c r="L379" s="1">
        <v>85255</v>
      </c>
      <c r="M379" s="1" t="s">
        <v>32</v>
      </c>
      <c r="N379" s="1" t="s">
        <v>1227</v>
      </c>
      <c r="O379" s="1" t="s">
        <v>2894</v>
      </c>
      <c r="P379" s="1" t="s">
        <v>2895</v>
      </c>
      <c r="Q379" s="1"/>
      <c r="R379" s="1"/>
      <c r="U379" s="1" t="s">
        <v>36</v>
      </c>
      <c r="V379" s="1" t="s">
        <v>1277</v>
      </c>
      <c r="W379" s="1" t="s">
        <v>2551</v>
      </c>
      <c r="X379" s="1" t="s">
        <v>2843</v>
      </c>
    </row>
    <row r="380" spans="1:26" s="4" customFormat="1">
      <c r="A380" s="4" t="s">
        <v>1256</v>
      </c>
      <c r="B380" s="68" t="s">
        <v>2896</v>
      </c>
      <c r="C380" s="47" t="s">
        <v>2897</v>
      </c>
      <c r="D380" s="46"/>
      <c r="E380" s="26">
        <v>44246</v>
      </c>
      <c r="F380" s="2">
        <f t="shared" si="16"/>
        <v>44260</v>
      </c>
      <c r="G380" s="66" t="s">
        <v>364</v>
      </c>
      <c r="H380" s="66">
        <v>26777</v>
      </c>
      <c r="I380" s="33" t="s">
        <v>2898</v>
      </c>
      <c r="J380" s="46" t="s">
        <v>434</v>
      </c>
      <c r="K380" s="46" t="s">
        <v>31</v>
      </c>
      <c r="L380" s="67">
        <v>85083</v>
      </c>
      <c r="M380" s="1" t="s">
        <v>32</v>
      </c>
      <c r="N380" s="1" t="s">
        <v>1227</v>
      </c>
      <c r="O380" s="46" t="s">
        <v>2899</v>
      </c>
      <c r="P380" s="46" t="s">
        <v>2900</v>
      </c>
      <c r="Q380" s="1"/>
      <c r="R380" s="50">
        <v>82840</v>
      </c>
      <c r="S380" s="1"/>
      <c r="T380" s="1"/>
      <c r="U380" s="1" t="s">
        <v>36</v>
      </c>
      <c r="V380" s="1" t="s">
        <v>1277</v>
      </c>
      <c r="W380" s="1" t="s">
        <v>2551</v>
      </c>
      <c r="X380" s="1" t="s">
        <v>2843</v>
      </c>
    </row>
    <row r="381" spans="1:26" s="4" customFormat="1" ht="15" customHeight="1">
      <c r="A381" s="4" t="s">
        <v>1256</v>
      </c>
      <c r="B381" s="68" t="s">
        <v>2901</v>
      </c>
      <c r="C381" s="47" t="s">
        <v>1981</v>
      </c>
      <c r="D381" s="46"/>
      <c r="E381" s="139">
        <v>44189</v>
      </c>
      <c r="F381" s="2">
        <f t="shared" si="16"/>
        <v>44203</v>
      </c>
      <c r="G381" s="66" t="s">
        <v>364</v>
      </c>
      <c r="H381" s="66">
        <v>2204</v>
      </c>
      <c r="I381" s="33" t="s">
        <v>2242</v>
      </c>
      <c r="J381" s="46" t="s">
        <v>434</v>
      </c>
      <c r="K381" s="46" t="s">
        <v>31</v>
      </c>
      <c r="L381" s="46" t="s">
        <v>2026</v>
      </c>
      <c r="M381" s="1" t="s">
        <v>32</v>
      </c>
      <c r="N381" s="1" t="s">
        <v>1227</v>
      </c>
      <c r="O381" s="46" t="s">
        <v>2902</v>
      </c>
      <c r="P381" s="46" t="s">
        <v>2903</v>
      </c>
      <c r="Q381" s="1"/>
      <c r="R381" s="50"/>
      <c r="S381" s="47"/>
      <c r="T381" s="51"/>
      <c r="U381" s="1" t="s">
        <v>36</v>
      </c>
      <c r="V381" s="1" t="s">
        <v>1277</v>
      </c>
      <c r="W381" s="1" t="s">
        <v>2551</v>
      </c>
      <c r="X381" s="1" t="s">
        <v>2843</v>
      </c>
    </row>
    <row r="382" spans="1:26" s="4" customFormat="1">
      <c r="A382" s="164" t="s">
        <v>1240</v>
      </c>
      <c r="B382" s="29" t="s">
        <v>2904</v>
      </c>
      <c r="C382" s="4" t="s">
        <v>2905</v>
      </c>
      <c r="D382" s="2"/>
      <c r="E382" s="2">
        <v>44803</v>
      </c>
      <c r="F382" s="60">
        <f t="shared" si="16"/>
        <v>44817</v>
      </c>
      <c r="G382" s="60"/>
      <c r="H382" s="41">
        <v>17760</v>
      </c>
      <c r="I382" s="15" t="s">
        <v>2906</v>
      </c>
      <c r="J382" s="1" t="s">
        <v>2907</v>
      </c>
      <c r="K382" s="1" t="s">
        <v>31</v>
      </c>
      <c r="L382" s="1"/>
      <c r="M382" s="1" t="s">
        <v>32</v>
      </c>
      <c r="O382" s="1" t="s">
        <v>2908</v>
      </c>
      <c r="P382" s="1" t="s">
        <v>2909</v>
      </c>
      <c r="Q382" s="1"/>
      <c r="R382" s="31">
        <v>88577</v>
      </c>
      <c r="V382" s="4" t="s">
        <v>443</v>
      </c>
      <c r="W382" s="4" t="s">
        <v>37</v>
      </c>
      <c r="X382" s="4" t="s">
        <v>616</v>
      </c>
      <c r="Y382" s="15" t="s">
        <v>1247</v>
      </c>
    </row>
    <row r="383" spans="1:26" s="4" customFormat="1">
      <c r="A383" s="4" t="s">
        <v>1256</v>
      </c>
      <c r="B383" s="69" t="s">
        <v>2910</v>
      </c>
      <c r="C383" s="5" t="s">
        <v>2911</v>
      </c>
      <c r="D383" s="33"/>
      <c r="E383" s="26">
        <v>44299</v>
      </c>
      <c r="F383" s="60">
        <f t="shared" si="16"/>
        <v>44313</v>
      </c>
      <c r="G383" s="49" t="s">
        <v>364</v>
      </c>
      <c r="H383" s="49">
        <v>2640</v>
      </c>
      <c r="I383" s="33" t="s">
        <v>1443</v>
      </c>
      <c r="J383" s="33" t="s">
        <v>434</v>
      </c>
      <c r="K383" s="33" t="s">
        <v>31</v>
      </c>
      <c r="L383" s="33" t="s">
        <v>1610</v>
      </c>
      <c r="M383" s="1" t="s">
        <v>32</v>
      </c>
      <c r="N383" s="1" t="s">
        <v>1227</v>
      </c>
      <c r="O383" s="33" t="s">
        <v>2912</v>
      </c>
      <c r="P383" s="33" t="s">
        <v>2913</v>
      </c>
      <c r="Q383" s="1"/>
      <c r="R383" s="37">
        <v>85296</v>
      </c>
      <c r="S383" s="1"/>
      <c r="T383" s="1"/>
      <c r="U383" s="1" t="s">
        <v>36</v>
      </c>
      <c r="V383" s="1" t="s">
        <v>1277</v>
      </c>
      <c r="W383" s="1" t="s">
        <v>2551</v>
      </c>
      <c r="X383" s="1" t="s">
        <v>2843</v>
      </c>
    </row>
    <row r="384" spans="1:26" s="4" customFormat="1">
      <c r="A384" s="4" t="s">
        <v>1266</v>
      </c>
      <c r="B384" s="29" t="s">
        <v>2914</v>
      </c>
      <c r="C384" s="29" t="s">
        <v>2915</v>
      </c>
      <c r="D384" s="1">
        <v>43727</v>
      </c>
      <c r="E384" s="26">
        <v>44165</v>
      </c>
      <c r="F384" s="2">
        <f t="shared" si="16"/>
        <v>44179</v>
      </c>
      <c r="G384" s="1"/>
      <c r="H384" s="1"/>
      <c r="I384" s="1" t="s">
        <v>2916</v>
      </c>
      <c r="J384" s="1" t="s">
        <v>63</v>
      </c>
      <c r="K384" s="1" t="s">
        <v>31</v>
      </c>
      <c r="L384" s="1"/>
      <c r="M384" s="1" t="s">
        <v>32</v>
      </c>
      <c r="N384" s="1" t="s">
        <v>1227</v>
      </c>
      <c r="O384" s="1" t="s">
        <v>2917</v>
      </c>
      <c r="P384" s="1" t="s">
        <v>2918</v>
      </c>
      <c r="Q384" s="1"/>
      <c r="R384" s="1"/>
      <c r="U384" s="1"/>
      <c r="V384" s="1"/>
    </row>
    <row r="385" spans="1:25" s="4" customFormat="1">
      <c r="A385" s="4" t="s">
        <v>1280</v>
      </c>
      <c r="B385" s="29" t="s">
        <v>2919</v>
      </c>
      <c r="C385" s="29" t="s">
        <v>2920</v>
      </c>
      <c r="D385" s="1"/>
      <c r="E385" s="26">
        <v>43983</v>
      </c>
      <c r="F385" s="2">
        <f t="shared" si="16"/>
        <v>43997</v>
      </c>
      <c r="G385" s="1" t="s">
        <v>364</v>
      </c>
      <c r="H385" s="1">
        <v>5400</v>
      </c>
      <c r="I385" s="1" t="s">
        <v>2921</v>
      </c>
      <c r="J385" s="1" t="s">
        <v>1448</v>
      </c>
      <c r="K385" s="1" t="s">
        <v>31</v>
      </c>
      <c r="L385" s="1">
        <v>85339</v>
      </c>
      <c r="M385" s="1" t="s">
        <v>32</v>
      </c>
      <c r="N385" s="1" t="s">
        <v>1227</v>
      </c>
      <c r="O385" s="1" t="s">
        <v>2922</v>
      </c>
      <c r="P385" s="1" t="s">
        <v>2923</v>
      </c>
      <c r="Q385" s="25"/>
      <c r="R385" s="1">
        <v>77927</v>
      </c>
      <c r="S385" s="53"/>
      <c r="U385" s="4" t="s">
        <v>1264</v>
      </c>
      <c r="V385" s="1" t="s">
        <v>1253</v>
      </c>
      <c r="W385" s="4" t="s">
        <v>616</v>
      </c>
      <c r="X385" s="4" t="s">
        <v>1265</v>
      </c>
    </row>
    <row r="386" spans="1:25" s="4" customFormat="1">
      <c r="A386" s="4" t="s">
        <v>1280</v>
      </c>
      <c r="B386" s="4" t="s">
        <v>2924</v>
      </c>
      <c r="C386" s="4" t="s">
        <v>2925</v>
      </c>
      <c r="D386" s="1"/>
      <c r="E386" s="26">
        <v>43703</v>
      </c>
      <c r="F386" s="2">
        <f t="shared" si="16"/>
        <v>43717</v>
      </c>
      <c r="G386" s="1" t="s">
        <v>364</v>
      </c>
      <c r="H386" s="1">
        <v>8323</v>
      </c>
      <c r="I386" s="33" t="s">
        <v>2926</v>
      </c>
      <c r="J386" s="33" t="s">
        <v>851</v>
      </c>
      <c r="K386" s="33" t="s">
        <v>31</v>
      </c>
      <c r="L386" s="33" t="s">
        <v>2927</v>
      </c>
      <c r="M386" s="1" t="s">
        <v>32</v>
      </c>
      <c r="N386" s="1" t="s">
        <v>1227</v>
      </c>
      <c r="O386" s="33" t="s">
        <v>2928</v>
      </c>
      <c r="P386" s="38" t="s">
        <v>2929</v>
      </c>
      <c r="Q386" s="52"/>
      <c r="R386" s="37">
        <v>75335</v>
      </c>
      <c r="S386" s="1"/>
      <c r="T386" s="1"/>
      <c r="U386" s="4" t="s">
        <v>1264</v>
      </c>
      <c r="V386" s="1" t="s">
        <v>1253</v>
      </c>
      <c r="W386" s="4" t="s">
        <v>616</v>
      </c>
      <c r="X386" s="4" t="s">
        <v>1265</v>
      </c>
    </row>
    <row r="387" spans="1:25" s="4" customFormat="1">
      <c r="A387" s="4" t="s">
        <v>1280</v>
      </c>
      <c r="B387" s="29" t="s">
        <v>2930</v>
      </c>
      <c r="C387" s="29" t="s">
        <v>2931</v>
      </c>
      <c r="D387" s="1"/>
      <c r="E387" s="26">
        <v>43896</v>
      </c>
      <c r="F387" s="2">
        <f t="shared" si="16"/>
        <v>43910</v>
      </c>
      <c r="G387" s="1" t="s">
        <v>364</v>
      </c>
      <c r="H387" s="1">
        <v>13568</v>
      </c>
      <c r="I387" s="1" t="s">
        <v>2619</v>
      </c>
      <c r="J387" s="1" t="s">
        <v>837</v>
      </c>
      <c r="K387" s="1" t="s">
        <v>31</v>
      </c>
      <c r="L387" s="1" t="s">
        <v>2932</v>
      </c>
      <c r="M387" s="1" t="s">
        <v>32</v>
      </c>
      <c r="N387" s="1" t="s">
        <v>1227</v>
      </c>
      <c r="O387" s="1" t="s">
        <v>2933</v>
      </c>
      <c r="P387" s="1" t="s">
        <v>2934</v>
      </c>
      <c r="Q387" s="1"/>
      <c r="R387" s="1">
        <v>76060</v>
      </c>
      <c r="S387" s="53"/>
      <c r="U387" s="1" t="s">
        <v>36</v>
      </c>
      <c r="V387" s="1" t="s">
        <v>1277</v>
      </c>
      <c r="W387" s="1" t="s">
        <v>1278</v>
      </c>
      <c r="X387" s="1" t="s">
        <v>2843</v>
      </c>
    </row>
    <row r="388" spans="1:25" s="4" customFormat="1" ht="15" customHeight="1">
      <c r="A388" s="4" t="s">
        <v>1224</v>
      </c>
      <c r="B388" s="29" t="s">
        <v>2935</v>
      </c>
      <c r="C388" s="4" t="s">
        <v>2936</v>
      </c>
      <c r="D388" s="1"/>
      <c r="E388" s="26">
        <v>43657</v>
      </c>
      <c r="F388" s="2">
        <f t="shared" si="16"/>
        <v>43671</v>
      </c>
      <c r="G388" s="41" t="s">
        <v>364</v>
      </c>
      <c r="H388" s="41">
        <v>8600</v>
      </c>
      <c r="I388" s="33" t="s">
        <v>2937</v>
      </c>
      <c r="J388" s="33" t="s">
        <v>916</v>
      </c>
      <c r="K388" s="33" t="s">
        <v>31</v>
      </c>
      <c r="L388" s="1">
        <v>85750</v>
      </c>
      <c r="M388" s="1" t="s">
        <v>32</v>
      </c>
      <c r="N388" s="1" t="s">
        <v>1227</v>
      </c>
      <c r="O388" s="33"/>
      <c r="P388" s="38"/>
      <c r="Q388" s="52"/>
      <c r="R388" s="37"/>
      <c r="U388" s="4" t="s">
        <v>1264</v>
      </c>
      <c r="V388" s="1" t="s">
        <v>1253</v>
      </c>
      <c r="W388" s="4" t="s">
        <v>616</v>
      </c>
      <c r="X388" s="4" t="s">
        <v>1265</v>
      </c>
    </row>
    <row r="389" spans="1:25" s="4" customFormat="1">
      <c r="A389" s="4" t="s">
        <v>1266</v>
      </c>
      <c r="B389" s="4" t="s">
        <v>2938</v>
      </c>
      <c r="C389" s="4" t="s">
        <v>2939</v>
      </c>
      <c r="D389" s="1"/>
      <c r="E389" s="140">
        <v>43782</v>
      </c>
      <c r="F389" s="2">
        <f t="shared" si="16"/>
        <v>43796</v>
      </c>
      <c r="G389" s="1" t="s">
        <v>364</v>
      </c>
      <c r="H389" s="1">
        <v>51</v>
      </c>
      <c r="I389" s="33" t="s">
        <v>2940</v>
      </c>
      <c r="J389" s="33" t="s">
        <v>415</v>
      </c>
      <c r="K389" s="33" t="s">
        <v>31</v>
      </c>
      <c r="L389" s="33" t="s">
        <v>537</v>
      </c>
      <c r="M389" s="1" t="s">
        <v>32</v>
      </c>
      <c r="N389" s="1" t="s">
        <v>1227</v>
      </c>
      <c r="O389" s="33" t="s">
        <v>2941</v>
      </c>
      <c r="P389" s="38" t="s">
        <v>2942</v>
      </c>
      <c r="Q389" s="52"/>
      <c r="R389" s="37">
        <v>76327</v>
      </c>
    </row>
    <row r="390" spans="1:25" s="4" customFormat="1" ht="14.45" customHeight="1">
      <c r="A390" s="4" t="s">
        <v>1266</v>
      </c>
      <c r="B390" s="29" t="s">
        <v>2938</v>
      </c>
      <c r="C390" s="29" t="s">
        <v>2943</v>
      </c>
      <c r="D390" s="1"/>
      <c r="E390" s="26">
        <v>44291</v>
      </c>
      <c r="F390" s="2">
        <f t="shared" si="16"/>
        <v>44305</v>
      </c>
      <c r="G390" s="1" t="s">
        <v>364</v>
      </c>
      <c r="H390" s="1">
        <v>6550</v>
      </c>
      <c r="I390" s="1" t="s">
        <v>2944</v>
      </c>
      <c r="J390" s="1" t="s">
        <v>63</v>
      </c>
      <c r="K390" s="1" t="s">
        <v>31</v>
      </c>
      <c r="L390" s="1">
        <v>85212</v>
      </c>
      <c r="M390" s="1" t="s">
        <v>32</v>
      </c>
      <c r="N390" s="1" t="s">
        <v>1227</v>
      </c>
      <c r="O390" s="1" t="s">
        <v>2945</v>
      </c>
      <c r="P390" s="1" t="s">
        <v>2946</v>
      </c>
      <c r="Q390" s="1"/>
      <c r="R390" s="1">
        <v>76115</v>
      </c>
      <c r="U390" s="1" t="s">
        <v>36</v>
      </c>
      <c r="V390" s="1" t="s">
        <v>1277</v>
      </c>
      <c r="W390" s="1" t="s">
        <v>1278</v>
      </c>
      <c r="X390" s="1" t="s">
        <v>2843</v>
      </c>
    </row>
    <row r="391" spans="1:25" s="4" customFormat="1">
      <c r="A391" s="92" t="s">
        <v>25</v>
      </c>
      <c r="B391" s="68" t="s">
        <v>2947</v>
      </c>
      <c r="C391" s="47" t="s">
        <v>2948</v>
      </c>
      <c r="D391" s="58"/>
      <c r="E391" s="26">
        <v>44517</v>
      </c>
      <c r="F391" s="2">
        <f t="shared" si="16"/>
        <v>44531</v>
      </c>
      <c r="G391" s="2"/>
      <c r="H391" s="45">
        <v>9652</v>
      </c>
      <c r="I391" s="33" t="s">
        <v>2949</v>
      </c>
      <c r="J391" s="46" t="s">
        <v>63</v>
      </c>
      <c r="K391" s="46" t="s">
        <v>31</v>
      </c>
      <c r="L391" s="46">
        <v>85209</v>
      </c>
      <c r="M391" s="1" t="s">
        <v>32</v>
      </c>
      <c r="N391" s="1" t="s">
        <v>1227</v>
      </c>
      <c r="O391" s="46" t="s">
        <v>2950</v>
      </c>
      <c r="P391" s="46" t="s">
        <v>2951</v>
      </c>
      <c r="Q391" s="96" t="s">
        <v>2952</v>
      </c>
      <c r="R391" s="50">
        <v>84393</v>
      </c>
      <c r="S391" s="1"/>
      <c r="T391" s="1"/>
      <c r="U391" s="1"/>
      <c r="V391" s="4" t="s">
        <v>36</v>
      </c>
      <c r="W391" s="4" t="s">
        <v>1277</v>
      </c>
      <c r="X391" s="1" t="s">
        <v>59</v>
      </c>
      <c r="Y391" s="15" t="s">
        <v>1330</v>
      </c>
    </row>
    <row r="392" spans="1:25" s="4" customFormat="1">
      <c r="A392" s="93" t="s">
        <v>1240</v>
      </c>
      <c r="B392" s="29" t="s">
        <v>2947</v>
      </c>
      <c r="C392" s="4" t="s">
        <v>2953</v>
      </c>
      <c r="D392" s="2"/>
      <c r="E392" s="2">
        <v>44753</v>
      </c>
      <c r="F392" s="132">
        <f t="shared" si="16"/>
        <v>44767</v>
      </c>
      <c r="G392" s="2"/>
      <c r="H392" s="41"/>
      <c r="I392" s="15" t="s">
        <v>2954</v>
      </c>
      <c r="J392" s="1" t="s">
        <v>1510</v>
      </c>
      <c r="K392" s="1" t="s">
        <v>31</v>
      </c>
      <c r="L392" s="1"/>
      <c r="M392" s="1" t="s">
        <v>32</v>
      </c>
      <c r="O392" s="1" t="s">
        <v>2955</v>
      </c>
      <c r="P392" s="1" t="s">
        <v>2956</v>
      </c>
      <c r="Q392" s="1"/>
      <c r="R392" s="31"/>
      <c r="V392" s="4" t="s">
        <v>443</v>
      </c>
      <c r="W392" s="4" t="s">
        <v>1253</v>
      </c>
      <c r="X392" s="4" t="s">
        <v>616</v>
      </c>
      <c r="Y392" s="15" t="s">
        <v>1247</v>
      </c>
    </row>
    <row r="393" spans="1:25" s="4" customFormat="1">
      <c r="A393" s="93" t="s">
        <v>1240</v>
      </c>
      <c r="B393" s="15" t="s">
        <v>2957</v>
      </c>
      <c r="C393" s="65" t="s">
        <v>2958</v>
      </c>
      <c r="D393" s="2"/>
      <c r="E393" s="2">
        <v>44756</v>
      </c>
      <c r="F393" s="132">
        <f t="shared" si="16"/>
        <v>44770</v>
      </c>
      <c r="G393" s="2"/>
      <c r="H393" s="1">
        <v>814</v>
      </c>
      <c r="I393" s="15" t="s">
        <v>2959</v>
      </c>
      <c r="J393" s="1" t="s">
        <v>1510</v>
      </c>
      <c r="K393" s="1" t="s">
        <v>31</v>
      </c>
      <c r="L393" s="1"/>
      <c r="M393" s="1" t="s">
        <v>32</v>
      </c>
      <c r="N393" s="1" t="s">
        <v>2960</v>
      </c>
      <c r="O393" s="1" t="s">
        <v>2961</v>
      </c>
      <c r="P393" s="1" t="s">
        <v>2962</v>
      </c>
      <c r="Q393" s="129" t="s">
        <v>2963</v>
      </c>
      <c r="R393" s="1"/>
      <c r="V393" s="4" t="s">
        <v>443</v>
      </c>
      <c r="W393" s="4" t="s">
        <v>1253</v>
      </c>
      <c r="X393" s="4" t="s">
        <v>616</v>
      </c>
      <c r="Y393" s="15" t="s">
        <v>1247</v>
      </c>
    </row>
    <row r="394" spans="1:25" s="4" customFormat="1">
      <c r="A394" s="93" t="s">
        <v>1256</v>
      </c>
      <c r="B394" s="69" t="s">
        <v>2964</v>
      </c>
      <c r="C394" s="5" t="s">
        <v>2965</v>
      </c>
      <c r="D394" s="59"/>
      <c r="E394" s="26">
        <v>44715</v>
      </c>
      <c r="F394" s="2">
        <f t="shared" si="16"/>
        <v>44729</v>
      </c>
      <c r="G394" s="2"/>
      <c r="H394" s="43" t="s">
        <v>2966</v>
      </c>
      <c r="I394" s="33" t="s">
        <v>2967</v>
      </c>
      <c r="J394" s="33" t="s">
        <v>434</v>
      </c>
      <c r="K394" s="33" t="s">
        <v>31</v>
      </c>
      <c r="L394" s="33" t="s">
        <v>2968</v>
      </c>
      <c r="M394" s="33" t="s">
        <v>32</v>
      </c>
      <c r="N394" s="5"/>
      <c r="O394" s="33" t="s">
        <v>2969</v>
      </c>
      <c r="P394" s="33" t="s">
        <v>2970</v>
      </c>
      <c r="Q394" s="33"/>
      <c r="R394" s="37">
        <v>85383</v>
      </c>
      <c r="S394" s="1"/>
      <c r="T394" s="1"/>
      <c r="U394" s="1"/>
      <c r="V394" s="4" t="s">
        <v>1264</v>
      </c>
      <c r="W394" s="4" t="s">
        <v>1253</v>
      </c>
      <c r="X394" s="4" t="s">
        <v>616</v>
      </c>
      <c r="Y394" s="15" t="s">
        <v>1265</v>
      </c>
    </row>
    <row r="395" spans="1:25" s="4" customFormat="1">
      <c r="A395" s="4" t="s">
        <v>1224</v>
      </c>
      <c r="B395" s="4" t="s">
        <v>2971</v>
      </c>
      <c r="C395" s="4" t="s">
        <v>2972</v>
      </c>
      <c r="D395" s="1"/>
      <c r="E395" s="26">
        <v>43685</v>
      </c>
      <c r="F395" s="2">
        <f t="shared" si="16"/>
        <v>43699</v>
      </c>
      <c r="G395" s="1" t="s">
        <v>364</v>
      </c>
      <c r="H395" s="1">
        <v>14500</v>
      </c>
      <c r="I395" s="1" t="s">
        <v>2973</v>
      </c>
      <c r="J395" s="1" t="s">
        <v>916</v>
      </c>
      <c r="K395" s="1" t="s">
        <v>31</v>
      </c>
      <c r="L395" s="1">
        <v>85641</v>
      </c>
      <c r="M395" s="1" t="s">
        <v>32</v>
      </c>
      <c r="N395" s="1" t="s">
        <v>1227</v>
      </c>
      <c r="O395" s="1" t="s">
        <v>2974</v>
      </c>
      <c r="P395" s="1" t="s">
        <v>2975</v>
      </c>
      <c r="Q395" s="1"/>
      <c r="R395" s="31">
        <v>77397</v>
      </c>
      <c r="S395" s="1"/>
      <c r="T395" s="1"/>
      <c r="U395" s="4" t="s">
        <v>1264</v>
      </c>
      <c r="V395" s="1" t="s">
        <v>1253</v>
      </c>
      <c r="W395" s="4" t="s">
        <v>616</v>
      </c>
      <c r="X395" s="4" t="s">
        <v>1265</v>
      </c>
    </row>
    <row r="396" spans="1:25" s="4" customFormat="1">
      <c r="A396" s="4" t="s">
        <v>1224</v>
      </c>
      <c r="B396" s="29" t="s">
        <v>2976</v>
      </c>
      <c r="C396" s="29" t="s">
        <v>2977</v>
      </c>
      <c r="D396" s="1"/>
      <c r="E396" s="26"/>
      <c r="F396" s="2"/>
      <c r="G396" s="1"/>
      <c r="H396" s="1" t="s">
        <v>364</v>
      </c>
      <c r="I396" s="1" t="s">
        <v>2978</v>
      </c>
      <c r="J396" s="1" t="s">
        <v>916</v>
      </c>
      <c r="K396" s="1" t="s">
        <v>31</v>
      </c>
      <c r="L396" s="1" t="s">
        <v>364</v>
      </c>
      <c r="M396" s="1" t="s">
        <v>32</v>
      </c>
      <c r="N396" s="1" t="s">
        <v>1227</v>
      </c>
      <c r="O396" s="1"/>
      <c r="P396" s="1"/>
      <c r="Q396" s="1"/>
      <c r="R396" s="1"/>
    </row>
    <row r="397" spans="1:25" s="4" customFormat="1">
      <c r="A397" s="4" t="s">
        <v>1224</v>
      </c>
      <c r="B397" s="29" t="s">
        <v>2976</v>
      </c>
      <c r="C397" s="29" t="s">
        <v>2979</v>
      </c>
      <c r="D397" s="1"/>
      <c r="E397" s="26"/>
      <c r="F397" s="2"/>
      <c r="G397" s="1"/>
      <c r="H397" s="1" t="s">
        <v>364</v>
      </c>
      <c r="I397" s="1" t="s">
        <v>2980</v>
      </c>
      <c r="J397" s="1" t="s">
        <v>916</v>
      </c>
      <c r="K397" s="1" t="s">
        <v>31</v>
      </c>
      <c r="L397" s="1" t="s">
        <v>364</v>
      </c>
      <c r="M397" s="1" t="s">
        <v>32</v>
      </c>
      <c r="N397" s="1" t="s">
        <v>1227</v>
      </c>
      <c r="O397" s="1"/>
      <c r="P397" s="1"/>
      <c r="Q397" s="1"/>
      <c r="R397" s="1"/>
    </row>
    <row r="398" spans="1:25" s="4" customFormat="1" ht="15" customHeight="1">
      <c r="A398" s="4" t="s">
        <v>1546</v>
      </c>
      <c r="B398" s="68" t="s">
        <v>2976</v>
      </c>
      <c r="C398" s="47" t="s">
        <v>2981</v>
      </c>
      <c r="D398" s="46"/>
      <c r="E398" s="138"/>
      <c r="F398" s="58"/>
      <c r="G398" s="45"/>
      <c r="H398" s="46" t="s">
        <v>364</v>
      </c>
      <c r="I398" s="33" t="s">
        <v>2982</v>
      </c>
      <c r="J398" s="46" t="s">
        <v>975</v>
      </c>
      <c r="K398" s="46" t="s">
        <v>31</v>
      </c>
      <c r="L398" s="46"/>
      <c r="M398" s="1" t="s">
        <v>32</v>
      </c>
      <c r="N398" s="1" t="s">
        <v>1227</v>
      </c>
      <c r="O398" s="46"/>
      <c r="P398" s="50"/>
      <c r="Q398" s="74"/>
      <c r="R398" s="74"/>
    </row>
    <row r="399" spans="1:25" s="4" customFormat="1" ht="30">
      <c r="A399" s="4" t="s">
        <v>1546</v>
      </c>
      <c r="B399" s="68" t="s">
        <v>2976</v>
      </c>
      <c r="C399" s="47" t="s">
        <v>2983</v>
      </c>
      <c r="D399" s="46"/>
      <c r="E399" s="138"/>
      <c r="F399" s="2"/>
      <c r="G399" s="45"/>
      <c r="H399" s="46" t="s">
        <v>364</v>
      </c>
      <c r="I399" s="33" t="s">
        <v>2984</v>
      </c>
      <c r="J399" s="46"/>
      <c r="K399" s="46" t="s">
        <v>31</v>
      </c>
      <c r="L399" s="46"/>
      <c r="M399" s="1" t="s">
        <v>32</v>
      </c>
      <c r="N399" s="1" t="s">
        <v>1227</v>
      </c>
      <c r="O399" s="46"/>
      <c r="P399" s="46"/>
      <c r="Q399" s="50"/>
      <c r="R399" s="50"/>
      <c r="U399" s="4" t="s">
        <v>1264</v>
      </c>
      <c r="V399" s="1" t="s">
        <v>1253</v>
      </c>
      <c r="W399" s="4" t="s">
        <v>616</v>
      </c>
      <c r="X399" s="4" t="s">
        <v>1265</v>
      </c>
    </row>
    <row r="400" spans="1:25" s="4" customFormat="1">
      <c r="A400" s="4" t="s">
        <v>1546</v>
      </c>
      <c r="B400" s="29" t="s">
        <v>2976</v>
      </c>
      <c r="C400" s="29" t="s">
        <v>2985</v>
      </c>
      <c r="D400" s="1"/>
      <c r="E400" s="26"/>
      <c r="F400" s="2"/>
      <c r="G400" s="1"/>
      <c r="H400" s="1" t="s">
        <v>364</v>
      </c>
      <c r="I400" s="1" t="s">
        <v>2986</v>
      </c>
      <c r="J400" s="1" t="s">
        <v>1566</v>
      </c>
      <c r="K400" s="1" t="s">
        <v>31</v>
      </c>
      <c r="L400" s="1" t="s">
        <v>364</v>
      </c>
      <c r="M400" s="1" t="s">
        <v>32</v>
      </c>
      <c r="N400" s="1" t="s">
        <v>1227</v>
      </c>
      <c r="O400" s="1"/>
      <c r="P400" s="1"/>
      <c r="Q400" s="1"/>
      <c r="R400" s="1"/>
      <c r="U400" s="1" t="s">
        <v>36</v>
      </c>
      <c r="V400" s="1" t="s">
        <v>1277</v>
      </c>
      <c r="W400" s="1" t="s">
        <v>1278</v>
      </c>
      <c r="X400" s="1" t="s">
        <v>2843</v>
      </c>
    </row>
    <row r="401" spans="1:26" s="4" customFormat="1" ht="15" customHeight="1">
      <c r="A401" s="4" t="s">
        <v>1266</v>
      </c>
      <c r="B401" s="29" t="s">
        <v>2987</v>
      </c>
      <c r="C401" s="29" t="s">
        <v>2988</v>
      </c>
      <c r="D401" s="1"/>
      <c r="E401" s="26">
        <v>44025</v>
      </c>
      <c r="F401" s="2">
        <f t="shared" ref="F401:F408" si="17">E401+14</f>
        <v>44039</v>
      </c>
      <c r="G401" s="1" t="s">
        <v>364</v>
      </c>
      <c r="H401" s="1">
        <v>651</v>
      </c>
      <c r="I401" s="1" t="s">
        <v>2989</v>
      </c>
      <c r="J401" s="1" t="s">
        <v>298</v>
      </c>
      <c r="K401" s="1" t="s">
        <v>31</v>
      </c>
      <c r="L401" s="1">
        <v>85120</v>
      </c>
      <c r="M401" s="1" t="s">
        <v>32</v>
      </c>
      <c r="N401" s="1" t="s">
        <v>1227</v>
      </c>
      <c r="O401" s="1" t="s">
        <v>2990</v>
      </c>
      <c r="P401" s="1" t="s">
        <v>2991</v>
      </c>
      <c r="Q401" s="1"/>
      <c r="R401" s="1">
        <v>77622</v>
      </c>
      <c r="S401" s="1"/>
      <c r="T401" s="1"/>
      <c r="U401" s="1" t="s">
        <v>36</v>
      </c>
      <c r="V401" s="1" t="s">
        <v>1277</v>
      </c>
      <c r="W401" s="1" t="s">
        <v>1278</v>
      </c>
      <c r="X401" s="1" t="s">
        <v>2843</v>
      </c>
    </row>
    <row r="402" spans="1:26" s="4" customFormat="1">
      <c r="A402" s="4" t="s">
        <v>1256</v>
      </c>
      <c r="B402" s="29" t="s">
        <v>2992</v>
      </c>
      <c r="C402" s="29" t="s">
        <v>2993</v>
      </c>
      <c r="D402" s="1"/>
      <c r="E402" s="26">
        <v>44358</v>
      </c>
      <c r="F402" s="2">
        <f t="shared" si="17"/>
        <v>44372</v>
      </c>
      <c r="G402" s="1" t="s">
        <v>364</v>
      </c>
      <c r="H402" s="1">
        <v>15510</v>
      </c>
      <c r="I402" s="1" t="s">
        <v>2994</v>
      </c>
      <c r="J402" s="1" t="s">
        <v>837</v>
      </c>
      <c r="K402" s="1" t="s">
        <v>31</v>
      </c>
      <c r="L402" s="1">
        <v>85379</v>
      </c>
      <c r="M402" s="1" t="s">
        <v>32</v>
      </c>
      <c r="N402" s="1" t="s">
        <v>1227</v>
      </c>
      <c r="O402" s="25" t="s">
        <v>2995</v>
      </c>
      <c r="P402" s="1" t="s">
        <v>2996</v>
      </c>
      <c r="Q402" s="1" t="s">
        <v>364</v>
      </c>
      <c r="R402" s="1">
        <v>79013</v>
      </c>
      <c r="S402" s="47"/>
      <c r="T402" s="51"/>
      <c r="U402" s="1"/>
      <c r="V402" s="1"/>
    </row>
    <row r="403" spans="1:26" s="4" customFormat="1" ht="15" customHeight="1">
      <c r="A403" s="165" t="s">
        <v>1240</v>
      </c>
      <c r="B403" s="69" t="s">
        <v>2992</v>
      </c>
      <c r="C403" s="5" t="s">
        <v>2997</v>
      </c>
      <c r="D403" s="59"/>
      <c r="E403" s="2">
        <v>44768</v>
      </c>
      <c r="F403" s="132">
        <f t="shared" si="17"/>
        <v>44782</v>
      </c>
      <c r="G403" s="2"/>
      <c r="H403" s="43" t="s">
        <v>379</v>
      </c>
      <c r="I403" s="7" t="s">
        <v>2998</v>
      </c>
      <c r="J403" s="33" t="s">
        <v>822</v>
      </c>
      <c r="K403" s="33" t="s">
        <v>31</v>
      </c>
      <c r="L403" s="33"/>
      <c r="M403" s="33" t="s">
        <v>32</v>
      </c>
      <c r="N403" s="5"/>
      <c r="O403" s="33" t="s">
        <v>2999</v>
      </c>
      <c r="P403" s="33" t="s">
        <v>3000</v>
      </c>
      <c r="Q403" s="33"/>
      <c r="R403" s="37">
        <v>83829</v>
      </c>
      <c r="V403" s="4" t="s">
        <v>443</v>
      </c>
      <c r="W403" s="4" t="s">
        <v>37</v>
      </c>
      <c r="X403" s="4" t="s">
        <v>616</v>
      </c>
      <c r="Y403" s="15" t="s">
        <v>1247</v>
      </c>
      <c r="Z403" s="1"/>
    </row>
    <row r="404" spans="1:26" s="4" customFormat="1">
      <c r="A404" s="164" t="s">
        <v>1240</v>
      </c>
      <c r="B404" s="69" t="s">
        <v>2992</v>
      </c>
      <c r="C404" s="5" t="s">
        <v>3001</v>
      </c>
      <c r="D404" s="59"/>
      <c r="E404" s="2">
        <v>44852</v>
      </c>
      <c r="F404" s="2">
        <f t="shared" si="17"/>
        <v>44866</v>
      </c>
      <c r="G404" s="2"/>
      <c r="H404" s="43" t="s">
        <v>3002</v>
      </c>
      <c r="I404" s="7" t="s">
        <v>2590</v>
      </c>
      <c r="J404" s="33" t="s">
        <v>844</v>
      </c>
      <c r="K404" s="33" t="s">
        <v>31</v>
      </c>
      <c r="L404" s="33" t="s">
        <v>1685</v>
      </c>
      <c r="M404" s="33" t="s">
        <v>32</v>
      </c>
      <c r="N404" s="5"/>
      <c r="O404" s="33" t="s">
        <v>3003</v>
      </c>
      <c r="P404" s="33" t="s">
        <v>3004</v>
      </c>
      <c r="Q404" s="87" t="s">
        <v>3005</v>
      </c>
      <c r="R404" s="37">
        <v>84903</v>
      </c>
      <c r="S404" s="47"/>
      <c r="T404" s="47"/>
      <c r="U404" s="51"/>
      <c r="V404" s="4" t="s">
        <v>443</v>
      </c>
      <c r="W404" s="4" t="s">
        <v>37</v>
      </c>
      <c r="X404" s="4" t="s">
        <v>616</v>
      </c>
      <c r="Y404" s="167" t="s">
        <v>1247</v>
      </c>
      <c r="Z404" s="168"/>
    </row>
    <row r="405" spans="1:26" s="4" customFormat="1">
      <c r="A405" s="163" t="s">
        <v>25</v>
      </c>
      <c r="B405" s="29" t="s">
        <v>2992</v>
      </c>
      <c r="C405" s="4" t="s">
        <v>3006</v>
      </c>
      <c r="D405" s="2"/>
      <c r="E405" s="2">
        <v>44880</v>
      </c>
      <c r="F405" s="2">
        <f t="shared" si="17"/>
        <v>44894</v>
      </c>
      <c r="G405" s="2"/>
      <c r="H405" s="41">
        <v>10415</v>
      </c>
      <c r="I405" s="15" t="s">
        <v>2949</v>
      </c>
      <c r="J405" s="1" t="s">
        <v>63</v>
      </c>
      <c r="K405" s="1" t="s">
        <v>31</v>
      </c>
      <c r="L405" s="1">
        <v>85209</v>
      </c>
      <c r="M405" s="1" t="s">
        <v>32</v>
      </c>
      <c r="O405" s="1" t="s">
        <v>3007</v>
      </c>
      <c r="P405" s="1" t="s">
        <v>3008</v>
      </c>
      <c r="Q405" s="183" t="s">
        <v>3009</v>
      </c>
      <c r="R405" s="31">
        <v>87570</v>
      </c>
      <c r="S405" s="1"/>
      <c r="T405" s="1"/>
      <c r="U405" s="1"/>
      <c r="V405" s="4" t="s">
        <v>36</v>
      </c>
      <c r="W405" s="4" t="s">
        <v>37</v>
      </c>
      <c r="X405" s="1" t="s">
        <v>59</v>
      </c>
      <c r="Y405" s="167" t="s">
        <v>39</v>
      </c>
      <c r="Z405" s="168"/>
    </row>
    <row r="406" spans="1:26" s="4" customFormat="1">
      <c r="A406" s="93" t="s">
        <v>1256</v>
      </c>
      <c r="B406" s="15" t="s">
        <v>3010</v>
      </c>
      <c r="C406" s="29" t="s">
        <v>3011</v>
      </c>
      <c r="E406" s="26">
        <v>44551</v>
      </c>
      <c r="F406" s="2">
        <f t="shared" si="17"/>
        <v>44565</v>
      </c>
      <c r="G406" s="15"/>
      <c r="H406" s="1"/>
      <c r="I406" s="1" t="s">
        <v>3012</v>
      </c>
      <c r="J406" s="1" t="s">
        <v>837</v>
      </c>
      <c r="K406" s="1" t="s">
        <v>31</v>
      </c>
      <c r="L406" s="1"/>
      <c r="M406" s="1" t="s">
        <v>32</v>
      </c>
      <c r="N406" s="1" t="s">
        <v>1227</v>
      </c>
      <c r="O406" s="1" t="s">
        <v>3013</v>
      </c>
      <c r="P406" s="1" t="s">
        <v>3014</v>
      </c>
      <c r="Q406" s="87" t="s">
        <v>3015</v>
      </c>
      <c r="R406" s="1">
        <v>92262</v>
      </c>
      <c r="V406" s="4" t="s">
        <v>1264</v>
      </c>
      <c r="W406" s="4" t="s">
        <v>1253</v>
      </c>
      <c r="X406" s="4" t="s">
        <v>616</v>
      </c>
      <c r="Y406" s="15" t="s">
        <v>1265</v>
      </c>
    </row>
    <row r="407" spans="1:26" s="4" customFormat="1">
      <c r="A407" s="4" t="s">
        <v>1266</v>
      </c>
      <c r="B407" s="118" t="s">
        <v>3016</v>
      </c>
      <c r="C407" s="4" t="s">
        <v>3017</v>
      </c>
      <c r="D407" s="1"/>
      <c r="E407" s="140">
        <v>43852</v>
      </c>
      <c r="F407" s="2">
        <f t="shared" si="17"/>
        <v>43866</v>
      </c>
      <c r="G407" s="41" t="s">
        <v>364</v>
      </c>
      <c r="H407" s="41">
        <v>2100</v>
      </c>
      <c r="I407" s="33" t="s">
        <v>3018</v>
      </c>
      <c r="J407" s="33" t="s">
        <v>415</v>
      </c>
      <c r="K407" s="33" t="s">
        <v>31</v>
      </c>
      <c r="L407" s="33" t="s">
        <v>537</v>
      </c>
      <c r="M407" s="1" t="s">
        <v>32</v>
      </c>
      <c r="N407" s="1" t="s">
        <v>1227</v>
      </c>
      <c r="O407" s="33" t="s">
        <v>3019</v>
      </c>
      <c r="P407" s="38" t="s">
        <v>3020</v>
      </c>
      <c r="Q407" s="52"/>
      <c r="R407" s="127">
        <v>67035</v>
      </c>
      <c r="U407" s="1" t="s">
        <v>36</v>
      </c>
      <c r="V407" s="1" t="s">
        <v>1277</v>
      </c>
      <c r="W407" s="1" t="s">
        <v>1278</v>
      </c>
      <c r="X407" s="1" t="s">
        <v>2843</v>
      </c>
    </row>
    <row r="408" spans="1:26" s="4" customFormat="1">
      <c r="A408" s="4" t="s">
        <v>1280</v>
      </c>
      <c r="B408" s="118" t="s">
        <v>3016</v>
      </c>
      <c r="C408" s="4" t="s">
        <v>3021</v>
      </c>
      <c r="D408" s="1"/>
      <c r="E408" s="26">
        <v>43852</v>
      </c>
      <c r="F408" s="2">
        <f t="shared" si="17"/>
        <v>43866</v>
      </c>
      <c r="G408" s="41" t="s">
        <v>364</v>
      </c>
      <c r="H408" s="41">
        <v>2800</v>
      </c>
      <c r="I408" s="1" t="s">
        <v>474</v>
      </c>
      <c r="J408" s="33" t="s">
        <v>434</v>
      </c>
      <c r="K408" s="33" t="s">
        <v>31</v>
      </c>
      <c r="L408" s="33" t="s">
        <v>2887</v>
      </c>
      <c r="M408" s="1" t="s">
        <v>32</v>
      </c>
      <c r="N408" s="1" t="s">
        <v>1227</v>
      </c>
      <c r="O408" s="33" t="s">
        <v>3019</v>
      </c>
      <c r="P408" s="11" t="s">
        <v>3020</v>
      </c>
      <c r="Q408" s="213"/>
      <c r="R408" s="127">
        <v>542088</v>
      </c>
      <c r="U408" s="1" t="s">
        <v>36</v>
      </c>
      <c r="V408" s="1" t="s">
        <v>1277</v>
      </c>
      <c r="W408" s="1" t="s">
        <v>1278</v>
      </c>
      <c r="X408" s="1" t="s">
        <v>2843</v>
      </c>
    </row>
    <row r="409" spans="1:26" s="4" customFormat="1">
      <c r="A409" s="4" t="s">
        <v>1546</v>
      </c>
      <c r="B409" s="68" t="s">
        <v>3022</v>
      </c>
      <c r="C409" s="47" t="s">
        <v>3023</v>
      </c>
      <c r="D409" s="46"/>
      <c r="E409" s="138"/>
      <c r="F409" s="58"/>
      <c r="G409" s="66" t="s">
        <v>364</v>
      </c>
      <c r="H409" s="66">
        <v>260</v>
      </c>
      <c r="I409" s="33" t="s">
        <v>3024</v>
      </c>
      <c r="J409" s="46" t="s">
        <v>916</v>
      </c>
      <c r="K409" s="46" t="s">
        <v>31</v>
      </c>
      <c r="L409" s="46" t="s">
        <v>3025</v>
      </c>
      <c r="M409" s="1" t="s">
        <v>32</v>
      </c>
      <c r="N409" s="1" t="s">
        <v>1227</v>
      </c>
      <c r="O409" s="46"/>
      <c r="P409" s="50"/>
      <c r="Q409" s="1"/>
      <c r="R409" s="1"/>
      <c r="U409" s="1" t="s">
        <v>36</v>
      </c>
      <c r="V409" s="1" t="s">
        <v>1277</v>
      </c>
      <c r="W409" s="1" t="s">
        <v>1278</v>
      </c>
      <c r="X409" s="1" t="s">
        <v>2843</v>
      </c>
    </row>
    <row r="410" spans="1:26" s="4" customFormat="1" ht="15" customHeight="1">
      <c r="A410" s="164" t="s">
        <v>1240</v>
      </c>
      <c r="B410" s="29" t="s">
        <v>3026</v>
      </c>
      <c r="C410" s="4" t="s">
        <v>3027</v>
      </c>
      <c r="D410" s="130"/>
      <c r="E410" s="2">
        <v>44830</v>
      </c>
      <c r="F410" s="60">
        <f>E410+14</f>
        <v>44844</v>
      </c>
      <c r="G410" s="2"/>
      <c r="H410" s="41">
        <v>6261</v>
      </c>
      <c r="I410" s="15" t="s">
        <v>3028</v>
      </c>
      <c r="J410" s="1" t="s">
        <v>1348</v>
      </c>
      <c r="K410" s="1" t="s">
        <v>31</v>
      </c>
      <c r="L410" s="1">
        <v>85301</v>
      </c>
      <c r="M410" s="1" t="s">
        <v>32</v>
      </c>
      <c r="O410" s="1" t="s">
        <v>3029</v>
      </c>
      <c r="P410" s="1" t="s">
        <v>3030</v>
      </c>
      <c r="Q410" s="87" t="s">
        <v>3031</v>
      </c>
      <c r="R410" s="174"/>
      <c r="V410" s="4" t="s">
        <v>443</v>
      </c>
      <c r="W410" s="4" t="s">
        <v>37</v>
      </c>
      <c r="X410" s="4" t="s">
        <v>616</v>
      </c>
      <c r="Y410" s="167" t="s">
        <v>1247</v>
      </c>
      <c r="Z410" s="168"/>
    </row>
    <row r="411" spans="1:26" s="4" customFormat="1" ht="15" customHeight="1">
      <c r="A411" s="4" t="s">
        <v>1309</v>
      </c>
      <c r="B411" s="4" t="s">
        <v>3032</v>
      </c>
      <c r="C411" s="29" t="s">
        <v>3033</v>
      </c>
      <c r="D411" s="1"/>
      <c r="F411" s="1"/>
      <c r="G411" s="1" t="s">
        <v>364</v>
      </c>
      <c r="H411" s="1">
        <v>3614</v>
      </c>
      <c r="I411" s="1" t="s">
        <v>3034</v>
      </c>
      <c r="J411" s="1" t="s">
        <v>1358</v>
      </c>
      <c r="K411" s="1" t="s">
        <v>31</v>
      </c>
      <c r="L411" s="1">
        <v>85331</v>
      </c>
      <c r="M411" s="1" t="s">
        <v>32</v>
      </c>
      <c r="N411" s="1" t="s">
        <v>1227</v>
      </c>
      <c r="O411" s="1" t="s">
        <v>3035</v>
      </c>
      <c r="P411" s="1" t="s">
        <v>3036</v>
      </c>
      <c r="Q411" s="87" t="s">
        <v>3037</v>
      </c>
      <c r="R411" s="1">
        <v>88847</v>
      </c>
      <c r="U411" s="1" t="s">
        <v>36</v>
      </c>
      <c r="V411" s="1" t="s">
        <v>1277</v>
      </c>
      <c r="W411" s="1" t="s">
        <v>1278</v>
      </c>
      <c r="X411" s="1" t="s">
        <v>2843</v>
      </c>
    </row>
    <row r="412" spans="1:26" s="4" customFormat="1">
      <c r="A412" s="4" t="s">
        <v>1280</v>
      </c>
      <c r="B412" s="29" t="s">
        <v>3038</v>
      </c>
      <c r="C412" s="29" t="s">
        <v>3039</v>
      </c>
      <c r="D412" s="1"/>
      <c r="E412" s="26">
        <v>43929</v>
      </c>
      <c r="F412" s="2">
        <f>E412+14</f>
        <v>43943</v>
      </c>
      <c r="G412" s="1" t="s">
        <v>364</v>
      </c>
      <c r="H412" s="1">
        <v>1510</v>
      </c>
      <c r="I412" s="1" t="s">
        <v>3040</v>
      </c>
      <c r="J412" s="1" t="s">
        <v>434</v>
      </c>
      <c r="K412" s="1" t="s">
        <v>31</v>
      </c>
      <c r="L412" s="1" t="s">
        <v>3041</v>
      </c>
      <c r="M412" s="1" t="s">
        <v>32</v>
      </c>
      <c r="N412" s="1" t="s">
        <v>1227</v>
      </c>
      <c r="O412" s="1" t="s">
        <v>3042</v>
      </c>
      <c r="P412" s="1" t="s">
        <v>3043</v>
      </c>
      <c r="Q412" s="1"/>
      <c r="R412" s="1">
        <v>76900</v>
      </c>
      <c r="S412" s="1"/>
      <c r="T412" s="1"/>
      <c r="U412" s="4" t="s">
        <v>1264</v>
      </c>
      <c r="V412" s="1" t="s">
        <v>1253</v>
      </c>
      <c r="W412" s="4" t="s">
        <v>616</v>
      </c>
      <c r="X412" s="4" t="s">
        <v>1265</v>
      </c>
    </row>
    <row r="413" spans="1:26" s="4" customFormat="1" ht="15" customHeight="1">
      <c r="A413" s="4" t="s">
        <v>1266</v>
      </c>
      <c r="B413" s="29" t="s">
        <v>3044</v>
      </c>
      <c r="C413" s="29" t="s">
        <v>3045</v>
      </c>
      <c r="D413" s="1"/>
      <c r="E413" s="26">
        <v>44019</v>
      </c>
      <c r="F413" s="2">
        <f>E413+14</f>
        <v>44033</v>
      </c>
      <c r="G413" s="1" t="s">
        <v>364</v>
      </c>
      <c r="H413" s="1">
        <v>4500</v>
      </c>
      <c r="I413" s="25" t="s">
        <v>1790</v>
      </c>
      <c r="J413" s="1" t="s">
        <v>49</v>
      </c>
      <c r="K413" s="1" t="s">
        <v>31</v>
      </c>
      <c r="L413" s="1">
        <v>85296</v>
      </c>
      <c r="M413" s="1" t="s">
        <v>32</v>
      </c>
      <c r="N413" s="1" t="s">
        <v>1227</v>
      </c>
      <c r="O413" s="25" t="s">
        <v>3046</v>
      </c>
      <c r="P413" s="1" t="s">
        <v>3047</v>
      </c>
      <c r="Q413" s="25"/>
      <c r="R413" s="1">
        <v>71630</v>
      </c>
    </row>
    <row r="414" spans="1:26" s="4" customFormat="1">
      <c r="A414" s="122" t="s">
        <v>1256</v>
      </c>
      <c r="B414" s="29" t="s">
        <v>3044</v>
      </c>
      <c r="C414" s="29" t="s">
        <v>1336</v>
      </c>
      <c r="D414" s="2"/>
      <c r="E414" s="26">
        <v>44487</v>
      </c>
      <c r="F414" s="2">
        <f>E414+14</f>
        <v>44501</v>
      </c>
      <c r="G414" s="2"/>
      <c r="H414" s="1">
        <v>24602</v>
      </c>
      <c r="I414" s="1" t="s">
        <v>3048</v>
      </c>
      <c r="J414" s="1" t="s">
        <v>851</v>
      </c>
      <c r="K414" s="1" t="s">
        <v>31</v>
      </c>
      <c r="L414" s="1">
        <v>85383</v>
      </c>
      <c r="M414" s="1" t="s">
        <v>32</v>
      </c>
      <c r="N414" s="1" t="s">
        <v>1227</v>
      </c>
      <c r="O414" s="1" t="s">
        <v>3049</v>
      </c>
      <c r="P414" s="1" t="s">
        <v>3050</v>
      </c>
      <c r="Q414" s="1"/>
      <c r="R414" s="1"/>
      <c r="U414" s="4" t="s">
        <v>1264</v>
      </c>
      <c r="V414" s="1" t="s">
        <v>1253</v>
      </c>
      <c r="W414" s="4" t="s">
        <v>616</v>
      </c>
      <c r="X414" s="4" t="s">
        <v>1265</v>
      </c>
    </row>
    <row r="415" spans="1:26" s="4" customFormat="1">
      <c r="A415" s="92" t="s">
        <v>25</v>
      </c>
      <c r="B415" s="15" t="s">
        <v>3044</v>
      </c>
      <c r="C415" s="65" t="s">
        <v>3051</v>
      </c>
      <c r="D415" s="2"/>
      <c r="E415" s="137">
        <v>44691</v>
      </c>
      <c r="F415" s="2">
        <f>E415+14</f>
        <v>44705</v>
      </c>
      <c r="G415" s="2"/>
      <c r="H415" s="1">
        <v>1233</v>
      </c>
      <c r="I415" s="1" t="s">
        <v>2817</v>
      </c>
      <c r="J415" s="1" t="s">
        <v>49</v>
      </c>
      <c r="K415" s="1" t="s">
        <v>31</v>
      </c>
      <c r="L415" s="1"/>
      <c r="M415" s="1" t="s">
        <v>32</v>
      </c>
      <c r="N415" s="1" t="s">
        <v>3052</v>
      </c>
      <c r="O415" s="1" t="s">
        <v>3053</v>
      </c>
      <c r="P415" s="1" t="s">
        <v>3054</v>
      </c>
      <c r="Q415" s="129" t="s">
        <v>3055</v>
      </c>
      <c r="R415" s="1">
        <v>82435</v>
      </c>
      <c r="V415" s="4" t="s">
        <v>36</v>
      </c>
      <c r="W415" s="4" t="s">
        <v>1277</v>
      </c>
      <c r="X415" s="1" t="s">
        <v>59</v>
      </c>
      <c r="Y415" s="15" t="s">
        <v>1330</v>
      </c>
    </row>
    <row r="416" spans="1:26" s="4" customFormat="1" ht="15" customHeight="1">
      <c r="A416" s="4" t="s">
        <v>1256</v>
      </c>
      <c r="B416" s="4" t="s">
        <v>3056</v>
      </c>
      <c r="C416" s="29" t="s">
        <v>3057</v>
      </c>
      <c r="D416" s="1"/>
      <c r="E416" s="4" t="s">
        <v>364</v>
      </c>
      <c r="F416" s="1" t="s">
        <v>364</v>
      </c>
      <c r="G416" s="1" t="s">
        <v>3058</v>
      </c>
      <c r="H416" s="1">
        <v>6725</v>
      </c>
      <c r="I416" s="1" t="s">
        <v>2207</v>
      </c>
      <c r="J416" s="1" t="s">
        <v>434</v>
      </c>
      <c r="K416" s="1" t="s">
        <v>31</v>
      </c>
      <c r="L416" s="1">
        <v>85339</v>
      </c>
      <c r="M416" s="1" t="s">
        <v>32</v>
      </c>
      <c r="N416" s="1" t="s">
        <v>1227</v>
      </c>
      <c r="O416" s="1" t="s">
        <v>3059</v>
      </c>
      <c r="P416" s="1" t="s">
        <v>3060</v>
      </c>
      <c r="Q416" s="87" t="s">
        <v>3061</v>
      </c>
      <c r="R416" s="1">
        <v>86988</v>
      </c>
      <c r="S416" s="47"/>
      <c r="T416" s="51"/>
      <c r="U416" s="1" t="s">
        <v>36</v>
      </c>
      <c r="V416" s="1" t="s">
        <v>1277</v>
      </c>
      <c r="W416" s="1" t="s">
        <v>1278</v>
      </c>
      <c r="X416" s="1" t="s">
        <v>2843</v>
      </c>
    </row>
    <row r="417" spans="1:26" s="4" customFormat="1">
      <c r="A417" s="4" t="s">
        <v>1256</v>
      </c>
      <c r="B417" s="4" t="s">
        <v>3056</v>
      </c>
      <c r="C417" s="29" t="s">
        <v>3062</v>
      </c>
      <c r="D417" s="1"/>
      <c r="E417" s="4" t="s">
        <v>364</v>
      </c>
      <c r="F417" s="1" t="s">
        <v>364</v>
      </c>
      <c r="G417" s="1" t="s">
        <v>3063</v>
      </c>
      <c r="H417" s="1">
        <v>2015</v>
      </c>
      <c r="I417" s="1" t="s">
        <v>3064</v>
      </c>
      <c r="J417" s="1" t="s">
        <v>434</v>
      </c>
      <c r="K417" s="1" t="s">
        <v>31</v>
      </c>
      <c r="L417" s="1"/>
      <c r="M417" s="1" t="s">
        <v>32</v>
      </c>
      <c r="N417" s="1" t="s">
        <v>1227</v>
      </c>
      <c r="O417" s="1" t="s">
        <v>3065</v>
      </c>
      <c r="P417" s="1" t="s">
        <v>3066</v>
      </c>
      <c r="Q417" s="83" t="s">
        <v>3067</v>
      </c>
      <c r="R417" s="1">
        <v>84459</v>
      </c>
      <c r="S417" s="1"/>
      <c r="T417" s="1"/>
      <c r="U417" s="4" t="s">
        <v>1264</v>
      </c>
      <c r="V417" s="1" t="s">
        <v>1253</v>
      </c>
      <c r="W417" s="4" t="s">
        <v>616</v>
      </c>
      <c r="X417" s="4" t="s">
        <v>1265</v>
      </c>
    </row>
    <row r="418" spans="1:26" s="4" customFormat="1">
      <c r="A418" s="4" t="s">
        <v>1280</v>
      </c>
      <c r="B418" s="4" t="s">
        <v>3068</v>
      </c>
      <c r="C418" s="4" t="s">
        <v>3069</v>
      </c>
      <c r="D418" s="1"/>
      <c r="E418" s="26">
        <v>43727</v>
      </c>
      <c r="F418" s="2">
        <f>E418+14</f>
        <v>43741</v>
      </c>
      <c r="G418" s="1" t="s">
        <v>364</v>
      </c>
      <c r="H418" s="1">
        <v>9033</v>
      </c>
      <c r="I418" s="1" t="s">
        <v>1135</v>
      </c>
      <c r="J418" s="33" t="s">
        <v>894</v>
      </c>
      <c r="K418" s="33" t="s">
        <v>31</v>
      </c>
      <c r="L418" s="33" t="s">
        <v>2517</v>
      </c>
      <c r="M418" s="1" t="s">
        <v>32</v>
      </c>
      <c r="N418" s="1" t="s">
        <v>1227</v>
      </c>
      <c r="O418" s="33" t="s">
        <v>3070</v>
      </c>
      <c r="P418" s="11" t="s">
        <v>3071</v>
      </c>
      <c r="Q418" s="52"/>
      <c r="R418" s="37">
        <v>71736</v>
      </c>
      <c r="U418" s="1" t="s">
        <v>36</v>
      </c>
      <c r="V418" s="1" t="s">
        <v>1277</v>
      </c>
      <c r="W418" s="1" t="s">
        <v>1278</v>
      </c>
      <c r="X418" s="1" t="s">
        <v>2843</v>
      </c>
    </row>
    <row r="419" spans="1:26" s="4" customFormat="1" ht="15" customHeight="1">
      <c r="A419" s="180" t="s">
        <v>1240</v>
      </c>
      <c r="B419" s="15" t="s">
        <v>3072</v>
      </c>
      <c r="C419" s="29" t="s">
        <v>3073</v>
      </c>
      <c r="E419" s="181">
        <v>44903</v>
      </c>
      <c r="F419" s="2">
        <f>E419+14</f>
        <v>44917</v>
      </c>
      <c r="G419" s="15"/>
      <c r="H419" s="1">
        <v>600</v>
      </c>
      <c r="I419" s="4" t="s">
        <v>3074</v>
      </c>
      <c r="J419" s="1" t="s">
        <v>1425</v>
      </c>
      <c r="K419" s="1" t="s">
        <v>31</v>
      </c>
      <c r="L419" s="1">
        <v>85390</v>
      </c>
      <c r="M419" s="1" t="s">
        <v>32</v>
      </c>
      <c r="O419" s="41" t="s">
        <v>3075</v>
      </c>
      <c r="P419" s="1" t="s">
        <v>3076</v>
      </c>
      <c r="Q419" s="87" t="s">
        <v>3077</v>
      </c>
      <c r="R419" s="1">
        <v>96565</v>
      </c>
      <c r="V419" s="4" t="s">
        <v>443</v>
      </c>
      <c r="W419" s="4" t="s">
        <v>37</v>
      </c>
      <c r="X419" s="4" t="s">
        <v>616</v>
      </c>
      <c r="Y419" s="182" t="s">
        <v>1247</v>
      </c>
    </row>
    <row r="420" spans="1:26" s="4" customFormat="1" ht="15" customHeight="1">
      <c r="A420" s="4" t="s">
        <v>2806</v>
      </c>
      <c r="B420" s="4" t="s">
        <v>3078</v>
      </c>
      <c r="C420" s="4" t="s">
        <v>3079</v>
      </c>
      <c r="D420" s="2" t="s">
        <v>364</v>
      </c>
      <c r="E420" s="26">
        <v>43657</v>
      </c>
      <c r="F420" s="2">
        <v>43671</v>
      </c>
      <c r="G420" s="1" t="s">
        <v>364</v>
      </c>
      <c r="H420" s="33" t="s">
        <v>3080</v>
      </c>
      <c r="I420" s="1" t="s">
        <v>3081</v>
      </c>
      <c r="J420" s="33" t="s">
        <v>3082</v>
      </c>
      <c r="K420" s="33" t="s">
        <v>31</v>
      </c>
      <c r="L420" s="33" t="s">
        <v>3083</v>
      </c>
      <c r="M420" s="1" t="s">
        <v>32</v>
      </c>
      <c r="N420" s="1" t="s">
        <v>1227</v>
      </c>
      <c r="O420" s="33" t="s">
        <v>3084</v>
      </c>
      <c r="P420" s="11" t="s">
        <v>3085</v>
      </c>
      <c r="Q420" s="52"/>
      <c r="R420" s="11">
        <v>538213</v>
      </c>
      <c r="S420" s="1"/>
      <c r="T420" s="1"/>
      <c r="U420" s="1" t="s">
        <v>36</v>
      </c>
      <c r="V420" s="1" t="s">
        <v>1277</v>
      </c>
      <c r="W420" s="1" t="s">
        <v>1278</v>
      </c>
      <c r="X420" s="1" t="s">
        <v>2843</v>
      </c>
    </row>
    <row r="421" spans="1:26" s="4" customFormat="1" ht="15" customHeight="1">
      <c r="A421" s="4" t="s">
        <v>1266</v>
      </c>
      <c r="B421" s="29" t="s">
        <v>3078</v>
      </c>
      <c r="C421" s="29" t="s">
        <v>3086</v>
      </c>
      <c r="D421" s="1"/>
      <c r="E421" s="26">
        <v>43990</v>
      </c>
      <c r="F421" s="2">
        <f t="shared" ref="F421:F429" si="18">E421+14</f>
        <v>44004</v>
      </c>
      <c r="G421" s="1" t="s">
        <v>364</v>
      </c>
      <c r="H421" s="1">
        <v>2214</v>
      </c>
      <c r="I421" s="1" t="s">
        <v>2093</v>
      </c>
      <c r="J421" s="1" t="s">
        <v>69</v>
      </c>
      <c r="K421" s="1" t="s">
        <v>31</v>
      </c>
      <c r="L421" s="1">
        <v>85224</v>
      </c>
      <c r="M421" s="1" t="s">
        <v>32</v>
      </c>
      <c r="N421" s="1" t="s">
        <v>1227</v>
      </c>
      <c r="O421" s="1" t="s">
        <v>3087</v>
      </c>
      <c r="P421" s="1" t="s">
        <v>3088</v>
      </c>
      <c r="Q421" s="1"/>
      <c r="R421" s="1">
        <v>72053</v>
      </c>
      <c r="S421" s="1"/>
      <c r="T421" s="1"/>
      <c r="U421" s="4" t="s">
        <v>1264</v>
      </c>
      <c r="V421" s="1" t="s">
        <v>1253</v>
      </c>
      <c r="W421" s="4" t="s">
        <v>616</v>
      </c>
      <c r="X421" s="4" t="s">
        <v>1265</v>
      </c>
    </row>
    <row r="422" spans="1:26" s="4" customFormat="1" ht="15" customHeight="1">
      <c r="A422" s="4" t="s">
        <v>1256</v>
      </c>
      <c r="B422" s="29" t="s">
        <v>3078</v>
      </c>
      <c r="C422" s="29" t="s">
        <v>3089</v>
      </c>
      <c r="D422" s="1"/>
      <c r="E422" s="26">
        <v>44196</v>
      </c>
      <c r="F422" s="2">
        <f t="shared" si="18"/>
        <v>44210</v>
      </c>
      <c r="G422" s="1" t="s">
        <v>364</v>
      </c>
      <c r="H422" s="1">
        <v>200</v>
      </c>
      <c r="I422" s="1" t="s">
        <v>3090</v>
      </c>
      <c r="J422" s="1" t="s">
        <v>3091</v>
      </c>
      <c r="K422" s="1" t="s">
        <v>31</v>
      </c>
      <c r="L422" s="1">
        <v>85003</v>
      </c>
      <c r="M422" s="1" t="s">
        <v>32</v>
      </c>
      <c r="N422" s="1" t="s">
        <v>1227</v>
      </c>
      <c r="O422" s="1" t="s">
        <v>3092</v>
      </c>
      <c r="P422" s="1" t="s">
        <v>3093</v>
      </c>
      <c r="Q422" s="1"/>
      <c r="R422" s="1"/>
      <c r="U422" s="4" t="s">
        <v>1264</v>
      </c>
      <c r="V422" s="1" t="s">
        <v>1253</v>
      </c>
      <c r="W422" s="4" t="s">
        <v>616</v>
      </c>
      <c r="X422" s="4" t="s">
        <v>1265</v>
      </c>
    </row>
    <row r="423" spans="1:26" s="4" customFormat="1" ht="15" customHeight="1">
      <c r="A423" s="4" t="s">
        <v>1266</v>
      </c>
      <c r="B423" s="119" t="s">
        <v>3094</v>
      </c>
      <c r="C423" s="4" t="s">
        <v>3095</v>
      </c>
      <c r="D423" s="1"/>
      <c r="E423" s="26">
        <v>43781</v>
      </c>
      <c r="F423" s="2">
        <f t="shared" si="18"/>
        <v>43795</v>
      </c>
      <c r="G423" s="1" t="s">
        <v>364</v>
      </c>
      <c r="H423" s="1">
        <v>2625</v>
      </c>
      <c r="I423" s="33" t="s">
        <v>3096</v>
      </c>
      <c r="J423" s="33" t="s">
        <v>69</v>
      </c>
      <c r="K423" s="33" t="s">
        <v>31</v>
      </c>
      <c r="L423" s="33" t="s">
        <v>1478</v>
      </c>
      <c r="M423" s="1" t="s">
        <v>32</v>
      </c>
      <c r="N423" s="1" t="s">
        <v>1227</v>
      </c>
      <c r="O423" s="33" t="s">
        <v>3097</v>
      </c>
      <c r="P423" s="38" t="s">
        <v>3098</v>
      </c>
      <c r="Q423" s="52"/>
      <c r="R423" s="127">
        <v>89313</v>
      </c>
      <c r="S423" s="1"/>
      <c r="T423" s="1"/>
      <c r="U423" s="1" t="s">
        <v>36</v>
      </c>
      <c r="V423" s="1" t="s">
        <v>1277</v>
      </c>
      <c r="W423" s="1" t="s">
        <v>3099</v>
      </c>
      <c r="X423" s="1" t="s">
        <v>3100</v>
      </c>
    </row>
    <row r="424" spans="1:26" s="4" customFormat="1">
      <c r="A424" s="4" t="s">
        <v>1256</v>
      </c>
      <c r="B424" s="29" t="s">
        <v>3094</v>
      </c>
      <c r="C424" s="29" t="s">
        <v>3101</v>
      </c>
      <c r="D424" s="1"/>
      <c r="E424" s="138">
        <v>44117</v>
      </c>
      <c r="F424" s="2">
        <f t="shared" si="18"/>
        <v>44131</v>
      </c>
      <c r="G424" s="1" t="s">
        <v>364</v>
      </c>
      <c r="H424" s="1">
        <v>10825</v>
      </c>
      <c r="I424" s="1" t="s">
        <v>1135</v>
      </c>
      <c r="J424" s="1" t="s">
        <v>873</v>
      </c>
      <c r="K424" s="1" t="s">
        <v>31</v>
      </c>
      <c r="L424" s="1" t="s">
        <v>1273</v>
      </c>
      <c r="M424" s="1" t="s">
        <v>32</v>
      </c>
      <c r="N424" s="1" t="s">
        <v>1227</v>
      </c>
      <c r="O424" s="1" t="s">
        <v>3102</v>
      </c>
      <c r="P424" s="1" t="s">
        <v>3103</v>
      </c>
      <c r="Q424" s="1"/>
      <c r="R424" s="1"/>
      <c r="S424" s="47"/>
      <c r="T424" s="51"/>
      <c r="U424" s="1" t="s">
        <v>36</v>
      </c>
      <c r="V424" s="1" t="s">
        <v>1277</v>
      </c>
      <c r="W424" s="1" t="s">
        <v>3099</v>
      </c>
      <c r="X424" s="1" t="s">
        <v>3100</v>
      </c>
    </row>
    <row r="425" spans="1:26" s="4" customFormat="1" ht="30">
      <c r="A425" s="164" t="s">
        <v>1240</v>
      </c>
      <c r="B425" s="70" t="s">
        <v>3094</v>
      </c>
      <c r="C425" s="56" t="s">
        <v>3104</v>
      </c>
      <c r="D425" s="60"/>
      <c r="E425" s="2">
        <v>44868</v>
      </c>
      <c r="F425" s="60">
        <f t="shared" si="18"/>
        <v>44882</v>
      </c>
      <c r="G425" s="60"/>
      <c r="H425" s="54" t="s">
        <v>3105</v>
      </c>
      <c r="I425" s="80" t="s">
        <v>3106</v>
      </c>
      <c r="J425" s="55" t="s">
        <v>434</v>
      </c>
      <c r="K425" s="55" t="s">
        <v>31</v>
      </c>
      <c r="L425" s="55" t="s">
        <v>802</v>
      </c>
      <c r="M425" s="55" t="s">
        <v>32</v>
      </c>
      <c r="N425" s="56"/>
      <c r="O425" s="55" t="s">
        <v>3107</v>
      </c>
      <c r="P425" s="55" t="s">
        <v>3108</v>
      </c>
      <c r="Q425" s="89" t="s">
        <v>3109</v>
      </c>
      <c r="R425" s="57">
        <v>90309</v>
      </c>
      <c r="V425" s="4" t="s">
        <v>36</v>
      </c>
      <c r="W425" s="4" t="s">
        <v>37</v>
      </c>
      <c r="X425" s="4" t="s">
        <v>616</v>
      </c>
      <c r="Y425" s="167" t="s">
        <v>1247</v>
      </c>
      <c r="Z425" s="168"/>
    </row>
    <row r="426" spans="1:26" s="4" customFormat="1" ht="15" customHeight="1">
      <c r="A426" s="4" t="s">
        <v>1256</v>
      </c>
      <c r="B426" s="29" t="s">
        <v>3110</v>
      </c>
      <c r="C426" s="29" t="s">
        <v>3111</v>
      </c>
      <c r="D426" s="1"/>
      <c r="E426" s="26">
        <v>44209</v>
      </c>
      <c r="F426" s="2">
        <f t="shared" si="18"/>
        <v>44223</v>
      </c>
      <c r="G426" s="1" t="s">
        <v>364</v>
      </c>
      <c r="H426" s="1">
        <v>15000</v>
      </c>
      <c r="I426" s="1" t="s">
        <v>3112</v>
      </c>
      <c r="J426" s="1" t="s">
        <v>398</v>
      </c>
      <c r="K426" s="1" t="s">
        <v>31</v>
      </c>
      <c r="L426" s="1">
        <v>85260</v>
      </c>
      <c r="M426" s="1" t="s">
        <v>32</v>
      </c>
      <c r="N426" s="1" t="s">
        <v>1227</v>
      </c>
      <c r="O426" s="1" t="s">
        <v>3113</v>
      </c>
      <c r="P426" s="1" t="s">
        <v>3114</v>
      </c>
      <c r="Q426" s="1"/>
      <c r="R426" s="1"/>
      <c r="U426" s="1" t="s">
        <v>36</v>
      </c>
      <c r="V426" s="1" t="s">
        <v>1277</v>
      </c>
      <c r="W426" s="1" t="s">
        <v>3099</v>
      </c>
      <c r="X426" s="1" t="s">
        <v>3100</v>
      </c>
    </row>
    <row r="427" spans="1:26">
      <c r="A427" s="4" t="s">
        <v>1256</v>
      </c>
      <c r="B427" s="192" t="s">
        <v>3115</v>
      </c>
      <c r="C427" s="192" t="s">
        <v>3116</v>
      </c>
      <c r="E427" s="200">
        <v>44152</v>
      </c>
      <c r="F427" s="197">
        <f t="shared" si="18"/>
        <v>44166</v>
      </c>
      <c r="G427" s="25" t="s">
        <v>364</v>
      </c>
      <c r="H427" s="25">
        <v>225</v>
      </c>
      <c r="I427" s="25" t="s">
        <v>517</v>
      </c>
      <c r="J427" s="25" t="s">
        <v>434</v>
      </c>
      <c r="K427" s="25" t="s">
        <v>31</v>
      </c>
      <c r="L427" s="25">
        <v>85008</v>
      </c>
      <c r="M427" s="25" t="s">
        <v>32</v>
      </c>
      <c r="N427" s="25" t="s">
        <v>1227</v>
      </c>
      <c r="Q427" s="220"/>
      <c r="R427" s="220"/>
      <c r="S427" s="25"/>
      <c r="T427" s="25"/>
      <c r="U427" s="25" t="s">
        <v>36</v>
      </c>
      <c r="V427" s="25" t="s">
        <v>1277</v>
      </c>
      <c r="W427" s="25" t="s">
        <v>3099</v>
      </c>
      <c r="X427" s="25" t="s">
        <v>3100</v>
      </c>
    </row>
    <row r="428" spans="1:26" s="4" customFormat="1" ht="15" customHeight="1">
      <c r="A428" s="4" t="s">
        <v>1280</v>
      </c>
      <c r="B428" s="29" t="s">
        <v>3117</v>
      </c>
      <c r="C428" s="29" t="s">
        <v>3118</v>
      </c>
      <c r="D428" s="1"/>
      <c r="E428" s="26">
        <v>44035</v>
      </c>
      <c r="F428" s="2">
        <f t="shared" si="18"/>
        <v>44049</v>
      </c>
      <c r="G428" s="1" t="s">
        <v>364</v>
      </c>
      <c r="H428" s="1" t="s">
        <v>43</v>
      </c>
      <c r="I428" s="1" t="s">
        <v>3119</v>
      </c>
      <c r="J428" s="1" t="s">
        <v>434</v>
      </c>
      <c r="K428" s="1" t="s">
        <v>31</v>
      </c>
      <c r="L428" s="1">
        <v>85037</v>
      </c>
      <c r="M428" s="1" t="s">
        <v>32</v>
      </c>
      <c r="N428" s="1" t="s">
        <v>1227</v>
      </c>
      <c r="O428" s="1"/>
      <c r="P428" s="1"/>
      <c r="Q428" s="1"/>
      <c r="R428" s="1"/>
      <c r="U428" s="1" t="s">
        <v>36</v>
      </c>
      <c r="V428" s="1" t="s">
        <v>1277</v>
      </c>
      <c r="W428" s="1" t="s">
        <v>3099</v>
      </c>
      <c r="X428" s="1" t="s">
        <v>3100</v>
      </c>
    </row>
    <row r="429" spans="1:26" s="4" customFormat="1" ht="15" customHeight="1">
      <c r="A429" s="4" t="s">
        <v>1266</v>
      </c>
      <c r="B429" s="29" t="s">
        <v>3120</v>
      </c>
      <c r="C429" s="4" t="s">
        <v>3121</v>
      </c>
      <c r="D429" s="2">
        <v>43686</v>
      </c>
      <c r="E429" s="26">
        <v>43885</v>
      </c>
      <c r="F429" s="2">
        <f t="shared" si="18"/>
        <v>43899</v>
      </c>
      <c r="G429" s="49" t="s">
        <v>364</v>
      </c>
      <c r="H429" s="49">
        <v>6913</v>
      </c>
      <c r="I429" s="33" t="s">
        <v>3122</v>
      </c>
      <c r="J429" s="33" t="s">
        <v>63</v>
      </c>
      <c r="K429" s="33" t="s">
        <v>31</v>
      </c>
      <c r="L429" s="33" t="s">
        <v>2148</v>
      </c>
      <c r="M429" s="1" t="s">
        <v>32</v>
      </c>
      <c r="N429" s="1" t="s">
        <v>1227</v>
      </c>
      <c r="O429" s="33" t="s">
        <v>3123</v>
      </c>
      <c r="P429" s="38" t="s">
        <v>3124</v>
      </c>
      <c r="Q429" s="52"/>
      <c r="R429" s="37">
        <v>76544</v>
      </c>
      <c r="U429" s="1" t="s">
        <v>36</v>
      </c>
      <c r="V429" s="1" t="s">
        <v>1277</v>
      </c>
      <c r="W429" s="1" t="s">
        <v>3099</v>
      </c>
      <c r="X429" s="1" t="s">
        <v>3100</v>
      </c>
    </row>
    <row r="430" spans="1:26" s="4" customFormat="1" ht="15" customHeight="1">
      <c r="A430" s="163" t="s">
        <v>25</v>
      </c>
      <c r="B430" s="15" t="s">
        <v>3125</v>
      </c>
      <c r="C430" s="29" t="s">
        <v>3126</v>
      </c>
      <c r="D430" s="2"/>
      <c r="E430" s="60">
        <v>44802</v>
      </c>
      <c r="F430" s="2">
        <f>E430+28</f>
        <v>44830</v>
      </c>
      <c r="G430" s="2"/>
      <c r="H430" s="1">
        <v>3223</v>
      </c>
      <c r="I430" s="15" t="s">
        <v>89</v>
      </c>
      <c r="J430" s="1" t="s">
        <v>63</v>
      </c>
      <c r="K430" s="1" t="s">
        <v>31</v>
      </c>
      <c r="L430" s="1">
        <v>85212</v>
      </c>
      <c r="M430" s="1" t="s">
        <v>32</v>
      </c>
      <c r="N430" s="4" t="s">
        <v>3127</v>
      </c>
      <c r="O430" s="1"/>
      <c r="P430" s="1" t="s">
        <v>3128</v>
      </c>
      <c r="Q430" s="162" t="s">
        <v>3129</v>
      </c>
      <c r="R430" s="1">
        <v>89779</v>
      </c>
      <c r="V430" s="4" t="s">
        <v>36</v>
      </c>
      <c r="W430" s="4" t="s">
        <v>37</v>
      </c>
      <c r="X430" s="1" t="s">
        <v>59</v>
      </c>
      <c r="Y430" s="167" t="s">
        <v>39</v>
      </c>
      <c r="Z430" s="168"/>
    </row>
    <row r="431" spans="1:26" s="4" customFormat="1" ht="15" customHeight="1">
      <c r="A431" s="4" t="s">
        <v>1280</v>
      </c>
      <c r="B431" s="29" t="s">
        <v>3130</v>
      </c>
      <c r="C431" s="29" t="s">
        <v>3131</v>
      </c>
      <c r="D431" s="1"/>
      <c r="E431" s="26">
        <v>43896</v>
      </c>
      <c r="F431" s="2">
        <f t="shared" ref="F431:F470" si="19">E431+14</f>
        <v>43910</v>
      </c>
      <c r="G431" s="1" t="s">
        <v>364</v>
      </c>
      <c r="H431" s="1">
        <v>11875</v>
      </c>
      <c r="I431" s="1" t="s">
        <v>3132</v>
      </c>
      <c r="J431" s="1" t="s">
        <v>837</v>
      </c>
      <c r="K431" s="1" t="s">
        <v>31</v>
      </c>
      <c r="L431" s="1" t="s">
        <v>3133</v>
      </c>
      <c r="M431" s="1" t="s">
        <v>32</v>
      </c>
      <c r="N431" s="1" t="s">
        <v>1227</v>
      </c>
      <c r="O431" s="1" t="s">
        <v>3134</v>
      </c>
      <c r="P431" s="1" t="s">
        <v>3135</v>
      </c>
      <c r="Q431" s="1"/>
      <c r="R431" s="1">
        <v>75314</v>
      </c>
      <c r="S431" s="1"/>
      <c r="T431" s="1"/>
      <c r="U431" s="1" t="s">
        <v>36</v>
      </c>
      <c r="V431" s="1" t="s">
        <v>1277</v>
      </c>
      <c r="W431" s="1" t="s">
        <v>3099</v>
      </c>
      <c r="X431" s="1" t="s">
        <v>3100</v>
      </c>
    </row>
    <row r="432" spans="1:26">
      <c r="A432" s="4" t="s">
        <v>1280</v>
      </c>
      <c r="B432" s="192" t="s">
        <v>3130</v>
      </c>
      <c r="C432" s="192" t="s">
        <v>3136</v>
      </c>
      <c r="E432" s="200">
        <v>43971</v>
      </c>
      <c r="F432" s="197">
        <f t="shared" si="19"/>
        <v>43985</v>
      </c>
      <c r="G432" s="25" t="s">
        <v>364</v>
      </c>
      <c r="H432" s="25">
        <v>1599</v>
      </c>
      <c r="I432" s="25" t="s">
        <v>3137</v>
      </c>
      <c r="J432" s="25" t="s">
        <v>434</v>
      </c>
      <c r="K432" s="25" t="s">
        <v>31</v>
      </c>
      <c r="L432" s="25" t="s">
        <v>3138</v>
      </c>
      <c r="M432" s="25" t="s">
        <v>32</v>
      </c>
      <c r="N432" s="25" t="s">
        <v>1227</v>
      </c>
      <c r="O432" s="25" t="s">
        <v>3139</v>
      </c>
      <c r="P432" s="25" t="s">
        <v>3140</v>
      </c>
      <c r="R432" s="25">
        <v>74130</v>
      </c>
      <c r="U432" s="25" t="s">
        <v>36</v>
      </c>
      <c r="V432" s="25" t="s">
        <v>1277</v>
      </c>
      <c r="W432" s="25" t="s">
        <v>3099</v>
      </c>
      <c r="X432" s="25" t="s">
        <v>3100</v>
      </c>
    </row>
    <row r="433" spans="1:26" s="4" customFormat="1">
      <c r="A433" s="4" t="s">
        <v>1256</v>
      </c>
      <c r="B433" s="29" t="s">
        <v>3130</v>
      </c>
      <c r="C433" s="29" t="s">
        <v>3141</v>
      </c>
      <c r="D433" s="1"/>
      <c r="E433" s="26">
        <v>44168</v>
      </c>
      <c r="F433" s="2">
        <f t="shared" si="19"/>
        <v>44182</v>
      </c>
      <c r="G433" s="1" t="s">
        <v>364</v>
      </c>
      <c r="H433" s="1">
        <v>4555</v>
      </c>
      <c r="I433" s="1" t="s">
        <v>596</v>
      </c>
      <c r="J433" s="1" t="s">
        <v>434</v>
      </c>
      <c r="K433" s="1" t="s">
        <v>31</v>
      </c>
      <c r="L433" s="1">
        <v>85050</v>
      </c>
      <c r="M433" s="1" t="s">
        <v>32</v>
      </c>
      <c r="N433" s="1" t="s">
        <v>1227</v>
      </c>
      <c r="O433" s="1" t="s">
        <v>3142</v>
      </c>
      <c r="P433" s="1" t="s">
        <v>3143</v>
      </c>
      <c r="Q433" s="1"/>
      <c r="R433" s="1">
        <v>73858</v>
      </c>
      <c r="S433" s="1"/>
      <c r="T433" s="1"/>
      <c r="U433" s="4" t="s">
        <v>1264</v>
      </c>
      <c r="V433" s="1" t="s">
        <v>1253</v>
      </c>
      <c r="W433" s="1" t="s">
        <v>3099</v>
      </c>
      <c r="X433" s="1" t="s">
        <v>3100</v>
      </c>
    </row>
    <row r="434" spans="1:26" s="4" customFormat="1" ht="15.75" customHeight="1">
      <c r="A434" s="4" t="s">
        <v>1266</v>
      </c>
      <c r="B434" s="29" t="s">
        <v>3130</v>
      </c>
      <c r="C434" s="29" t="s">
        <v>3144</v>
      </c>
      <c r="D434" s="1"/>
      <c r="E434" s="26">
        <v>44189</v>
      </c>
      <c r="F434" s="2">
        <f t="shared" si="19"/>
        <v>44203</v>
      </c>
      <c r="G434" s="1" t="s">
        <v>364</v>
      </c>
      <c r="H434" s="1">
        <v>1920</v>
      </c>
      <c r="I434" s="1" t="s">
        <v>3145</v>
      </c>
      <c r="J434" s="1" t="s">
        <v>434</v>
      </c>
      <c r="K434" s="1" t="s">
        <v>31</v>
      </c>
      <c r="L434" s="1">
        <v>85027</v>
      </c>
      <c r="M434" s="1" t="s">
        <v>32</v>
      </c>
      <c r="N434" s="1" t="s">
        <v>1227</v>
      </c>
      <c r="O434" s="1" t="s">
        <v>3146</v>
      </c>
      <c r="P434" s="1" t="s">
        <v>3147</v>
      </c>
      <c r="Q434" s="1"/>
      <c r="R434" s="1">
        <v>76262</v>
      </c>
      <c r="U434" s="1" t="s">
        <v>36</v>
      </c>
      <c r="V434" s="1" t="s">
        <v>1277</v>
      </c>
      <c r="W434" s="1" t="s">
        <v>3099</v>
      </c>
      <c r="X434" s="1" t="s">
        <v>3100</v>
      </c>
    </row>
    <row r="435" spans="1:26" s="4" customFormat="1">
      <c r="A435" s="4" t="s">
        <v>1546</v>
      </c>
      <c r="B435" s="29" t="s">
        <v>3130</v>
      </c>
      <c r="C435" s="29" t="s">
        <v>3148</v>
      </c>
      <c r="D435" s="1"/>
      <c r="E435" s="26">
        <v>43956</v>
      </c>
      <c r="F435" s="2">
        <f t="shared" si="19"/>
        <v>43970</v>
      </c>
      <c r="G435" s="1" t="s">
        <v>364</v>
      </c>
      <c r="H435" s="1">
        <v>6501</v>
      </c>
      <c r="I435" s="1" t="s">
        <v>3149</v>
      </c>
      <c r="J435" s="1" t="s">
        <v>3150</v>
      </c>
      <c r="K435" s="1" t="s">
        <v>31</v>
      </c>
      <c r="L435" s="1">
        <v>85365</v>
      </c>
      <c r="M435" s="1" t="s">
        <v>32</v>
      </c>
      <c r="N435" s="1" t="s">
        <v>1227</v>
      </c>
      <c r="O435" s="1" t="s">
        <v>3151</v>
      </c>
      <c r="P435" s="1" t="s">
        <v>3152</v>
      </c>
      <c r="Q435" s="1" t="s">
        <v>364</v>
      </c>
      <c r="R435" s="1">
        <v>77143</v>
      </c>
      <c r="S435" s="1"/>
      <c r="T435" s="1"/>
      <c r="U435" s="4" t="s">
        <v>1264</v>
      </c>
      <c r="V435" s="1" t="s">
        <v>1253</v>
      </c>
      <c r="W435" s="4" t="s">
        <v>616</v>
      </c>
      <c r="X435" s="4" t="s">
        <v>1265</v>
      </c>
    </row>
    <row r="436" spans="1:26" s="4" customFormat="1">
      <c r="A436" s="4" t="s">
        <v>1256</v>
      </c>
      <c r="B436" s="29" t="s">
        <v>3130</v>
      </c>
      <c r="C436" s="29" t="s">
        <v>3153</v>
      </c>
      <c r="D436" s="1"/>
      <c r="E436" s="26">
        <v>44404</v>
      </c>
      <c r="F436" s="2">
        <f t="shared" si="19"/>
        <v>44418</v>
      </c>
      <c r="G436" s="1" t="s">
        <v>364</v>
      </c>
      <c r="H436" s="1">
        <v>17800</v>
      </c>
      <c r="I436" s="1" t="s">
        <v>2345</v>
      </c>
      <c r="J436" s="1" t="s">
        <v>844</v>
      </c>
      <c r="K436" s="1" t="s">
        <v>31</v>
      </c>
      <c r="L436" s="1" t="s">
        <v>1685</v>
      </c>
      <c r="M436" s="1" t="s">
        <v>32</v>
      </c>
      <c r="N436" s="1" t="s">
        <v>1227</v>
      </c>
      <c r="O436" s="1" t="s">
        <v>3154</v>
      </c>
      <c r="P436" s="1" t="s">
        <v>3155</v>
      </c>
      <c r="Q436" s="1"/>
      <c r="R436" s="1"/>
      <c r="S436" s="47"/>
      <c r="T436" s="51"/>
      <c r="U436" s="4" t="s">
        <v>1264</v>
      </c>
      <c r="V436" s="1" t="s">
        <v>1253</v>
      </c>
      <c r="W436" s="4" t="s">
        <v>616</v>
      </c>
      <c r="X436" s="4" t="s">
        <v>1265</v>
      </c>
    </row>
    <row r="437" spans="1:26" s="4" customFormat="1">
      <c r="A437" s="4" t="s">
        <v>1393</v>
      </c>
      <c r="B437" s="29" t="s">
        <v>3130</v>
      </c>
      <c r="C437" s="29" t="s">
        <v>3156</v>
      </c>
      <c r="D437" s="1"/>
      <c r="E437" s="26">
        <v>44428</v>
      </c>
      <c r="F437" s="2">
        <f t="shared" si="19"/>
        <v>44442</v>
      </c>
      <c r="G437" s="1" t="s">
        <v>364</v>
      </c>
      <c r="H437" s="1">
        <v>2100</v>
      </c>
      <c r="I437" s="1" t="s">
        <v>3157</v>
      </c>
      <c r="J437" s="1" t="s">
        <v>3082</v>
      </c>
      <c r="K437" s="1" t="s">
        <v>31</v>
      </c>
      <c r="L437" s="1">
        <v>86001</v>
      </c>
      <c r="M437" s="1" t="s">
        <v>32</v>
      </c>
      <c r="N437" s="1" t="s">
        <v>1227</v>
      </c>
      <c r="O437" s="1" t="s">
        <v>3158</v>
      </c>
      <c r="P437" s="1" t="s">
        <v>3159</v>
      </c>
      <c r="Q437" s="1" t="s">
        <v>364</v>
      </c>
      <c r="R437" s="1">
        <v>77726</v>
      </c>
      <c r="U437" s="4" t="s">
        <v>1264</v>
      </c>
      <c r="V437" s="1" t="s">
        <v>1253</v>
      </c>
      <c r="W437" s="4" t="s">
        <v>616</v>
      </c>
      <c r="X437" s="4" t="s">
        <v>1265</v>
      </c>
    </row>
    <row r="438" spans="1:26" s="4" customFormat="1" ht="15" customHeight="1">
      <c r="A438" s="93" t="s">
        <v>1256</v>
      </c>
      <c r="B438" s="15" t="s">
        <v>781</v>
      </c>
      <c r="C438" s="29" t="s">
        <v>3160</v>
      </c>
      <c r="D438" s="2"/>
      <c r="E438" s="26">
        <v>44642</v>
      </c>
      <c r="F438" s="2">
        <f t="shared" si="19"/>
        <v>44656</v>
      </c>
      <c r="G438" s="2"/>
      <c r="H438" s="1">
        <v>10601</v>
      </c>
      <c r="I438" s="1" t="s">
        <v>893</v>
      </c>
      <c r="J438" s="1" t="s">
        <v>894</v>
      </c>
      <c r="K438" s="1" t="s">
        <v>31</v>
      </c>
      <c r="L438" s="1"/>
      <c r="M438" s="1" t="s">
        <v>76</v>
      </c>
      <c r="N438" s="4" t="s">
        <v>364</v>
      </c>
      <c r="O438" s="1" t="s">
        <v>3161</v>
      </c>
      <c r="P438" s="126" t="s">
        <v>3162</v>
      </c>
      <c r="Q438" s="1" t="s">
        <v>3163</v>
      </c>
      <c r="R438" s="41">
        <v>88935</v>
      </c>
      <c r="V438" s="4" t="s">
        <v>1264</v>
      </c>
      <c r="W438" s="4" t="s">
        <v>1253</v>
      </c>
      <c r="X438" s="4" t="s">
        <v>616</v>
      </c>
      <c r="Y438" s="15" t="s">
        <v>1265</v>
      </c>
    </row>
    <row r="439" spans="1:26" s="4" customFormat="1">
      <c r="A439" s="163" t="s">
        <v>25</v>
      </c>
      <c r="B439" s="29" t="s">
        <v>781</v>
      </c>
      <c r="C439" s="4" t="s">
        <v>3164</v>
      </c>
      <c r="D439" s="2"/>
      <c r="E439" s="2">
        <v>44840</v>
      </c>
      <c r="F439" s="2">
        <f t="shared" si="19"/>
        <v>44854</v>
      </c>
      <c r="G439" s="2"/>
      <c r="H439" s="41">
        <v>1426</v>
      </c>
      <c r="I439" s="15" t="s">
        <v>3165</v>
      </c>
      <c r="J439" s="1" t="s">
        <v>63</v>
      </c>
      <c r="K439" s="1" t="s">
        <v>31</v>
      </c>
      <c r="L439" s="1">
        <v>85201</v>
      </c>
      <c r="M439" s="1" t="s">
        <v>32</v>
      </c>
      <c r="O439" s="1" t="s">
        <v>3166</v>
      </c>
      <c r="P439" s="1" t="s">
        <v>3167</v>
      </c>
      <c r="Q439" s="98" t="s">
        <v>3168</v>
      </c>
      <c r="R439" s="31">
        <v>92639</v>
      </c>
      <c r="V439" s="4" t="s">
        <v>36</v>
      </c>
      <c r="W439" s="4" t="s">
        <v>37</v>
      </c>
      <c r="X439" s="1" t="s">
        <v>59</v>
      </c>
      <c r="Y439" s="167" t="s">
        <v>39</v>
      </c>
      <c r="Z439" s="168"/>
    </row>
    <row r="440" spans="1:26" s="4" customFormat="1" ht="15" customHeight="1">
      <c r="A440" s="4" t="s">
        <v>1280</v>
      </c>
      <c r="B440" s="29" t="s">
        <v>3169</v>
      </c>
      <c r="C440" s="29" t="s">
        <v>3170</v>
      </c>
      <c r="D440" s="1">
        <v>43668</v>
      </c>
      <c r="E440" s="26">
        <v>43958</v>
      </c>
      <c r="F440" s="2">
        <f t="shared" si="19"/>
        <v>43972</v>
      </c>
      <c r="G440" s="1" t="s">
        <v>364</v>
      </c>
      <c r="H440" s="1">
        <v>10205</v>
      </c>
      <c r="I440" s="1" t="s">
        <v>3171</v>
      </c>
      <c r="J440" s="1" t="s">
        <v>873</v>
      </c>
      <c r="K440" s="1" t="s">
        <v>31</v>
      </c>
      <c r="L440" s="1">
        <v>85353</v>
      </c>
      <c r="M440" s="1" t="s">
        <v>32</v>
      </c>
      <c r="N440" s="1" t="s">
        <v>1227</v>
      </c>
      <c r="O440" s="1" t="s">
        <v>3172</v>
      </c>
      <c r="P440" s="1" t="s">
        <v>3173</v>
      </c>
      <c r="Q440" s="1"/>
      <c r="R440" s="1"/>
      <c r="U440" s="4" t="s">
        <v>1264</v>
      </c>
      <c r="V440" s="1" t="s">
        <v>1253</v>
      </c>
      <c r="W440" s="4" t="s">
        <v>616</v>
      </c>
      <c r="X440" s="4" t="s">
        <v>1265</v>
      </c>
    </row>
    <row r="441" spans="1:26" s="4" customFormat="1" ht="15" customHeight="1">
      <c r="A441" s="4" t="s">
        <v>1256</v>
      </c>
      <c r="B441" s="68" t="s">
        <v>3169</v>
      </c>
      <c r="C441" s="47" t="s">
        <v>3174</v>
      </c>
      <c r="D441" s="46"/>
      <c r="E441" s="26">
        <v>44148</v>
      </c>
      <c r="F441" s="71">
        <f t="shared" si="19"/>
        <v>44162</v>
      </c>
      <c r="G441" s="45" t="s">
        <v>364</v>
      </c>
      <c r="H441" s="45" t="s">
        <v>43</v>
      </c>
      <c r="I441" s="33" t="s">
        <v>3175</v>
      </c>
      <c r="J441" s="46" t="s">
        <v>837</v>
      </c>
      <c r="K441" s="46" t="s">
        <v>31</v>
      </c>
      <c r="L441" s="46" t="s">
        <v>3133</v>
      </c>
      <c r="M441" s="1" t="s">
        <v>32</v>
      </c>
      <c r="N441" s="1" t="s">
        <v>1227</v>
      </c>
      <c r="O441" s="46" t="s">
        <v>3176</v>
      </c>
      <c r="P441" s="46" t="s">
        <v>3177</v>
      </c>
      <c r="Q441" s="46"/>
      <c r="R441" s="46" t="s">
        <v>3178</v>
      </c>
      <c r="U441" s="1"/>
      <c r="V441" s="1"/>
      <c r="W441" s="1"/>
      <c r="X441" s="1"/>
    </row>
    <row r="442" spans="1:26" s="4" customFormat="1">
      <c r="A442" s="4" t="s">
        <v>1256</v>
      </c>
      <c r="B442" s="29" t="s">
        <v>3169</v>
      </c>
      <c r="C442" s="29" t="s">
        <v>3179</v>
      </c>
      <c r="D442" s="1"/>
      <c r="E442" s="26">
        <v>44242</v>
      </c>
      <c r="F442" s="2">
        <f t="shared" si="19"/>
        <v>44256</v>
      </c>
      <c r="G442" s="1" t="s">
        <v>364</v>
      </c>
      <c r="H442" s="1">
        <v>25800</v>
      </c>
      <c r="I442" s="1" t="s">
        <v>3180</v>
      </c>
      <c r="J442" s="1" t="s">
        <v>3091</v>
      </c>
      <c r="K442" s="1" t="s">
        <v>31</v>
      </c>
      <c r="L442" s="1">
        <v>85085</v>
      </c>
      <c r="M442" s="1" t="s">
        <v>32</v>
      </c>
      <c r="N442" s="1" t="s">
        <v>1227</v>
      </c>
      <c r="O442" s="1" t="s">
        <v>3181</v>
      </c>
      <c r="P442" s="1" t="s">
        <v>3182</v>
      </c>
      <c r="Q442" s="1"/>
      <c r="R442" s="1"/>
      <c r="U442" s="1"/>
      <c r="V442" s="1"/>
    </row>
    <row r="443" spans="1:26" s="4" customFormat="1" ht="18" customHeight="1">
      <c r="A443" s="122" t="s">
        <v>1256</v>
      </c>
      <c r="B443" s="29" t="s">
        <v>3183</v>
      </c>
      <c r="C443" s="4" t="s">
        <v>3184</v>
      </c>
      <c r="D443" s="2"/>
      <c r="E443" s="26">
        <v>44462</v>
      </c>
      <c r="F443" s="2">
        <f t="shared" si="19"/>
        <v>44476</v>
      </c>
      <c r="G443" s="41" t="s">
        <v>364</v>
      </c>
      <c r="H443" s="41">
        <v>5950</v>
      </c>
      <c r="I443" s="1" t="s">
        <v>1892</v>
      </c>
      <c r="J443" s="1" t="s">
        <v>434</v>
      </c>
      <c r="K443" s="1" t="s">
        <v>31</v>
      </c>
      <c r="L443" s="1">
        <v>85041</v>
      </c>
      <c r="M443" s="1" t="s">
        <v>32</v>
      </c>
      <c r="N443" s="1" t="s">
        <v>1227</v>
      </c>
      <c r="O443" s="1" t="s">
        <v>3185</v>
      </c>
      <c r="P443" s="1" t="s">
        <v>3186</v>
      </c>
      <c r="Q443" s="31" t="s">
        <v>364</v>
      </c>
      <c r="R443" s="31">
        <v>82749</v>
      </c>
      <c r="U443" s="4" t="s">
        <v>1264</v>
      </c>
      <c r="V443" s="1" t="s">
        <v>1253</v>
      </c>
      <c r="W443" s="4" t="s">
        <v>616</v>
      </c>
      <c r="X443" s="4" t="s">
        <v>1265</v>
      </c>
    </row>
    <row r="444" spans="1:26" s="4" customFormat="1">
      <c r="A444" s="4" t="s">
        <v>1266</v>
      </c>
      <c r="B444" s="4" t="s">
        <v>3187</v>
      </c>
      <c r="C444" s="4" t="s">
        <v>3188</v>
      </c>
      <c r="D444" s="1"/>
      <c r="E444" s="140">
        <v>43669</v>
      </c>
      <c r="F444" s="2">
        <f t="shared" si="19"/>
        <v>43683</v>
      </c>
      <c r="G444" s="1" t="s">
        <v>364</v>
      </c>
      <c r="H444" s="1">
        <v>9051</v>
      </c>
      <c r="I444" s="33" t="s">
        <v>3189</v>
      </c>
      <c r="J444" s="33" t="s">
        <v>398</v>
      </c>
      <c r="K444" s="33" t="s">
        <v>31</v>
      </c>
      <c r="L444" s="33" t="s">
        <v>3190</v>
      </c>
      <c r="M444" s="1" t="s">
        <v>32</v>
      </c>
      <c r="N444" s="1" t="s">
        <v>1227</v>
      </c>
      <c r="O444" s="33" t="s">
        <v>3191</v>
      </c>
      <c r="P444" s="38" t="s">
        <v>3192</v>
      </c>
      <c r="Q444" s="52"/>
      <c r="R444" s="11">
        <v>101082</v>
      </c>
      <c r="U444" s="4" t="s">
        <v>1264</v>
      </c>
      <c r="V444" s="1" t="s">
        <v>1253</v>
      </c>
      <c r="W444" s="4" t="s">
        <v>616</v>
      </c>
      <c r="X444" s="4" t="s">
        <v>1265</v>
      </c>
    </row>
    <row r="445" spans="1:26" s="4" customFormat="1">
      <c r="A445" s="4" t="s">
        <v>1280</v>
      </c>
      <c r="B445" s="4" t="s">
        <v>3187</v>
      </c>
      <c r="C445" s="4" t="s">
        <v>3193</v>
      </c>
      <c r="D445" s="1"/>
      <c r="E445" s="26">
        <v>43774</v>
      </c>
      <c r="F445" s="2">
        <f t="shared" si="19"/>
        <v>43788</v>
      </c>
      <c r="G445" s="1" t="s">
        <v>364</v>
      </c>
      <c r="H445" s="1">
        <v>1027</v>
      </c>
      <c r="I445" s="1" t="s">
        <v>2299</v>
      </c>
      <c r="J445" s="33" t="s">
        <v>415</v>
      </c>
      <c r="K445" s="33" t="s">
        <v>31</v>
      </c>
      <c r="L445" s="33" t="s">
        <v>537</v>
      </c>
      <c r="M445" s="1" t="s">
        <v>32</v>
      </c>
      <c r="N445" s="1" t="s">
        <v>1227</v>
      </c>
      <c r="O445" s="33" t="s">
        <v>2079</v>
      </c>
      <c r="P445" s="38" t="s">
        <v>2080</v>
      </c>
      <c r="Q445" s="213"/>
      <c r="R445" s="37">
        <v>69985</v>
      </c>
      <c r="S445" s="47"/>
      <c r="T445" s="51"/>
      <c r="U445" s="1" t="s">
        <v>36</v>
      </c>
      <c r="V445" s="1" t="s">
        <v>1277</v>
      </c>
      <c r="W445" s="1" t="s">
        <v>3099</v>
      </c>
      <c r="X445" s="1" t="s">
        <v>3100</v>
      </c>
    </row>
    <row r="446" spans="1:26" s="4" customFormat="1" ht="15" customHeight="1">
      <c r="A446" s="4" t="s">
        <v>1266</v>
      </c>
      <c r="B446" s="29" t="s">
        <v>3187</v>
      </c>
      <c r="C446" s="26" t="s">
        <v>3194</v>
      </c>
      <c r="D446" s="2"/>
      <c r="E446" s="26">
        <v>43859</v>
      </c>
      <c r="F446" s="2">
        <f t="shared" si="19"/>
        <v>43873</v>
      </c>
      <c r="G446" s="41" t="s">
        <v>364</v>
      </c>
      <c r="H446" s="41">
        <v>15125</v>
      </c>
      <c r="I446" s="33" t="s">
        <v>420</v>
      </c>
      <c r="J446" s="33" t="s">
        <v>398</v>
      </c>
      <c r="K446" s="33" t="s">
        <v>31</v>
      </c>
      <c r="L446" s="33" t="s">
        <v>1955</v>
      </c>
      <c r="M446" s="1" t="s">
        <v>32</v>
      </c>
      <c r="N446" s="1" t="s">
        <v>1227</v>
      </c>
      <c r="O446" s="33" t="s">
        <v>3195</v>
      </c>
      <c r="P446" s="38" t="s">
        <v>3196</v>
      </c>
      <c r="Q446" s="52"/>
      <c r="R446" s="37">
        <v>69217</v>
      </c>
      <c r="U446" s="1" t="s">
        <v>36</v>
      </c>
      <c r="V446" s="1" t="s">
        <v>1277</v>
      </c>
      <c r="W446" s="1" t="s">
        <v>3099</v>
      </c>
      <c r="X446" s="1" t="s">
        <v>3100</v>
      </c>
    </row>
    <row r="447" spans="1:26" s="4" customFormat="1" ht="15" customHeight="1">
      <c r="A447" s="4" t="s">
        <v>1280</v>
      </c>
      <c r="B447" s="118" t="s">
        <v>3187</v>
      </c>
      <c r="C447" s="4" t="s">
        <v>3197</v>
      </c>
      <c r="D447" s="1"/>
      <c r="E447" s="26">
        <v>43888</v>
      </c>
      <c r="F447" s="2">
        <f t="shared" si="19"/>
        <v>43902</v>
      </c>
      <c r="G447" s="41" t="s">
        <v>364</v>
      </c>
      <c r="H447" s="41">
        <v>125</v>
      </c>
      <c r="I447" s="33" t="s">
        <v>2103</v>
      </c>
      <c r="J447" s="33" t="s">
        <v>434</v>
      </c>
      <c r="K447" s="33" t="s">
        <v>31</v>
      </c>
      <c r="L447" s="33" t="s">
        <v>3198</v>
      </c>
      <c r="M447" s="1" t="s">
        <v>32</v>
      </c>
      <c r="N447" s="1" t="s">
        <v>1227</v>
      </c>
      <c r="O447" s="33" t="s">
        <v>3199</v>
      </c>
      <c r="P447" s="38" t="s">
        <v>3200</v>
      </c>
      <c r="Q447" s="52"/>
      <c r="R447" s="37">
        <v>542528</v>
      </c>
      <c r="U447" s="4" t="s">
        <v>1264</v>
      </c>
      <c r="V447" s="1" t="s">
        <v>1253</v>
      </c>
      <c r="W447" s="4" t="s">
        <v>616</v>
      </c>
      <c r="X447" s="4" t="s">
        <v>1265</v>
      </c>
    </row>
    <row r="448" spans="1:26" s="4" customFormat="1">
      <c r="A448" s="4" t="s">
        <v>1266</v>
      </c>
      <c r="B448" s="29" t="s">
        <v>3187</v>
      </c>
      <c r="C448" s="29" t="s">
        <v>3201</v>
      </c>
      <c r="D448" s="1"/>
      <c r="E448" s="26">
        <v>43935</v>
      </c>
      <c r="F448" s="2">
        <f t="shared" si="19"/>
        <v>43949</v>
      </c>
      <c r="G448" s="1" t="s">
        <v>364</v>
      </c>
      <c r="H448" s="1">
        <v>2001</v>
      </c>
      <c r="I448" s="1" t="s">
        <v>3202</v>
      </c>
      <c r="J448" s="1" t="s">
        <v>69</v>
      </c>
      <c r="K448" s="1" t="s">
        <v>31</v>
      </c>
      <c r="L448" s="1">
        <v>85286</v>
      </c>
      <c r="M448" s="1" t="s">
        <v>32</v>
      </c>
      <c r="N448" s="1" t="s">
        <v>1227</v>
      </c>
      <c r="O448" s="1" t="s">
        <v>3203</v>
      </c>
      <c r="P448" s="1" t="s">
        <v>3204</v>
      </c>
      <c r="Q448" s="1"/>
      <c r="R448" s="1">
        <v>76153</v>
      </c>
      <c r="V448" s="4" t="s">
        <v>1264</v>
      </c>
      <c r="W448" s="1" t="s">
        <v>1253</v>
      </c>
      <c r="X448" s="4" t="s">
        <v>616</v>
      </c>
      <c r="Y448" s="4" t="s">
        <v>1265</v>
      </c>
    </row>
    <row r="449" spans="1:26" s="4" customFormat="1">
      <c r="A449" s="122" t="s">
        <v>1256</v>
      </c>
      <c r="B449" s="29" t="s">
        <v>3187</v>
      </c>
      <c r="C449" s="29" t="s">
        <v>3205</v>
      </c>
      <c r="D449" s="2">
        <v>43662</v>
      </c>
      <c r="E449" s="26">
        <v>44497</v>
      </c>
      <c r="F449" s="2">
        <f t="shared" si="19"/>
        <v>44511</v>
      </c>
      <c r="G449" s="2" t="s">
        <v>364</v>
      </c>
      <c r="H449" s="2" t="s">
        <v>364</v>
      </c>
      <c r="I449" s="1" t="s">
        <v>3206</v>
      </c>
      <c r="J449" s="1" t="s">
        <v>434</v>
      </c>
      <c r="K449" s="1" t="s">
        <v>31</v>
      </c>
      <c r="L449" s="1">
        <v>85004</v>
      </c>
      <c r="M449" s="1" t="s">
        <v>32</v>
      </c>
      <c r="N449" s="1" t="s">
        <v>1227</v>
      </c>
      <c r="O449" s="1" t="s">
        <v>3207</v>
      </c>
      <c r="P449" s="1" t="s">
        <v>3208</v>
      </c>
      <c r="Q449" s="1" t="s">
        <v>364</v>
      </c>
      <c r="R449" s="1">
        <v>77507</v>
      </c>
      <c r="S449" s="47"/>
      <c r="T449" s="47"/>
      <c r="U449" s="51"/>
      <c r="V449" s="4" t="s">
        <v>1264</v>
      </c>
      <c r="W449" s="1" t="s">
        <v>1253</v>
      </c>
      <c r="X449" s="4" t="s">
        <v>616</v>
      </c>
      <c r="Y449" s="4" t="s">
        <v>1265</v>
      </c>
    </row>
    <row r="450" spans="1:26" s="4" customFormat="1" ht="15" customHeight="1">
      <c r="A450" s="4" t="s">
        <v>1266</v>
      </c>
      <c r="B450" s="4" t="s">
        <v>1213</v>
      </c>
      <c r="C450" s="4" t="s">
        <v>3209</v>
      </c>
      <c r="D450" s="1"/>
      <c r="E450" s="26">
        <v>43698</v>
      </c>
      <c r="F450" s="2">
        <f t="shared" si="19"/>
        <v>43712</v>
      </c>
      <c r="G450" s="1" t="s">
        <v>364</v>
      </c>
      <c r="H450" s="1">
        <v>1265</v>
      </c>
      <c r="I450" s="1" t="s">
        <v>1477</v>
      </c>
      <c r="J450" s="33" t="s">
        <v>69</v>
      </c>
      <c r="K450" s="33" t="s">
        <v>31</v>
      </c>
      <c r="L450" s="33" t="s">
        <v>347</v>
      </c>
      <c r="M450" s="1" t="s">
        <v>32</v>
      </c>
      <c r="N450" s="1" t="s">
        <v>1227</v>
      </c>
      <c r="O450" s="33" t="s">
        <v>3210</v>
      </c>
      <c r="P450" s="11" t="s">
        <v>3211</v>
      </c>
      <c r="Q450" s="11" t="s">
        <v>364</v>
      </c>
      <c r="R450" s="11">
        <v>70425</v>
      </c>
      <c r="S450" s="47"/>
      <c r="T450" s="47"/>
      <c r="U450" s="51"/>
      <c r="V450" s="1" t="s">
        <v>36</v>
      </c>
      <c r="W450" s="1" t="s">
        <v>1277</v>
      </c>
      <c r="X450" s="1" t="s">
        <v>59</v>
      </c>
      <c r="Y450" s="1" t="s">
        <v>1330</v>
      </c>
    </row>
    <row r="451" spans="1:26" s="4" customFormat="1" ht="15" customHeight="1">
      <c r="A451" s="4" t="s">
        <v>1266</v>
      </c>
      <c r="B451" s="4" t="s">
        <v>1213</v>
      </c>
      <c r="C451" s="4" t="s">
        <v>3212</v>
      </c>
      <c r="D451" s="1"/>
      <c r="E451" s="26">
        <v>43822</v>
      </c>
      <c r="F451" s="2">
        <f t="shared" si="19"/>
        <v>43836</v>
      </c>
      <c r="G451" s="1" t="s">
        <v>364</v>
      </c>
      <c r="H451" s="1">
        <v>1700</v>
      </c>
      <c r="I451" s="1" t="s">
        <v>1477</v>
      </c>
      <c r="J451" s="33" t="s">
        <v>69</v>
      </c>
      <c r="K451" s="33" t="s">
        <v>31</v>
      </c>
      <c r="L451" s="33" t="s">
        <v>347</v>
      </c>
      <c r="M451" s="1" t="s">
        <v>32</v>
      </c>
      <c r="N451" s="1" t="s">
        <v>1227</v>
      </c>
      <c r="O451" s="33" t="s">
        <v>3213</v>
      </c>
      <c r="P451" s="11" t="s">
        <v>3214</v>
      </c>
      <c r="Q451" s="37" t="s">
        <v>364</v>
      </c>
      <c r="R451" s="37">
        <v>92595</v>
      </c>
      <c r="V451" s="1" t="s">
        <v>36</v>
      </c>
      <c r="W451" s="1" t="s">
        <v>1277</v>
      </c>
      <c r="X451" s="1" t="s">
        <v>59</v>
      </c>
      <c r="Y451" s="1" t="s">
        <v>1330</v>
      </c>
    </row>
    <row r="452" spans="1:26" s="4" customFormat="1">
      <c r="A452" s="4" t="s">
        <v>1266</v>
      </c>
      <c r="B452" s="29" t="s">
        <v>1213</v>
      </c>
      <c r="C452" s="29" t="s">
        <v>3215</v>
      </c>
      <c r="D452" s="1">
        <v>43696</v>
      </c>
      <c r="E452" s="26">
        <v>43957</v>
      </c>
      <c r="F452" s="2">
        <f t="shared" si="19"/>
        <v>43971</v>
      </c>
      <c r="G452" s="1" t="s">
        <v>364</v>
      </c>
      <c r="H452" s="1">
        <v>1315</v>
      </c>
      <c r="I452" s="1" t="s">
        <v>3216</v>
      </c>
      <c r="J452" s="1" t="s">
        <v>415</v>
      </c>
      <c r="K452" s="1" t="s">
        <v>31</v>
      </c>
      <c r="L452" s="1">
        <v>85284</v>
      </c>
      <c r="M452" s="1" t="s">
        <v>32</v>
      </c>
      <c r="N452" s="1" t="s">
        <v>1227</v>
      </c>
      <c r="O452" s="1"/>
      <c r="P452" s="1"/>
      <c r="Q452" s="1"/>
      <c r="R452" s="1"/>
      <c r="S452" s="47"/>
      <c r="T452" s="47"/>
      <c r="U452" s="51"/>
      <c r="V452" s="1" t="s">
        <v>36</v>
      </c>
      <c r="W452" s="1" t="s">
        <v>1277</v>
      </c>
      <c r="X452" s="1" t="s">
        <v>59</v>
      </c>
      <c r="Y452" s="1" t="s">
        <v>1330</v>
      </c>
    </row>
    <row r="453" spans="1:26" s="4" customFormat="1">
      <c r="A453" s="4" t="s">
        <v>1266</v>
      </c>
      <c r="B453" s="4" t="s">
        <v>1213</v>
      </c>
      <c r="C453" s="29" t="s">
        <v>3217</v>
      </c>
      <c r="D453" s="1"/>
      <c r="E453" s="26">
        <v>44298</v>
      </c>
      <c r="F453" s="2">
        <f t="shared" si="19"/>
        <v>44312</v>
      </c>
      <c r="G453" s="41"/>
      <c r="H453" s="41"/>
      <c r="I453" s="1" t="s">
        <v>3218</v>
      </c>
      <c r="J453" s="1" t="s">
        <v>3219</v>
      </c>
      <c r="K453" s="1" t="s">
        <v>31</v>
      </c>
      <c r="L453" s="1"/>
      <c r="M453" s="1" t="s">
        <v>32</v>
      </c>
      <c r="N453" s="1" t="s">
        <v>1227</v>
      </c>
      <c r="O453" s="1" t="s">
        <v>3220</v>
      </c>
      <c r="P453" s="1" t="s">
        <v>3221</v>
      </c>
      <c r="Q453" s="1"/>
      <c r="R453" s="1"/>
    </row>
    <row r="454" spans="1:26" s="4" customFormat="1" ht="15" customHeight="1">
      <c r="A454" s="4" t="s">
        <v>1256</v>
      </c>
      <c r="B454" s="68" t="s">
        <v>1213</v>
      </c>
      <c r="C454" s="47" t="s">
        <v>3222</v>
      </c>
      <c r="D454" s="46"/>
      <c r="E454" s="26">
        <v>44327</v>
      </c>
      <c r="F454" s="2">
        <f t="shared" si="19"/>
        <v>44341</v>
      </c>
      <c r="G454" s="45"/>
      <c r="H454" s="45"/>
      <c r="I454" s="33" t="s">
        <v>3223</v>
      </c>
      <c r="J454" s="46" t="s">
        <v>822</v>
      </c>
      <c r="K454" s="46" t="s">
        <v>31</v>
      </c>
      <c r="L454" s="46" t="s">
        <v>1777</v>
      </c>
      <c r="M454" s="1" t="s">
        <v>32</v>
      </c>
      <c r="N454" s="1" t="s">
        <v>1227</v>
      </c>
      <c r="O454" s="46" t="s">
        <v>3224</v>
      </c>
      <c r="P454" s="46" t="s">
        <v>1975</v>
      </c>
      <c r="Q454" s="50" t="s">
        <v>364</v>
      </c>
      <c r="R454" s="50">
        <v>81949</v>
      </c>
      <c r="S454" s="47"/>
      <c r="T454" s="47"/>
      <c r="U454" s="51"/>
      <c r="V454" s="4" t="s">
        <v>1264</v>
      </c>
      <c r="W454" s="1" t="s">
        <v>1253</v>
      </c>
      <c r="X454" s="4" t="s">
        <v>616</v>
      </c>
      <c r="Y454" s="4" t="s">
        <v>1265</v>
      </c>
    </row>
    <row r="455" spans="1:26" s="4" customFormat="1" ht="17.25" customHeight="1">
      <c r="A455" s="4" t="s">
        <v>1309</v>
      </c>
      <c r="B455" s="4" t="s">
        <v>1213</v>
      </c>
      <c r="C455" s="29" t="s">
        <v>3225</v>
      </c>
      <c r="D455" s="1"/>
      <c r="E455" s="137">
        <v>44382</v>
      </c>
      <c r="F455" s="2">
        <f t="shared" si="19"/>
        <v>44396</v>
      </c>
      <c r="G455" s="1" t="s">
        <v>364</v>
      </c>
      <c r="H455" s="1">
        <v>6579</v>
      </c>
      <c r="I455" s="1" t="s">
        <v>3226</v>
      </c>
      <c r="J455" s="1" t="s">
        <v>69</v>
      </c>
      <c r="K455" s="1" t="s">
        <v>31</v>
      </c>
      <c r="L455" s="1">
        <v>85226</v>
      </c>
      <c r="M455" s="1" t="s">
        <v>32</v>
      </c>
      <c r="N455" s="1" t="s">
        <v>1227</v>
      </c>
      <c r="O455" s="1" t="s">
        <v>3227</v>
      </c>
      <c r="P455" s="25" t="s">
        <v>3228</v>
      </c>
      <c r="Q455" s="25" t="s">
        <v>364</v>
      </c>
      <c r="R455" s="1" t="s">
        <v>364</v>
      </c>
      <c r="S455" s="1"/>
      <c r="T455" s="1"/>
      <c r="U455" s="1"/>
      <c r="V455" s="1" t="s">
        <v>36</v>
      </c>
      <c r="W455" s="1" t="s">
        <v>1277</v>
      </c>
      <c r="X455" s="1" t="s">
        <v>59</v>
      </c>
      <c r="Y455" s="1" t="s">
        <v>1330</v>
      </c>
    </row>
    <row r="456" spans="1:26" s="4" customFormat="1" ht="15" customHeight="1">
      <c r="A456" s="4" t="s">
        <v>1393</v>
      </c>
      <c r="B456" s="4" t="s">
        <v>1213</v>
      </c>
      <c r="C456" s="29" t="s">
        <v>3229</v>
      </c>
      <c r="D456" s="1"/>
      <c r="E456" s="137">
        <v>44424</v>
      </c>
      <c r="F456" s="2">
        <f t="shared" si="19"/>
        <v>44438</v>
      </c>
      <c r="G456" s="1" t="s">
        <v>364</v>
      </c>
      <c r="H456" s="1" t="s">
        <v>3230</v>
      </c>
      <c r="I456" s="1" t="s">
        <v>1477</v>
      </c>
      <c r="J456" s="1" t="s">
        <v>69</v>
      </c>
      <c r="K456" s="1" t="s">
        <v>31</v>
      </c>
      <c r="L456" s="1">
        <v>85286</v>
      </c>
      <c r="M456" s="1" t="s">
        <v>32</v>
      </c>
      <c r="N456" s="1" t="s">
        <v>1227</v>
      </c>
      <c r="O456" s="1" t="s">
        <v>3213</v>
      </c>
      <c r="P456" s="1" t="s">
        <v>3214</v>
      </c>
      <c r="Q456" s="1" t="s">
        <v>364</v>
      </c>
      <c r="R456" s="1" t="s">
        <v>364</v>
      </c>
      <c r="S456" s="53"/>
      <c r="T456" s="53"/>
      <c r="V456" s="4" t="s">
        <v>1264</v>
      </c>
      <c r="W456" s="1" t="s">
        <v>1253</v>
      </c>
      <c r="X456" s="4" t="s">
        <v>616</v>
      </c>
      <c r="Y456" s="4" t="s">
        <v>1265</v>
      </c>
    </row>
    <row r="457" spans="1:26" s="4" customFormat="1" ht="15" customHeight="1">
      <c r="A457" s="92" t="s">
        <v>25</v>
      </c>
      <c r="B457" s="70" t="s">
        <v>1213</v>
      </c>
      <c r="C457" s="56" t="s">
        <v>3231</v>
      </c>
      <c r="D457" s="60"/>
      <c r="E457" s="26">
        <v>44559</v>
      </c>
      <c r="F457" s="60">
        <f t="shared" si="19"/>
        <v>44573</v>
      </c>
      <c r="G457" s="60"/>
      <c r="H457" s="76">
        <v>7442</v>
      </c>
      <c r="I457" s="55" t="s">
        <v>3232</v>
      </c>
      <c r="J457" s="55" t="s">
        <v>63</v>
      </c>
      <c r="K457" s="55" t="s">
        <v>31</v>
      </c>
      <c r="L457" s="55" t="s">
        <v>2148</v>
      </c>
      <c r="M457" s="55" t="s">
        <v>32</v>
      </c>
      <c r="N457" s="1" t="s">
        <v>1227</v>
      </c>
      <c r="O457" s="55" t="s">
        <v>3233</v>
      </c>
      <c r="P457" s="55" t="s">
        <v>3234</v>
      </c>
      <c r="Q457" s="89" t="s">
        <v>3235</v>
      </c>
      <c r="R457" s="57">
        <v>87536</v>
      </c>
      <c r="S457" s="1"/>
      <c r="T457" s="1"/>
      <c r="U457" s="1"/>
      <c r="V457" s="4" t="s">
        <v>36</v>
      </c>
      <c r="W457" s="4" t="s">
        <v>1277</v>
      </c>
      <c r="X457" s="1" t="s">
        <v>59</v>
      </c>
      <c r="Y457" s="15" t="s">
        <v>1330</v>
      </c>
    </row>
    <row r="458" spans="1:26" s="4" customFormat="1" ht="15" customHeight="1">
      <c r="A458" s="93" t="s">
        <v>1256</v>
      </c>
      <c r="B458" s="69" t="s">
        <v>1213</v>
      </c>
      <c r="C458" s="5" t="s">
        <v>3236</v>
      </c>
      <c r="D458" s="59"/>
      <c r="E458" s="26">
        <v>44624</v>
      </c>
      <c r="F458" s="2">
        <f t="shared" si="19"/>
        <v>44638</v>
      </c>
      <c r="G458" s="2"/>
      <c r="H458" s="43" t="s">
        <v>43</v>
      </c>
      <c r="I458" s="33" t="s">
        <v>3237</v>
      </c>
      <c r="J458" s="33" t="s">
        <v>822</v>
      </c>
      <c r="K458" s="33" t="s">
        <v>31</v>
      </c>
      <c r="L458" s="33"/>
      <c r="M458" s="33" t="s">
        <v>32</v>
      </c>
      <c r="N458" s="5"/>
      <c r="O458" s="33" t="s">
        <v>3238</v>
      </c>
      <c r="P458" s="33" t="s">
        <v>3239</v>
      </c>
      <c r="Q458" s="33"/>
      <c r="R458" s="37">
        <v>86920</v>
      </c>
      <c r="S458" s="1"/>
      <c r="T458" s="1"/>
      <c r="U458" s="1"/>
      <c r="V458" s="4" t="s">
        <v>1264</v>
      </c>
      <c r="W458" s="4" t="s">
        <v>1253</v>
      </c>
      <c r="X458" s="4" t="s">
        <v>616</v>
      </c>
      <c r="Y458" s="15" t="s">
        <v>1265</v>
      </c>
    </row>
    <row r="459" spans="1:26" s="4" customFormat="1" ht="15" customHeight="1">
      <c r="A459" s="93" t="s">
        <v>1256</v>
      </c>
      <c r="B459" s="4" t="s">
        <v>1213</v>
      </c>
      <c r="C459" s="4" t="s">
        <v>3240</v>
      </c>
      <c r="D459" s="2"/>
      <c r="E459" s="26">
        <v>44659</v>
      </c>
      <c r="F459" s="2">
        <f t="shared" si="19"/>
        <v>44673</v>
      </c>
      <c r="G459" s="2"/>
      <c r="H459" s="41">
        <v>2225</v>
      </c>
      <c r="I459" s="1" t="s">
        <v>3241</v>
      </c>
      <c r="J459" s="1" t="s">
        <v>1510</v>
      </c>
      <c r="K459" s="1" t="s">
        <v>31</v>
      </c>
      <c r="L459" s="1"/>
      <c r="M459" s="1" t="s">
        <v>32</v>
      </c>
      <c r="O459" s="1" t="s">
        <v>3242</v>
      </c>
      <c r="P459" s="1" t="s">
        <v>3243</v>
      </c>
      <c r="Q459" s="87" t="s">
        <v>3244</v>
      </c>
      <c r="R459" s="31"/>
      <c r="V459" s="4" t="s">
        <v>1264</v>
      </c>
      <c r="W459" s="4" t="s">
        <v>1253</v>
      </c>
      <c r="X459" s="4" t="s">
        <v>616</v>
      </c>
      <c r="Y459" s="15" t="s">
        <v>1265</v>
      </c>
    </row>
    <row r="460" spans="1:26" s="4" customFormat="1">
      <c r="A460" s="93" t="s">
        <v>1256</v>
      </c>
      <c r="B460" s="29" t="s">
        <v>3245</v>
      </c>
      <c r="C460" s="4" t="s">
        <v>3246</v>
      </c>
      <c r="D460" s="2"/>
      <c r="E460" s="26">
        <v>44610</v>
      </c>
      <c r="F460" s="2">
        <f t="shared" si="19"/>
        <v>44624</v>
      </c>
      <c r="G460" s="2"/>
      <c r="H460" s="41">
        <v>12495</v>
      </c>
      <c r="I460" s="1" t="s">
        <v>893</v>
      </c>
      <c r="J460" s="1" t="s">
        <v>873</v>
      </c>
      <c r="K460" s="1" t="s">
        <v>31</v>
      </c>
      <c r="L460" s="1">
        <v>85323</v>
      </c>
      <c r="M460" s="1" t="s">
        <v>32</v>
      </c>
      <c r="O460" s="1" t="s">
        <v>3247</v>
      </c>
      <c r="P460" s="1" t="s">
        <v>3248</v>
      </c>
      <c r="Q460" s="1"/>
      <c r="R460" s="31">
        <v>88636</v>
      </c>
      <c r="V460" s="4" t="s">
        <v>1264</v>
      </c>
      <c r="W460" s="4" t="s">
        <v>1253</v>
      </c>
      <c r="X460" s="4" t="s">
        <v>616</v>
      </c>
      <c r="Y460" s="15" t="s">
        <v>1265</v>
      </c>
    </row>
    <row r="461" spans="1:26" s="4" customFormat="1" ht="15" customHeight="1">
      <c r="A461" s="93" t="s">
        <v>1256</v>
      </c>
      <c r="B461" s="29" t="s">
        <v>3245</v>
      </c>
      <c r="C461" s="4" t="s">
        <v>3249</v>
      </c>
      <c r="D461" s="2"/>
      <c r="E461" s="26">
        <v>44708</v>
      </c>
      <c r="F461" s="2">
        <f t="shared" si="19"/>
        <v>44722</v>
      </c>
      <c r="G461" s="2"/>
      <c r="H461" s="41">
        <v>16000</v>
      </c>
      <c r="I461" s="1" t="s">
        <v>3250</v>
      </c>
      <c r="J461" s="1" t="s">
        <v>837</v>
      </c>
      <c r="K461" s="1" t="s">
        <v>31</v>
      </c>
      <c r="L461" s="1">
        <v>85374</v>
      </c>
      <c r="M461" s="1" t="s">
        <v>32</v>
      </c>
      <c r="O461" s="1" t="s">
        <v>3251</v>
      </c>
      <c r="P461" s="1" t="s">
        <v>3252</v>
      </c>
      <c r="Q461" s="87" t="s">
        <v>3253</v>
      </c>
      <c r="R461" s="31">
        <v>91413</v>
      </c>
      <c r="V461" s="4" t="s">
        <v>1264</v>
      </c>
      <c r="W461" s="4" t="s">
        <v>1253</v>
      </c>
      <c r="X461" s="4" t="s">
        <v>616</v>
      </c>
      <c r="Y461" s="15" t="s">
        <v>1265</v>
      </c>
    </row>
    <row r="462" spans="1:26" s="4" customFormat="1" ht="15" customHeight="1">
      <c r="A462" s="164" t="s">
        <v>1240</v>
      </c>
      <c r="B462" s="29" t="s">
        <v>3245</v>
      </c>
      <c r="C462" s="4" t="s">
        <v>3254</v>
      </c>
      <c r="D462" s="2"/>
      <c r="E462" s="2">
        <v>44872</v>
      </c>
      <c r="F462" s="60">
        <f t="shared" si="19"/>
        <v>44886</v>
      </c>
      <c r="G462" s="2"/>
      <c r="H462" s="41"/>
      <c r="I462" s="15" t="s">
        <v>3255</v>
      </c>
      <c r="J462" s="1" t="s">
        <v>434</v>
      </c>
      <c r="K462" s="1" t="s">
        <v>31</v>
      </c>
      <c r="L462" s="1">
        <v>85037</v>
      </c>
      <c r="M462" s="1" t="s">
        <v>32</v>
      </c>
      <c r="O462" s="1" t="s">
        <v>3256</v>
      </c>
      <c r="P462" s="1" t="s">
        <v>3257</v>
      </c>
      <c r="Q462" s="87" t="s">
        <v>3258</v>
      </c>
      <c r="R462" s="31">
        <v>91829</v>
      </c>
      <c r="V462" s="4" t="s">
        <v>443</v>
      </c>
      <c r="W462" s="4" t="s">
        <v>37</v>
      </c>
      <c r="X462" s="4" t="s">
        <v>616</v>
      </c>
      <c r="Y462" s="167" t="s">
        <v>1247</v>
      </c>
      <c r="Z462" s="168"/>
    </row>
    <row r="463" spans="1:26" s="4" customFormat="1">
      <c r="A463" s="92" t="s">
        <v>25</v>
      </c>
      <c r="B463" s="29" t="s">
        <v>3259</v>
      </c>
      <c r="C463" s="29" t="s">
        <v>3260</v>
      </c>
      <c r="D463" s="2"/>
      <c r="E463" s="26">
        <v>44715</v>
      </c>
      <c r="F463" s="2">
        <f t="shared" si="19"/>
        <v>44729</v>
      </c>
      <c r="G463" s="2"/>
      <c r="H463" s="1">
        <v>8890</v>
      </c>
      <c r="I463" s="1" t="s">
        <v>3261</v>
      </c>
      <c r="J463" s="1" t="s">
        <v>398</v>
      </c>
      <c r="K463" s="1" t="s">
        <v>31</v>
      </c>
      <c r="L463" s="1">
        <v>85255</v>
      </c>
      <c r="M463" s="1" t="s">
        <v>32</v>
      </c>
      <c r="N463" s="1" t="s">
        <v>1227</v>
      </c>
      <c r="O463" s="1" t="s">
        <v>364</v>
      </c>
      <c r="P463" s="1" t="s">
        <v>364</v>
      </c>
      <c r="Q463" s="87" t="s">
        <v>364</v>
      </c>
      <c r="R463" s="1">
        <v>74313</v>
      </c>
      <c r="V463" s="4" t="s">
        <v>36</v>
      </c>
      <c r="W463" s="4" t="s">
        <v>1277</v>
      </c>
      <c r="X463" s="1" t="s">
        <v>59</v>
      </c>
      <c r="Y463" s="15" t="s">
        <v>1330</v>
      </c>
    </row>
    <row r="464" spans="1:26" s="4" customFormat="1" ht="15" customHeight="1">
      <c r="A464" s="4" t="s">
        <v>1280</v>
      </c>
      <c r="B464" s="29" t="s">
        <v>792</v>
      </c>
      <c r="C464" s="29" t="s">
        <v>3262</v>
      </c>
      <c r="D464" s="1"/>
      <c r="E464" s="26">
        <v>43838</v>
      </c>
      <c r="F464" s="2">
        <f t="shared" si="19"/>
        <v>43852</v>
      </c>
      <c r="G464" s="41" t="s">
        <v>364</v>
      </c>
      <c r="H464" s="41">
        <v>6307</v>
      </c>
      <c r="I464" s="1" t="s">
        <v>703</v>
      </c>
      <c r="J464" s="33" t="s">
        <v>434</v>
      </c>
      <c r="K464" s="33" t="s">
        <v>31</v>
      </c>
      <c r="L464" s="33" t="s">
        <v>2099</v>
      </c>
      <c r="M464" s="1" t="s">
        <v>32</v>
      </c>
      <c r="N464" s="1" t="s">
        <v>1227</v>
      </c>
      <c r="O464" s="33" t="s">
        <v>3263</v>
      </c>
      <c r="P464" s="11" t="s">
        <v>3264</v>
      </c>
      <c r="Q464" s="37" t="s">
        <v>364</v>
      </c>
      <c r="R464" s="37">
        <v>71555</v>
      </c>
      <c r="V464" s="4" t="s">
        <v>1264</v>
      </c>
      <c r="W464" s="1" t="s">
        <v>1253</v>
      </c>
      <c r="X464" s="4" t="s">
        <v>616</v>
      </c>
      <c r="Y464" s="4" t="s">
        <v>1265</v>
      </c>
    </row>
    <row r="465" spans="1:26" s="4" customFormat="1">
      <c r="A465" s="164" t="s">
        <v>1240</v>
      </c>
      <c r="B465" s="29" t="s">
        <v>792</v>
      </c>
      <c r="C465" s="29" t="s">
        <v>3265</v>
      </c>
      <c r="D465" s="2"/>
      <c r="E465" s="2">
        <v>44805</v>
      </c>
      <c r="F465" s="2">
        <f t="shared" si="19"/>
        <v>44819</v>
      </c>
      <c r="G465" s="2"/>
      <c r="H465" s="1">
        <v>402</v>
      </c>
      <c r="I465" s="15" t="s">
        <v>3266</v>
      </c>
      <c r="J465" s="1" t="s">
        <v>434</v>
      </c>
      <c r="K465" s="1" t="s">
        <v>31</v>
      </c>
      <c r="L465" s="1">
        <v>85003</v>
      </c>
      <c r="M465" s="1" t="s">
        <v>32</v>
      </c>
      <c r="N465" s="1" t="s">
        <v>1227</v>
      </c>
      <c r="O465" s="1" t="s">
        <v>3267</v>
      </c>
      <c r="P465" s="1" t="s">
        <v>3268</v>
      </c>
      <c r="Q465" s="1"/>
      <c r="R465" s="1">
        <v>76062</v>
      </c>
      <c r="S465" s="53"/>
      <c r="T465" s="53"/>
      <c r="V465" s="4" t="s">
        <v>443</v>
      </c>
      <c r="W465" s="4" t="s">
        <v>37</v>
      </c>
      <c r="X465" s="4" t="s">
        <v>616</v>
      </c>
      <c r="Y465" s="15" t="s">
        <v>1247</v>
      </c>
    </row>
    <row r="466" spans="1:26" s="4" customFormat="1" ht="15" customHeight="1">
      <c r="A466" s="164" t="s">
        <v>1240</v>
      </c>
      <c r="B466" s="69" t="s">
        <v>792</v>
      </c>
      <c r="C466" s="5" t="s">
        <v>3269</v>
      </c>
      <c r="D466" s="59"/>
      <c r="E466" s="2">
        <v>44812</v>
      </c>
      <c r="F466" s="2">
        <f t="shared" si="19"/>
        <v>44826</v>
      </c>
      <c r="G466" s="2"/>
      <c r="H466" s="43" t="s">
        <v>379</v>
      </c>
      <c r="I466" s="7" t="s">
        <v>3270</v>
      </c>
      <c r="J466" s="33" t="s">
        <v>398</v>
      </c>
      <c r="K466" s="33" t="s">
        <v>31</v>
      </c>
      <c r="L466" s="33" t="s">
        <v>3271</v>
      </c>
      <c r="M466" s="33" t="s">
        <v>32</v>
      </c>
      <c r="N466" s="5"/>
      <c r="O466" s="33" t="s">
        <v>3263</v>
      </c>
      <c r="P466" s="33" t="s">
        <v>3272</v>
      </c>
      <c r="Q466" s="166" t="s">
        <v>3273</v>
      </c>
      <c r="R466" s="37">
        <v>80904</v>
      </c>
      <c r="S466" s="1"/>
      <c r="T466" s="1"/>
      <c r="U466" s="1"/>
      <c r="V466" s="4" t="s">
        <v>443</v>
      </c>
      <c r="W466" s="4" t="s">
        <v>37</v>
      </c>
      <c r="X466" s="4" t="s">
        <v>616</v>
      </c>
      <c r="Y466" s="167" t="s">
        <v>1247</v>
      </c>
      <c r="Z466" s="168"/>
    </row>
    <row r="467" spans="1:26" s="4" customFormat="1">
      <c r="A467" s="163" t="s">
        <v>25</v>
      </c>
      <c r="B467" s="15" t="s">
        <v>792</v>
      </c>
      <c r="C467" s="65" t="s">
        <v>3274</v>
      </c>
      <c r="D467" s="2"/>
      <c r="E467" s="2">
        <v>44880</v>
      </c>
      <c r="F467" s="2">
        <f t="shared" si="19"/>
        <v>44894</v>
      </c>
      <c r="G467" s="2"/>
      <c r="H467" s="1"/>
      <c r="I467" s="15" t="s">
        <v>3275</v>
      </c>
      <c r="J467" s="1" t="s">
        <v>3276</v>
      </c>
      <c r="K467" s="1" t="s">
        <v>31</v>
      </c>
      <c r="L467" s="1">
        <v>85295</v>
      </c>
      <c r="M467" s="1" t="s">
        <v>32</v>
      </c>
      <c r="O467" s="1" t="s">
        <v>3277</v>
      </c>
      <c r="P467" s="1" t="s">
        <v>3278</v>
      </c>
      <c r="Q467" s="87" t="s">
        <v>3279</v>
      </c>
      <c r="R467" s="1">
        <v>87118</v>
      </c>
      <c r="S467" s="1"/>
      <c r="T467" s="1"/>
      <c r="U467" s="1"/>
      <c r="V467" s="4" t="s">
        <v>36</v>
      </c>
      <c r="W467" s="4" t="s">
        <v>37</v>
      </c>
      <c r="X467" s="1" t="s">
        <v>59</v>
      </c>
      <c r="Y467" s="167" t="s">
        <v>39</v>
      </c>
      <c r="Z467" s="168"/>
    </row>
    <row r="468" spans="1:26" s="4" customFormat="1">
      <c r="A468" s="4" t="s">
        <v>1266</v>
      </c>
      <c r="B468" s="119" t="s">
        <v>3280</v>
      </c>
      <c r="C468" s="4" t="s">
        <v>3281</v>
      </c>
      <c r="D468" s="1"/>
      <c r="E468" s="26">
        <v>43726</v>
      </c>
      <c r="F468" s="2">
        <f t="shared" si="19"/>
        <v>43740</v>
      </c>
      <c r="G468" s="1" t="s">
        <v>364</v>
      </c>
      <c r="H468" s="1">
        <v>15801</v>
      </c>
      <c r="I468" s="1" t="s">
        <v>3282</v>
      </c>
      <c r="J468" s="33" t="s">
        <v>434</v>
      </c>
      <c r="K468" s="33" t="s">
        <v>31</v>
      </c>
      <c r="L468" s="33" t="s">
        <v>3283</v>
      </c>
      <c r="M468" s="1" t="s">
        <v>32</v>
      </c>
      <c r="N468" s="1" t="s">
        <v>1227</v>
      </c>
      <c r="O468" s="33" t="s">
        <v>3284</v>
      </c>
      <c r="P468" s="11" t="s">
        <v>3285</v>
      </c>
      <c r="Q468" s="213"/>
      <c r="R468" s="127">
        <v>543540</v>
      </c>
      <c r="V468" s="4" t="s">
        <v>1264</v>
      </c>
      <c r="W468" s="1" t="s">
        <v>1253</v>
      </c>
      <c r="X468" s="4" t="s">
        <v>616</v>
      </c>
      <c r="Y468" s="4" t="s">
        <v>1265</v>
      </c>
    </row>
    <row r="469" spans="1:26" s="4" customFormat="1" ht="15" customHeight="1">
      <c r="A469" s="93" t="s">
        <v>1240</v>
      </c>
      <c r="B469" s="29" t="s">
        <v>3286</v>
      </c>
      <c r="C469" s="4" t="s">
        <v>3287</v>
      </c>
      <c r="D469" s="2"/>
      <c r="E469" s="26">
        <v>44747</v>
      </c>
      <c r="F469" s="2">
        <f t="shared" si="19"/>
        <v>44761</v>
      </c>
      <c r="G469" s="2"/>
      <c r="H469" s="41">
        <v>255</v>
      </c>
      <c r="I469" s="1" t="s">
        <v>3288</v>
      </c>
      <c r="J469" s="1" t="s">
        <v>844</v>
      </c>
      <c r="K469" s="1" t="s">
        <v>31</v>
      </c>
      <c r="L469" s="1">
        <v>85338</v>
      </c>
      <c r="M469" s="1" t="s">
        <v>32</v>
      </c>
      <c r="O469" s="1" t="s">
        <v>3289</v>
      </c>
      <c r="P469" s="1" t="s">
        <v>3290</v>
      </c>
      <c r="Q469" s="1"/>
      <c r="R469" s="31">
        <v>93336</v>
      </c>
      <c r="V469" s="4" t="s">
        <v>443</v>
      </c>
      <c r="W469" s="4" t="s">
        <v>1253</v>
      </c>
      <c r="X469" s="4" t="s">
        <v>616</v>
      </c>
      <c r="Y469" s="15" t="s">
        <v>1247</v>
      </c>
    </row>
    <row r="470" spans="1:26" s="4" customFormat="1" ht="15" customHeight="1" thickBot="1">
      <c r="A470" s="4" t="s">
        <v>1280</v>
      </c>
      <c r="B470" s="29" t="s">
        <v>3291</v>
      </c>
      <c r="C470" s="29" t="s">
        <v>3292</v>
      </c>
      <c r="D470" s="1"/>
      <c r="E470" s="26">
        <v>43966</v>
      </c>
      <c r="F470" s="2">
        <f t="shared" si="19"/>
        <v>43980</v>
      </c>
      <c r="G470" s="1" t="s">
        <v>364</v>
      </c>
      <c r="H470" s="1">
        <v>6652</v>
      </c>
      <c r="I470" s="1" t="s">
        <v>1580</v>
      </c>
      <c r="J470" s="1" t="s">
        <v>822</v>
      </c>
      <c r="K470" s="1" t="s">
        <v>31</v>
      </c>
      <c r="L470" s="1" t="s">
        <v>3293</v>
      </c>
      <c r="M470" s="1" t="s">
        <v>32</v>
      </c>
      <c r="N470" s="1" t="s">
        <v>1227</v>
      </c>
      <c r="O470" s="1" t="s">
        <v>3294</v>
      </c>
      <c r="P470" s="1" t="s">
        <v>3295</v>
      </c>
      <c r="Q470" s="219" t="s">
        <v>364</v>
      </c>
      <c r="R470" s="1">
        <v>76092</v>
      </c>
    </row>
    <row r="471" spans="1:26" s="4" customFormat="1">
      <c r="A471" s="94" t="s">
        <v>1234</v>
      </c>
      <c r="B471" s="29" t="s">
        <v>150</v>
      </c>
      <c r="C471" s="4" t="s">
        <v>3296</v>
      </c>
      <c r="D471" s="2"/>
      <c r="E471" s="2"/>
      <c r="F471" s="2"/>
      <c r="G471" s="2"/>
      <c r="H471" s="41">
        <v>730</v>
      </c>
      <c r="I471" s="15" t="s">
        <v>3297</v>
      </c>
      <c r="J471" s="1" t="s">
        <v>916</v>
      </c>
      <c r="K471" s="1" t="s">
        <v>31</v>
      </c>
      <c r="L471" s="1">
        <v>85711</v>
      </c>
      <c r="M471" s="1" t="s">
        <v>32</v>
      </c>
      <c r="O471" s="1" t="s">
        <v>3298</v>
      </c>
      <c r="P471" s="1" t="s">
        <v>3299</v>
      </c>
      <c r="Q471" s="162" t="s">
        <v>3300</v>
      </c>
      <c r="R471" s="31">
        <v>85877</v>
      </c>
      <c r="W471" s="4" t="s">
        <v>1418</v>
      </c>
      <c r="Y471" s="15"/>
    </row>
    <row r="472" spans="1:26" s="4" customFormat="1">
      <c r="A472" s="164" t="s">
        <v>1240</v>
      </c>
      <c r="B472" s="118" t="s">
        <v>3301</v>
      </c>
      <c r="C472" s="119" t="s">
        <v>3302</v>
      </c>
      <c r="D472" s="2"/>
      <c r="E472" s="2">
        <v>44918</v>
      </c>
      <c r="F472" s="185">
        <f>E472+14</f>
        <v>44932</v>
      </c>
      <c r="G472" s="2"/>
      <c r="H472" s="41">
        <v>1057</v>
      </c>
      <c r="I472" s="15" t="s">
        <v>3303</v>
      </c>
      <c r="J472" s="1" t="s">
        <v>612</v>
      </c>
      <c r="K472" s="1" t="s">
        <v>31</v>
      </c>
      <c r="L472" s="1"/>
      <c r="M472" s="1" t="s">
        <v>32</v>
      </c>
      <c r="O472" s="1" t="s">
        <v>3304</v>
      </c>
      <c r="P472" s="1" t="s">
        <v>3305</v>
      </c>
      <c r="Q472" s="87" t="s">
        <v>3306</v>
      </c>
      <c r="R472" s="178">
        <v>96583</v>
      </c>
      <c r="V472" s="4" t="s">
        <v>443</v>
      </c>
      <c r="W472" s="4" t="s">
        <v>37</v>
      </c>
      <c r="X472" s="4" t="s">
        <v>616</v>
      </c>
      <c r="Y472" s="167" t="s">
        <v>1247</v>
      </c>
      <c r="Z472" s="168"/>
    </row>
    <row r="473" spans="1:26">
      <c r="A473" t="s">
        <v>1240</v>
      </c>
      <c r="B473" t="s">
        <v>1281</v>
      </c>
      <c r="C473" t="s">
        <v>3307</v>
      </c>
      <c r="E473">
        <v>44911</v>
      </c>
      <c r="F473" s="25">
        <v>44925</v>
      </c>
      <c r="H473" s="25">
        <v>13451</v>
      </c>
      <c r="I473" s="25" t="s">
        <v>3308</v>
      </c>
      <c r="J473" s="25" t="s">
        <v>851</v>
      </c>
      <c r="K473" s="25" t="s">
        <v>31</v>
      </c>
      <c r="L473" s="25">
        <v>85318</v>
      </c>
      <c r="M473" s="25" t="s">
        <v>32</v>
      </c>
      <c r="O473" s="25" t="s">
        <v>1301</v>
      </c>
      <c r="P473" s="25" t="s">
        <v>1322</v>
      </c>
      <c r="Q473" s="25" t="s">
        <v>3309</v>
      </c>
      <c r="R473" s="25">
        <v>91916</v>
      </c>
      <c r="V473" t="s">
        <v>443</v>
      </c>
      <c r="W473" t="s">
        <v>37</v>
      </c>
      <c r="X473" t="s">
        <v>616</v>
      </c>
      <c r="Y473" t="s">
        <v>1247</v>
      </c>
    </row>
    <row r="474" spans="1:26" s="4" customFormat="1">
      <c r="A474" s="94" t="s">
        <v>1234</v>
      </c>
      <c r="B474" s="29" t="s">
        <v>150</v>
      </c>
      <c r="C474" s="4" t="s">
        <v>3310</v>
      </c>
      <c r="D474" s="2"/>
      <c r="E474" s="2"/>
      <c r="F474" s="2"/>
      <c r="G474" s="2"/>
      <c r="H474" s="41">
        <v>1025</v>
      </c>
      <c r="I474" s="15" t="s">
        <v>3311</v>
      </c>
      <c r="J474" s="1" t="s">
        <v>916</v>
      </c>
      <c r="K474" s="1" t="s">
        <v>31</v>
      </c>
      <c r="L474" s="1">
        <v>85705</v>
      </c>
      <c r="M474" s="1" t="s">
        <v>32</v>
      </c>
      <c r="O474" s="1" t="s">
        <v>3298</v>
      </c>
      <c r="P474" s="1" t="s">
        <v>3299</v>
      </c>
      <c r="Q474" s="162" t="s">
        <v>3300</v>
      </c>
      <c r="R474" s="31">
        <v>90523</v>
      </c>
      <c r="W474" s="4" t="s">
        <v>1418</v>
      </c>
      <c r="Y474" s="15"/>
    </row>
    <row r="475" spans="1:26" s="4" customFormat="1" ht="15" customHeight="1">
      <c r="A475" s="163" t="s">
        <v>25</v>
      </c>
      <c r="B475" s="69" t="s">
        <v>989</v>
      </c>
      <c r="C475" s="5" t="s">
        <v>3312</v>
      </c>
      <c r="D475" s="59"/>
      <c r="E475" s="2">
        <v>44894</v>
      </c>
      <c r="F475" s="60">
        <f t="shared" ref="F475" si="20">E475+14</f>
        <v>44908</v>
      </c>
      <c r="G475" s="60"/>
      <c r="H475" s="49">
        <v>2660</v>
      </c>
      <c r="I475" s="7" t="s">
        <v>3313</v>
      </c>
      <c r="J475" s="33" t="s">
        <v>49</v>
      </c>
      <c r="K475" s="33" t="s">
        <v>31</v>
      </c>
      <c r="L475" s="33"/>
      <c r="M475" s="33" t="s">
        <v>32</v>
      </c>
      <c r="N475" s="5"/>
      <c r="O475" s="33" t="s">
        <v>1119</v>
      </c>
      <c r="P475" s="33" t="s">
        <v>1120</v>
      </c>
      <c r="Q475" s="177" t="s">
        <v>3314</v>
      </c>
      <c r="R475" s="37">
        <v>86739</v>
      </c>
      <c r="S475" s="1"/>
      <c r="T475" s="1"/>
      <c r="U475" s="1"/>
      <c r="V475" s="4" t="s">
        <v>36</v>
      </c>
      <c r="W475" s="4" t="s">
        <v>37</v>
      </c>
      <c r="X475" s="1" t="s">
        <v>59</v>
      </c>
      <c r="Y475" s="167" t="s">
        <v>39</v>
      </c>
      <c r="Z475" s="168"/>
    </row>
    <row r="476" spans="1:26" s="4" customFormat="1" ht="15" customHeight="1">
      <c r="A476" s="163" t="s">
        <v>25</v>
      </c>
      <c r="B476" s="29" t="s">
        <v>3315</v>
      </c>
      <c r="C476" s="29" t="s">
        <v>3316</v>
      </c>
      <c r="D476" s="2"/>
      <c r="E476" s="2">
        <v>44897</v>
      </c>
      <c r="F476" s="2">
        <f>E476+14</f>
        <v>44911</v>
      </c>
      <c r="G476" s="2"/>
      <c r="H476" s="1"/>
      <c r="I476" s="15" t="s">
        <v>3317</v>
      </c>
      <c r="J476" s="1" t="s">
        <v>751</v>
      </c>
      <c r="K476" s="1" t="s">
        <v>31</v>
      </c>
      <c r="L476" s="1"/>
      <c r="M476" s="1" t="s">
        <v>32</v>
      </c>
      <c r="N476" s="1"/>
      <c r="O476" s="1" t="s">
        <v>3318</v>
      </c>
      <c r="P476" s="1" t="s">
        <v>3319</v>
      </c>
      <c r="Q476" s="162" t="s">
        <v>3320</v>
      </c>
      <c r="R476" s="1">
        <v>80285</v>
      </c>
      <c r="V476" s="4" t="s">
        <v>36</v>
      </c>
      <c r="W476" s="4" t="s">
        <v>37</v>
      </c>
      <c r="X476" s="1" t="s">
        <v>59</v>
      </c>
      <c r="Y476" s="167" t="s">
        <v>39</v>
      </c>
      <c r="Z476" s="168"/>
    </row>
    <row r="477" spans="1:26" s="4" customFormat="1">
      <c r="A477" s="94" t="s">
        <v>1234</v>
      </c>
      <c r="B477" s="29" t="s">
        <v>1563</v>
      </c>
      <c r="C477" s="4" t="s">
        <v>3321</v>
      </c>
      <c r="D477" s="2"/>
      <c r="E477" s="2"/>
      <c r="F477" s="2"/>
      <c r="G477" s="2"/>
      <c r="H477" s="41">
        <v>7300</v>
      </c>
      <c r="I477" s="15" t="s">
        <v>3322</v>
      </c>
      <c r="J477" s="1" t="s">
        <v>916</v>
      </c>
      <c r="K477" s="1" t="s">
        <v>31</v>
      </c>
      <c r="L477" s="1">
        <v>85743</v>
      </c>
      <c r="M477" s="1" t="s">
        <v>32</v>
      </c>
      <c r="O477" s="1" t="s">
        <v>3323</v>
      </c>
      <c r="P477" s="1" t="s">
        <v>3324</v>
      </c>
      <c r="Q477" s="162" t="s">
        <v>3325</v>
      </c>
      <c r="R477" s="31"/>
      <c r="W477" s="4" t="s">
        <v>1418</v>
      </c>
      <c r="Y477" s="15"/>
    </row>
    <row r="478" spans="1:26" s="4" customFormat="1">
      <c r="A478" s="164" t="s">
        <v>1240</v>
      </c>
      <c r="B478" s="29" t="s">
        <v>1213</v>
      </c>
      <c r="C478" s="4" t="s">
        <v>3326</v>
      </c>
      <c r="D478" s="130"/>
      <c r="E478" s="2">
        <v>44910</v>
      </c>
      <c r="F478" s="2">
        <f t="shared" ref="F478:F479" si="21">E478+14</f>
        <v>44924</v>
      </c>
      <c r="G478" s="2"/>
      <c r="H478" s="41" t="s">
        <v>184</v>
      </c>
      <c r="I478" s="15" t="s">
        <v>3327</v>
      </c>
      <c r="J478" s="1" t="s">
        <v>851</v>
      </c>
      <c r="K478" s="1" t="s">
        <v>31</v>
      </c>
      <c r="L478" s="1"/>
      <c r="M478" s="1" t="s">
        <v>32</v>
      </c>
      <c r="O478" s="1" t="s">
        <v>3328</v>
      </c>
      <c r="P478" s="1" t="s">
        <v>3329</v>
      </c>
      <c r="Q478" s="162" t="s">
        <v>3330</v>
      </c>
      <c r="R478" s="31">
        <v>93116</v>
      </c>
      <c r="V478" s="4" t="s">
        <v>443</v>
      </c>
      <c r="W478" s="4" t="s">
        <v>37</v>
      </c>
      <c r="X478" s="4" t="s">
        <v>616</v>
      </c>
      <c r="Y478" s="167" t="s">
        <v>1247</v>
      </c>
      <c r="Z478" s="168"/>
    </row>
    <row r="479" spans="1:26" s="4" customFormat="1">
      <c r="A479" s="164" t="s">
        <v>1240</v>
      </c>
      <c r="B479" s="29" t="s">
        <v>792</v>
      </c>
      <c r="C479" s="4" t="s">
        <v>3331</v>
      </c>
      <c r="D479" s="2"/>
      <c r="E479" s="2">
        <v>44910</v>
      </c>
      <c r="F479" s="2">
        <f t="shared" si="21"/>
        <v>44924</v>
      </c>
      <c r="G479" s="2"/>
      <c r="H479" s="41">
        <v>1720</v>
      </c>
      <c r="I479" s="15" t="s">
        <v>474</v>
      </c>
      <c r="J479" s="1" t="s">
        <v>434</v>
      </c>
      <c r="K479" s="1" t="s">
        <v>31</v>
      </c>
      <c r="L479" s="1">
        <v>85016</v>
      </c>
      <c r="M479" s="1" t="s">
        <v>32</v>
      </c>
      <c r="O479" s="1" t="s">
        <v>3263</v>
      </c>
      <c r="P479" s="1" t="s">
        <v>3264</v>
      </c>
      <c r="Q479" s="87" t="s">
        <v>3273</v>
      </c>
      <c r="R479" s="31">
        <v>89803</v>
      </c>
      <c r="V479" s="4" t="s">
        <v>443</v>
      </c>
      <c r="W479" s="4" t="s">
        <v>37</v>
      </c>
      <c r="X479" s="4" t="s">
        <v>616</v>
      </c>
      <c r="Y479" s="167" t="s">
        <v>1247</v>
      </c>
      <c r="Z479" s="168"/>
    </row>
    <row r="480" spans="1:26" s="4" customFormat="1">
      <c r="A480" s="164" t="s">
        <v>1240</v>
      </c>
      <c r="B480" s="29" t="s">
        <v>412</v>
      </c>
      <c r="C480" s="4" t="s">
        <v>3011</v>
      </c>
      <c r="D480" s="130"/>
      <c r="E480" s="2">
        <v>44915</v>
      </c>
      <c r="F480" s="60">
        <f>E480+14</f>
        <v>44929</v>
      </c>
      <c r="G480" s="2"/>
      <c r="H480" s="41"/>
      <c r="I480" s="15" t="s">
        <v>3332</v>
      </c>
      <c r="J480" s="1" t="s">
        <v>837</v>
      </c>
      <c r="K480" s="1" t="s">
        <v>31</v>
      </c>
      <c r="L480" s="1"/>
      <c r="M480" s="1" t="s">
        <v>32</v>
      </c>
      <c r="O480" s="1" t="s">
        <v>3333</v>
      </c>
      <c r="P480" s="1" t="s">
        <v>3334</v>
      </c>
      <c r="Q480" s="184" t="s">
        <v>3335</v>
      </c>
      <c r="R480" s="31">
        <v>94135</v>
      </c>
      <c r="V480" s="4" t="s">
        <v>443</v>
      </c>
      <c r="W480" s="4" t="s">
        <v>37</v>
      </c>
      <c r="X480" s="4" t="s">
        <v>616</v>
      </c>
      <c r="Y480" s="167" t="s">
        <v>1247</v>
      </c>
      <c r="Z480" s="168"/>
    </row>
    <row r="481" spans="1:26" s="4" customFormat="1">
      <c r="A481" s="164" t="s">
        <v>1240</v>
      </c>
      <c r="B481" s="29" t="s">
        <v>2096</v>
      </c>
      <c r="C481" s="4" t="s">
        <v>3336</v>
      </c>
      <c r="D481" s="2">
        <v>44432</v>
      </c>
      <c r="E481" s="2">
        <v>44910</v>
      </c>
      <c r="F481" s="2">
        <f>E481+14</f>
        <v>44924</v>
      </c>
      <c r="G481" s="2"/>
      <c r="H481" s="41">
        <v>24705</v>
      </c>
      <c r="I481" s="15" t="s">
        <v>3337</v>
      </c>
      <c r="J481" s="1" t="s">
        <v>434</v>
      </c>
      <c r="K481" s="1" t="s">
        <v>31</v>
      </c>
      <c r="L481" s="1">
        <v>85085</v>
      </c>
      <c r="M481" s="1" t="s">
        <v>32</v>
      </c>
      <c r="O481" s="1" t="s">
        <v>3338</v>
      </c>
      <c r="P481" s="1" t="s">
        <v>3339</v>
      </c>
      <c r="Q481" s="87" t="s">
        <v>3340</v>
      </c>
      <c r="R481" s="31">
        <v>89163</v>
      </c>
      <c r="V481" s="4" t="s">
        <v>443</v>
      </c>
      <c r="W481" s="4" t="s">
        <v>37</v>
      </c>
      <c r="X481" s="4" t="s">
        <v>616</v>
      </c>
      <c r="Y481" s="167" t="s">
        <v>1247</v>
      </c>
      <c r="Z481" s="168"/>
    </row>
    <row r="482" spans="1:26" s="4" customFormat="1" ht="15" customHeight="1">
      <c r="A482" s="164" t="s">
        <v>1240</v>
      </c>
      <c r="B482" s="29" t="s">
        <v>3341</v>
      </c>
      <c r="C482" s="4" t="s">
        <v>3342</v>
      </c>
      <c r="D482" s="2"/>
      <c r="E482" s="2">
        <v>44914</v>
      </c>
      <c r="F482" s="2">
        <f>E482+14</f>
        <v>44928</v>
      </c>
      <c r="G482" s="2"/>
      <c r="H482" s="41">
        <v>300</v>
      </c>
      <c r="I482" s="15" t="s">
        <v>3343</v>
      </c>
      <c r="J482" s="1" t="s">
        <v>873</v>
      </c>
      <c r="K482" s="1" t="s">
        <v>31</v>
      </c>
      <c r="L482" s="1">
        <v>85323</v>
      </c>
      <c r="M482" s="1" t="s">
        <v>76</v>
      </c>
      <c r="O482" s="1" t="s">
        <v>3344</v>
      </c>
      <c r="P482" s="1" t="s">
        <v>3345</v>
      </c>
      <c r="Q482" s="87" t="s">
        <v>3346</v>
      </c>
      <c r="R482" s="174"/>
      <c r="V482" s="4" t="s">
        <v>443</v>
      </c>
      <c r="W482" s="4" t="s">
        <v>37</v>
      </c>
      <c r="X482" s="4" t="s">
        <v>616</v>
      </c>
      <c r="Y482" s="167" t="s">
        <v>1247</v>
      </c>
      <c r="Z482" s="168"/>
    </row>
    <row r="483" spans="1:26" s="4" customFormat="1">
      <c r="A483" s="164" t="s">
        <v>1240</v>
      </c>
      <c r="B483" s="29" t="s">
        <v>1096</v>
      </c>
      <c r="C483" s="4" t="s">
        <v>3347</v>
      </c>
      <c r="D483" s="2"/>
      <c r="E483" s="2">
        <v>44914</v>
      </c>
      <c r="F483" s="2">
        <f>E483+14</f>
        <v>44928</v>
      </c>
      <c r="G483" s="2"/>
      <c r="H483" s="41"/>
      <c r="I483" s="15" t="s">
        <v>3348</v>
      </c>
      <c r="J483" s="1" t="s">
        <v>831</v>
      </c>
      <c r="K483" s="1" t="s">
        <v>31</v>
      </c>
      <c r="L483" s="1"/>
      <c r="M483" s="1" t="s">
        <v>32</v>
      </c>
      <c r="O483" s="131" t="s">
        <v>3349</v>
      </c>
      <c r="P483" s="1" t="s">
        <v>3350</v>
      </c>
      <c r="Q483" s="87" t="s">
        <v>3351</v>
      </c>
      <c r="R483" s="174"/>
      <c r="V483" s="4" t="s">
        <v>443</v>
      </c>
      <c r="W483" s="4" t="s">
        <v>37</v>
      </c>
      <c r="X483" s="4" t="s">
        <v>616</v>
      </c>
      <c r="Y483" s="167" t="s">
        <v>1247</v>
      </c>
      <c r="Z483" s="168"/>
    </row>
    <row r="484" spans="1:26" s="4" customFormat="1" ht="15" customHeight="1">
      <c r="A484" s="164" t="s">
        <v>1240</v>
      </c>
      <c r="B484" s="29" t="s">
        <v>3352</v>
      </c>
      <c r="C484" s="4" t="s">
        <v>3353</v>
      </c>
      <c r="D484" s="130"/>
      <c r="E484" s="2">
        <v>44915</v>
      </c>
      <c r="F484" s="2">
        <f>E484+14</f>
        <v>44929</v>
      </c>
      <c r="G484" s="2"/>
      <c r="H484" s="41"/>
      <c r="I484" s="15" t="s">
        <v>3354</v>
      </c>
      <c r="J484" s="1" t="s">
        <v>1596</v>
      </c>
      <c r="K484" s="1" t="s">
        <v>31</v>
      </c>
      <c r="L484" s="1">
        <v>85395</v>
      </c>
      <c r="M484" s="1" t="s">
        <v>32</v>
      </c>
      <c r="O484" s="1" t="s">
        <v>3355</v>
      </c>
      <c r="P484" s="1" t="s">
        <v>3356</v>
      </c>
      <c r="Q484" s="173"/>
      <c r="R484" s="31">
        <v>93165</v>
      </c>
      <c r="V484" s="4" t="s">
        <v>443</v>
      </c>
      <c r="W484" s="4" t="s">
        <v>37</v>
      </c>
      <c r="X484" s="4" t="s">
        <v>616</v>
      </c>
      <c r="Y484" s="167" t="s">
        <v>1247</v>
      </c>
      <c r="Z484" s="168"/>
    </row>
    <row r="485" spans="1:26" s="4" customFormat="1" ht="15" customHeight="1">
      <c r="A485" s="164" t="s">
        <v>1240</v>
      </c>
      <c r="B485" s="29" t="s">
        <v>3357</v>
      </c>
      <c r="C485" s="4" t="s">
        <v>3358</v>
      </c>
      <c r="D485" s="130"/>
      <c r="E485" s="2">
        <v>44945</v>
      </c>
      <c r="F485" s="2">
        <f t="shared" ref="F485" si="22">E485+14</f>
        <v>44959</v>
      </c>
      <c r="G485" s="2"/>
      <c r="H485" s="41">
        <v>1125</v>
      </c>
      <c r="I485" s="15" t="s">
        <v>3359</v>
      </c>
      <c r="J485" s="1" t="s">
        <v>434</v>
      </c>
      <c r="K485" s="1" t="s">
        <v>31</v>
      </c>
      <c r="L485" s="1">
        <v>85017</v>
      </c>
      <c r="M485" s="1" t="s">
        <v>32</v>
      </c>
      <c r="O485" s="1" t="s">
        <v>3360</v>
      </c>
      <c r="P485" s="1" t="s">
        <v>3361</v>
      </c>
      <c r="Q485" s="87" t="s">
        <v>3362</v>
      </c>
      <c r="R485" s="31">
        <v>94594</v>
      </c>
      <c r="V485" s="4" t="s">
        <v>443</v>
      </c>
      <c r="W485" s="4" t="s">
        <v>37</v>
      </c>
      <c r="X485" s="4" t="s">
        <v>616</v>
      </c>
      <c r="Y485" s="167" t="s">
        <v>1247</v>
      </c>
      <c r="Z485" s="168"/>
    </row>
    <row r="486" spans="1:26" s="4" customFormat="1" ht="18" customHeight="1">
      <c r="A486" s="163" t="s">
        <v>25</v>
      </c>
      <c r="B486" s="29" t="s">
        <v>3363</v>
      </c>
      <c r="C486" s="4" t="s">
        <v>3364</v>
      </c>
      <c r="D486" s="130"/>
      <c r="E486" s="2">
        <v>44935</v>
      </c>
      <c r="F486" s="2">
        <f>E486+14</f>
        <v>44949</v>
      </c>
      <c r="G486" s="2"/>
      <c r="H486" s="41" t="s">
        <v>379</v>
      </c>
      <c r="I486" s="15" t="s">
        <v>3365</v>
      </c>
      <c r="J486" s="1" t="s">
        <v>30</v>
      </c>
      <c r="K486" s="1" t="s">
        <v>31</v>
      </c>
      <c r="L486" s="1"/>
      <c r="M486" s="1" t="s">
        <v>32</v>
      </c>
      <c r="O486" s="1"/>
      <c r="P486" s="1"/>
      <c r="Q486" s="211"/>
      <c r="R486" s="31"/>
      <c r="V486" s="4" t="s">
        <v>36</v>
      </c>
      <c r="W486" s="4" t="s">
        <v>37</v>
      </c>
      <c r="X486" s="1" t="s">
        <v>59</v>
      </c>
      <c r="Y486" s="167" t="s">
        <v>39</v>
      </c>
    </row>
    <row r="487" spans="1:26" s="4" customFormat="1">
      <c r="A487" s="163" t="s">
        <v>25</v>
      </c>
      <c r="B487" s="15" t="s">
        <v>864</v>
      </c>
      <c r="C487" s="29" t="s">
        <v>3366</v>
      </c>
      <c r="D487" s="1"/>
      <c r="E487" s="2">
        <v>44935</v>
      </c>
      <c r="F487" s="2">
        <f>E487+14</f>
        <v>44949</v>
      </c>
      <c r="G487" s="15" t="s">
        <v>3367</v>
      </c>
      <c r="H487" s="1"/>
      <c r="I487" s="15" t="s">
        <v>3368</v>
      </c>
      <c r="J487" s="1" t="s">
        <v>63</v>
      </c>
      <c r="K487" s="1" t="s">
        <v>31</v>
      </c>
      <c r="L487" s="1"/>
      <c r="M487" s="1" t="s">
        <v>32</v>
      </c>
      <c r="O487" s="25" t="s">
        <v>3369</v>
      </c>
      <c r="P487" s="1" t="s">
        <v>3370</v>
      </c>
      <c r="Q487" s="98" t="s">
        <v>3371</v>
      </c>
      <c r="R487" s="1">
        <v>91109</v>
      </c>
      <c r="V487" s="4" t="s">
        <v>36</v>
      </c>
      <c r="W487" s="4" t="s">
        <v>37</v>
      </c>
      <c r="X487" s="1" t="s">
        <v>59</v>
      </c>
      <c r="Y487" s="167" t="s">
        <v>39</v>
      </c>
      <c r="Z487" s="168"/>
    </row>
    <row r="488" spans="1:26" s="4" customFormat="1" ht="13.5" customHeight="1">
      <c r="A488" s="163" t="s">
        <v>25</v>
      </c>
      <c r="B488" s="69" t="s">
        <v>1544</v>
      </c>
      <c r="C488" s="5" t="s">
        <v>3372</v>
      </c>
      <c r="D488" s="59"/>
      <c r="E488" s="2">
        <v>44938</v>
      </c>
      <c r="F488" s="60">
        <f t="shared" ref="F488" si="23">E488+14</f>
        <v>44952</v>
      </c>
      <c r="G488" s="60"/>
      <c r="H488" s="49">
        <v>600</v>
      </c>
      <c r="I488" s="7" t="s">
        <v>3373</v>
      </c>
      <c r="J488" s="33" t="s">
        <v>415</v>
      </c>
      <c r="K488" s="33" t="s">
        <v>31</v>
      </c>
      <c r="L488" s="11">
        <v>85281</v>
      </c>
      <c r="M488" s="33" t="s">
        <v>32</v>
      </c>
      <c r="N488" s="5"/>
      <c r="O488" s="33" t="s">
        <v>3374</v>
      </c>
      <c r="P488" s="33" t="s">
        <v>3375</v>
      </c>
      <c r="Q488" s="177" t="s">
        <v>3376</v>
      </c>
      <c r="R488" s="37">
        <v>85497</v>
      </c>
      <c r="S488" s="1"/>
      <c r="T488" s="1"/>
      <c r="U488" s="1"/>
      <c r="V488" s="4" t="s">
        <v>36</v>
      </c>
      <c r="W488" s="4" t="s">
        <v>37</v>
      </c>
      <c r="X488" s="1" t="s">
        <v>59</v>
      </c>
      <c r="Y488" s="167" t="s">
        <v>39</v>
      </c>
      <c r="Z488" s="168"/>
    </row>
    <row r="489" spans="1:26" s="4" customFormat="1">
      <c r="A489" s="164" t="s">
        <v>1240</v>
      </c>
      <c r="B489" s="15" t="s">
        <v>3377</v>
      </c>
      <c r="C489" s="29" t="s">
        <v>3378</v>
      </c>
      <c r="D489" s="1"/>
      <c r="E489" s="2">
        <v>44958</v>
      </c>
      <c r="F489" s="2">
        <f>E489+14</f>
        <v>44972</v>
      </c>
      <c r="G489" s="15"/>
      <c r="H489" s="1">
        <v>1550</v>
      </c>
      <c r="I489" s="4" t="s">
        <v>3379</v>
      </c>
      <c r="J489" s="1" t="s">
        <v>831</v>
      </c>
      <c r="K489" s="1" t="s">
        <v>31</v>
      </c>
      <c r="L489" s="1">
        <v>85396</v>
      </c>
      <c r="M489" s="1" t="s">
        <v>32</v>
      </c>
      <c r="O489" s="1" t="s">
        <v>3380</v>
      </c>
      <c r="P489" s="1" t="s">
        <v>3381</v>
      </c>
      <c r="Q489" s="87" t="s">
        <v>3382</v>
      </c>
      <c r="R489" s="1">
        <v>91914</v>
      </c>
      <c r="V489" s="4" t="s">
        <v>443</v>
      </c>
      <c r="W489" s="4" t="s">
        <v>37</v>
      </c>
      <c r="X489" s="4" t="s">
        <v>616</v>
      </c>
      <c r="Y489" s="167" t="s">
        <v>1247</v>
      </c>
      <c r="Z489" s="168"/>
    </row>
    <row r="490" spans="1:26" s="4" customFormat="1">
      <c r="A490" s="164" t="s">
        <v>1240</v>
      </c>
      <c r="B490" s="29" t="s">
        <v>478</v>
      </c>
      <c r="C490" s="4" t="s">
        <v>3383</v>
      </c>
      <c r="D490" s="2">
        <v>44823</v>
      </c>
      <c r="E490" s="2">
        <v>44957</v>
      </c>
      <c r="F490" s="2">
        <f>E490+14</f>
        <v>44971</v>
      </c>
      <c r="G490" s="2"/>
      <c r="H490" s="41">
        <v>8803</v>
      </c>
      <c r="I490" s="15" t="s">
        <v>3384</v>
      </c>
      <c r="J490" s="1" t="s">
        <v>894</v>
      </c>
      <c r="K490" s="1" t="s">
        <v>31</v>
      </c>
      <c r="L490" s="1">
        <v>85353</v>
      </c>
      <c r="M490" s="1"/>
      <c r="O490" s="1" t="s">
        <v>3385</v>
      </c>
      <c r="P490" s="1" t="s">
        <v>3386</v>
      </c>
      <c r="Q490" s="184" t="s">
        <v>3387</v>
      </c>
      <c r="R490" s="174"/>
      <c r="V490" s="4" t="s">
        <v>443</v>
      </c>
      <c r="W490" s="4" t="s">
        <v>37</v>
      </c>
      <c r="X490" s="4" t="s">
        <v>616</v>
      </c>
      <c r="Y490" s="167" t="s">
        <v>1247</v>
      </c>
      <c r="Z490" s="168"/>
    </row>
    <row r="491" spans="1:26" s="187" customFormat="1">
      <c r="A491" s="164" t="s">
        <v>1240</v>
      </c>
      <c r="B491" s="29" t="s">
        <v>3245</v>
      </c>
      <c r="C491" s="4" t="s">
        <v>3388</v>
      </c>
      <c r="D491" s="130"/>
      <c r="E491" s="2">
        <v>44973</v>
      </c>
      <c r="F491" s="2">
        <f>E491+14</f>
        <v>44987</v>
      </c>
      <c r="G491" s="2"/>
      <c r="H491" s="41">
        <v>15151</v>
      </c>
      <c r="I491" s="15" t="s">
        <v>2457</v>
      </c>
      <c r="J491" s="1" t="s">
        <v>1111</v>
      </c>
      <c r="K491" s="1" t="s">
        <v>31</v>
      </c>
      <c r="L491" s="1">
        <v>85374</v>
      </c>
      <c r="M491" s="1" t="s">
        <v>32</v>
      </c>
      <c r="N491" s="4"/>
      <c r="O491" s="1">
        <v>6024218626</v>
      </c>
      <c r="P491" s="1" t="s">
        <v>3389</v>
      </c>
      <c r="Q491" s="87" t="s">
        <v>3390</v>
      </c>
      <c r="R491" s="31">
        <v>94258</v>
      </c>
      <c r="S491" s="4"/>
      <c r="T491" s="4"/>
      <c r="U491" s="4"/>
      <c r="V491" s="4" t="s">
        <v>443</v>
      </c>
      <c r="W491" s="4" t="s">
        <v>37</v>
      </c>
      <c r="X491" s="4" t="s">
        <v>616</v>
      </c>
      <c r="Y491" s="167" t="s">
        <v>1247</v>
      </c>
      <c r="Z491" s="168"/>
    </row>
    <row r="492" spans="1:26" s="4" customFormat="1">
      <c r="A492" s="164" t="s">
        <v>1240</v>
      </c>
      <c r="B492" s="29" t="s">
        <v>3391</v>
      </c>
      <c r="C492" s="4" t="s">
        <v>3392</v>
      </c>
      <c r="D492" s="130"/>
      <c r="E492" s="2">
        <v>44964</v>
      </c>
      <c r="F492" s="2">
        <f>E492+14</f>
        <v>44978</v>
      </c>
      <c r="G492" s="2"/>
      <c r="H492" s="41">
        <v>1901</v>
      </c>
      <c r="I492" s="15" t="s">
        <v>944</v>
      </c>
      <c r="J492" s="1" t="s">
        <v>434</v>
      </c>
      <c r="K492" s="1" t="s">
        <v>31</v>
      </c>
      <c r="L492" s="1">
        <v>85021</v>
      </c>
      <c r="M492" s="1" t="s">
        <v>32</v>
      </c>
      <c r="O492" s="1" t="s">
        <v>3393</v>
      </c>
      <c r="P492" s="1" t="s">
        <v>3394</v>
      </c>
      <c r="Q492" s="87" t="s">
        <v>3395</v>
      </c>
      <c r="R492" s="31">
        <v>90333</v>
      </c>
      <c r="V492" s="4" t="s">
        <v>443</v>
      </c>
      <c r="W492" s="4" t="s">
        <v>37</v>
      </c>
      <c r="X492" s="4" t="s">
        <v>616</v>
      </c>
      <c r="Y492" s="167" t="s">
        <v>1247</v>
      </c>
      <c r="Z492" s="168"/>
    </row>
    <row r="493" spans="1:26" s="4" customFormat="1">
      <c r="A493" s="163" t="s">
        <v>25</v>
      </c>
      <c r="B493" s="29" t="s">
        <v>3125</v>
      </c>
      <c r="C493" s="4" t="s">
        <v>3396</v>
      </c>
      <c r="D493" s="130"/>
      <c r="E493" s="2">
        <v>44951</v>
      </c>
      <c r="F493" s="2">
        <f>E493+14</f>
        <v>44965</v>
      </c>
      <c r="G493" s="2"/>
      <c r="H493" s="206">
        <v>7375</v>
      </c>
      <c r="I493" s="15" t="s">
        <v>3397</v>
      </c>
      <c r="J493" s="1" t="s">
        <v>3398</v>
      </c>
      <c r="K493" s="1" t="s">
        <v>31</v>
      </c>
      <c r="L493" s="1">
        <v>85255</v>
      </c>
      <c r="M493" s="1" t="s">
        <v>32</v>
      </c>
      <c r="N493"/>
      <c r="O493" s="1" t="s">
        <v>3399</v>
      </c>
      <c r="P493" s="1" t="s">
        <v>3400</v>
      </c>
      <c r="Q493" s="87" t="s">
        <v>3401</v>
      </c>
      <c r="R493" s="31">
        <v>92876</v>
      </c>
      <c r="V493" s="4" t="s">
        <v>36</v>
      </c>
      <c r="W493" s="4" t="s">
        <v>37</v>
      </c>
      <c r="X493" s="1" t="s">
        <v>59</v>
      </c>
      <c r="Y493" s="167" t="s">
        <v>39</v>
      </c>
      <c r="Z493" s="168"/>
    </row>
    <row r="494" spans="1:26" s="4" customFormat="1">
      <c r="A494" s="238" t="s">
        <v>25</v>
      </c>
      <c r="B494" s="29" t="s">
        <v>3402</v>
      </c>
      <c r="C494" s="4" t="s">
        <v>3403</v>
      </c>
      <c r="D494" s="432" t="s">
        <v>3404</v>
      </c>
      <c r="E494" s="433"/>
      <c r="F494" s="434"/>
      <c r="G494" s="2"/>
      <c r="H494" s="41">
        <v>10136</v>
      </c>
      <c r="I494" s="15" t="s">
        <v>697</v>
      </c>
      <c r="J494" s="1" t="s">
        <v>63</v>
      </c>
      <c r="K494" s="1" t="s">
        <v>31</v>
      </c>
      <c r="L494" s="1">
        <v>85209</v>
      </c>
      <c r="M494" s="1" t="s">
        <v>32</v>
      </c>
      <c r="O494" s="1"/>
      <c r="P494" s="1"/>
      <c r="Q494" s="1"/>
      <c r="R494" s="31"/>
      <c r="V494" s="4" t="s">
        <v>36</v>
      </c>
      <c r="W494" s="4" t="s">
        <v>1277</v>
      </c>
      <c r="X494" s="1" t="s">
        <v>59</v>
      </c>
      <c r="Y494" s="15" t="s">
        <v>39</v>
      </c>
    </row>
    <row r="495" spans="1:26" s="4" customFormat="1" ht="15.75" customHeight="1">
      <c r="A495" s="163" t="s">
        <v>25</v>
      </c>
      <c r="B495" s="29" t="s">
        <v>3405</v>
      </c>
      <c r="C495" s="4" t="s">
        <v>3406</v>
      </c>
      <c r="D495" s="130"/>
      <c r="E495" s="2">
        <v>44957</v>
      </c>
      <c r="F495" s="2">
        <f t="shared" ref="F495:F498" si="24">E495+14</f>
        <v>44971</v>
      </c>
      <c r="G495" s="2"/>
      <c r="H495" s="41">
        <v>1731</v>
      </c>
      <c r="I495" s="15" t="s">
        <v>3407</v>
      </c>
      <c r="J495" s="1" t="s">
        <v>69</v>
      </c>
      <c r="K495" s="1" t="s">
        <v>31</v>
      </c>
      <c r="L495" s="1">
        <v>85225</v>
      </c>
      <c r="M495" s="1" t="s">
        <v>32</v>
      </c>
      <c r="O495" s="1" t="s">
        <v>3408</v>
      </c>
      <c r="P495" s="1" t="s">
        <v>3409</v>
      </c>
      <c r="Q495" s="87" t="s">
        <v>3410</v>
      </c>
      <c r="R495" s="124" t="s">
        <v>318</v>
      </c>
      <c r="V495" s="4" t="s">
        <v>36</v>
      </c>
      <c r="W495" s="4" t="s">
        <v>37</v>
      </c>
      <c r="X495" s="1" t="s">
        <v>59</v>
      </c>
      <c r="Y495" s="167" t="s">
        <v>39</v>
      </c>
      <c r="Z495" s="168"/>
    </row>
    <row r="496" spans="1:26" s="4" customFormat="1" ht="17.25" customHeight="1">
      <c r="A496" s="163" t="s">
        <v>25</v>
      </c>
      <c r="B496" s="29" t="s">
        <v>2057</v>
      </c>
      <c r="C496" s="4" t="s">
        <v>3411</v>
      </c>
      <c r="D496" s="130"/>
      <c r="E496" s="2">
        <v>44949</v>
      </c>
      <c r="F496" s="2">
        <f t="shared" si="24"/>
        <v>44963</v>
      </c>
      <c r="G496" s="2"/>
      <c r="H496" s="41">
        <v>1300</v>
      </c>
      <c r="I496" s="15" t="s">
        <v>3412</v>
      </c>
      <c r="J496" s="1" t="s">
        <v>415</v>
      </c>
      <c r="K496" s="1" t="s">
        <v>31</v>
      </c>
      <c r="L496" s="1"/>
      <c r="M496" s="1" t="s">
        <v>32</v>
      </c>
      <c r="O496" s="1" t="s">
        <v>3413</v>
      </c>
      <c r="P496" s="1" t="s">
        <v>3414</v>
      </c>
      <c r="Q496" s="87" t="s">
        <v>3415</v>
      </c>
      <c r="R496" s="31">
        <v>90979</v>
      </c>
      <c r="V496" s="4" t="s">
        <v>36</v>
      </c>
      <c r="W496" s="4" t="s">
        <v>37</v>
      </c>
      <c r="X496" s="1" t="s">
        <v>59</v>
      </c>
      <c r="Y496" s="167" t="s">
        <v>39</v>
      </c>
      <c r="Z496" s="168"/>
    </row>
    <row r="497" spans="1:26" s="4" customFormat="1" ht="15" customHeight="1">
      <c r="A497" s="163" t="s">
        <v>25</v>
      </c>
      <c r="B497" s="29" t="s">
        <v>2444</v>
      </c>
      <c r="C497" s="4" t="s">
        <v>3416</v>
      </c>
      <c r="D497" s="91"/>
      <c r="E497" s="2">
        <v>44946</v>
      </c>
      <c r="F497" s="2">
        <f t="shared" si="24"/>
        <v>44960</v>
      </c>
      <c r="G497" s="2"/>
      <c r="H497" s="41">
        <v>411</v>
      </c>
      <c r="I497" s="15" t="s">
        <v>3417</v>
      </c>
      <c r="J497" s="1" t="s">
        <v>69</v>
      </c>
      <c r="K497" s="1" t="s">
        <v>31</v>
      </c>
      <c r="L497" s="1">
        <v>85226</v>
      </c>
      <c r="M497" s="1" t="s">
        <v>32</v>
      </c>
      <c r="O497" s="1" t="s">
        <v>3418</v>
      </c>
      <c r="P497" s="1" t="s">
        <v>3419</v>
      </c>
      <c r="Q497" s="87" t="s">
        <v>3420</v>
      </c>
      <c r="R497" s="124" t="s">
        <v>314</v>
      </c>
      <c r="V497" s="4" t="s">
        <v>36</v>
      </c>
      <c r="W497" s="4" t="s">
        <v>37</v>
      </c>
      <c r="X497" s="1" t="s">
        <v>59</v>
      </c>
      <c r="Y497" s="167" t="s">
        <v>39</v>
      </c>
      <c r="Z497" s="168"/>
    </row>
    <row r="498" spans="1:26" s="4" customFormat="1" ht="15" customHeight="1">
      <c r="A498" s="164" t="s">
        <v>1240</v>
      </c>
      <c r="B498" s="29" t="s">
        <v>3405</v>
      </c>
      <c r="C498" s="4" t="s">
        <v>3421</v>
      </c>
      <c r="D498" s="130"/>
      <c r="E498" s="2">
        <v>44949</v>
      </c>
      <c r="F498" s="2">
        <f t="shared" si="24"/>
        <v>44963</v>
      </c>
      <c r="G498" s="2"/>
      <c r="H498" s="41" t="s">
        <v>43</v>
      </c>
      <c r="I498" s="15" t="s">
        <v>3422</v>
      </c>
      <c r="J498" s="1" t="s">
        <v>822</v>
      </c>
      <c r="K498" s="1" t="s">
        <v>31</v>
      </c>
      <c r="L498" s="1">
        <v>85305</v>
      </c>
      <c r="M498" s="1" t="s">
        <v>32</v>
      </c>
      <c r="O498" s="1" t="s">
        <v>3423</v>
      </c>
      <c r="P498" s="1" t="s">
        <v>3424</v>
      </c>
      <c r="Q498" s="87" t="s">
        <v>3425</v>
      </c>
      <c r="R498" s="31">
        <v>92792</v>
      </c>
      <c r="V498" s="4" t="s">
        <v>443</v>
      </c>
      <c r="W498" s="4" t="s">
        <v>37</v>
      </c>
      <c r="X498" s="4" t="s">
        <v>616</v>
      </c>
      <c r="Y498" s="235" t="s">
        <v>1247</v>
      </c>
      <c r="Z498" s="167" t="s">
        <v>364</v>
      </c>
    </row>
    <row r="499" spans="1:26" s="4" customFormat="1">
      <c r="A499" s="94" t="s">
        <v>1234</v>
      </c>
      <c r="B499" s="29" t="s">
        <v>3426</v>
      </c>
      <c r="C499" s="4" t="s">
        <v>3427</v>
      </c>
      <c r="D499" s="130"/>
      <c r="E499" s="2"/>
      <c r="F499" s="2"/>
      <c r="G499" s="2"/>
      <c r="H499" s="41">
        <v>4650</v>
      </c>
      <c r="I499" s="15" t="s">
        <v>3428</v>
      </c>
      <c r="J499" s="1" t="s">
        <v>916</v>
      </c>
      <c r="K499" s="1" t="s">
        <v>31</v>
      </c>
      <c r="L499" s="1">
        <v>85718</v>
      </c>
      <c r="M499" s="1" t="s">
        <v>32</v>
      </c>
      <c r="O499" s="1" t="s">
        <v>3429</v>
      </c>
      <c r="P499" s="1" t="s">
        <v>3430</v>
      </c>
      <c r="Q499" s="160"/>
      <c r="R499" s="31">
        <v>87969</v>
      </c>
      <c r="W499" s="4" t="s">
        <v>1418</v>
      </c>
      <c r="Y499" s="15"/>
    </row>
    <row r="500" spans="1:26" s="4" customFormat="1">
      <c r="A500" s="163" t="s">
        <v>25</v>
      </c>
      <c r="B500" s="15" t="s">
        <v>3431</v>
      </c>
      <c r="C500" s="29" t="s">
        <v>3432</v>
      </c>
      <c r="D500" s="1"/>
      <c r="E500" s="2">
        <v>44970</v>
      </c>
      <c r="F500" s="2">
        <f>E500+14</f>
        <v>44984</v>
      </c>
      <c r="G500" s="15" t="s">
        <v>1259</v>
      </c>
      <c r="H500" s="1">
        <v>13823</v>
      </c>
      <c r="I500" s="15" t="s">
        <v>3433</v>
      </c>
      <c r="J500" s="1" t="s">
        <v>49</v>
      </c>
      <c r="K500" s="1" t="s">
        <v>31</v>
      </c>
      <c r="L500" s="1">
        <v>85296</v>
      </c>
      <c r="M500" s="1" t="s">
        <v>32</v>
      </c>
      <c r="O500" s="1" t="s">
        <v>3434</v>
      </c>
      <c r="P500" s="1" t="s">
        <v>3435</v>
      </c>
      <c r="Q500" s="87" t="s">
        <v>3436</v>
      </c>
      <c r="R500" s="1">
        <v>91242</v>
      </c>
      <c r="V500" s="4" t="s">
        <v>36</v>
      </c>
      <c r="W500" s="4" t="s">
        <v>37</v>
      </c>
      <c r="X500" s="1" t="s">
        <v>59</v>
      </c>
      <c r="Y500" s="167" t="s">
        <v>39</v>
      </c>
      <c r="Z500" s="168"/>
    </row>
    <row r="501" spans="1:26" s="4" customFormat="1">
      <c r="A501" s="163" t="s">
        <v>25</v>
      </c>
      <c r="B501" s="29" t="s">
        <v>3437</v>
      </c>
      <c r="C501" s="4" t="s">
        <v>3438</v>
      </c>
      <c r="D501" s="91"/>
      <c r="E501" s="2">
        <v>44971</v>
      </c>
      <c r="F501" s="60">
        <f>E501+14</f>
        <v>44985</v>
      </c>
      <c r="G501" s="2"/>
      <c r="H501" s="41">
        <v>11530</v>
      </c>
      <c r="I501" s="15" t="s">
        <v>3439</v>
      </c>
      <c r="J501" s="1" t="s">
        <v>207</v>
      </c>
      <c r="K501" s="1" t="s">
        <v>31</v>
      </c>
      <c r="L501" s="1">
        <v>85286</v>
      </c>
      <c r="M501" s="1" t="s">
        <v>32</v>
      </c>
      <c r="O501" s="1" t="s">
        <v>3440</v>
      </c>
      <c r="P501" s="1" t="s">
        <v>3441</v>
      </c>
      <c r="Q501" s="87" t="s">
        <v>3442</v>
      </c>
      <c r="R501" s="31">
        <v>95284</v>
      </c>
      <c r="V501" s="4" t="s">
        <v>36</v>
      </c>
      <c r="W501" s="4" t="s">
        <v>37</v>
      </c>
      <c r="X501" s="1" t="s">
        <v>59</v>
      </c>
      <c r="Y501" s="167" t="s">
        <v>39</v>
      </c>
    </row>
    <row r="502" spans="1:26" s="4" customFormat="1">
      <c r="A502" s="163" t="s">
        <v>25</v>
      </c>
      <c r="B502" s="70" t="s">
        <v>194</v>
      </c>
      <c r="C502" s="56" t="s">
        <v>3443</v>
      </c>
      <c r="D502" s="60"/>
      <c r="E502" s="2">
        <v>44973</v>
      </c>
      <c r="F502" s="2">
        <f>E502+14</f>
        <v>44987</v>
      </c>
      <c r="G502" s="2"/>
      <c r="H502" s="54" t="s">
        <v>3444</v>
      </c>
      <c r="I502" s="80" t="s">
        <v>3445</v>
      </c>
      <c r="J502" s="55" t="s">
        <v>434</v>
      </c>
      <c r="K502" s="55" t="s">
        <v>31</v>
      </c>
      <c r="L502" s="55" t="s">
        <v>1610</v>
      </c>
      <c r="M502" s="55" t="s">
        <v>32</v>
      </c>
      <c r="N502" s="56"/>
      <c r="O502" s="55" t="s">
        <v>3446</v>
      </c>
      <c r="P502" s="55" t="s">
        <v>3447</v>
      </c>
      <c r="Q502" s="89" t="s">
        <v>3448</v>
      </c>
      <c r="R502" s="57">
        <v>89613</v>
      </c>
      <c r="S502" s="1"/>
      <c r="T502" s="1"/>
      <c r="U502" s="1"/>
      <c r="V502" s="4" t="s">
        <v>36</v>
      </c>
      <c r="W502" s="4" t="s">
        <v>37</v>
      </c>
      <c r="X502" s="1" t="s">
        <v>59</v>
      </c>
      <c r="Y502" s="167" t="s">
        <v>39</v>
      </c>
      <c r="Z502" s="168"/>
    </row>
    <row r="503" spans="1:26" s="4" customFormat="1" ht="15.75">
      <c r="A503" s="163" t="s">
        <v>25</v>
      </c>
      <c r="B503" s="70" t="s">
        <v>478</v>
      </c>
      <c r="C503" s="56" t="s">
        <v>3449</v>
      </c>
      <c r="D503" s="60"/>
      <c r="E503" s="2">
        <v>44963</v>
      </c>
      <c r="F503" s="60">
        <f>E503+14</f>
        <v>44977</v>
      </c>
      <c r="G503" s="60"/>
      <c r="H503" s="54" t="s">
        <v>3450</v>
      </c>
      <c r="I503" s="80" t="s">
        <v>3451</v>
      </c>
      <c r="J503" s="55" t="s">
        <v>45</v>
      </c>
      <c r="K503" s="55" t="s">
        <v>31</v>
      </c>
      <c r="L503" s="55"/>
      <c r="M503" s="55" t="s">
        <v>32</v>
      </c>
      <c r="N503" s="56"/>
      <c r="O503" s="55" t="s">
        <v>1642</v>
      </c>
      <c r="P503" s="55" t="s">
        <v>3452</v>
      </c>
      <c r="Q503" s="128" t="s">
        <v>3453</v>
      </c>
      <c r="R503" s="57">
        <v>89025</v>
      </c>
      <c r="S503" s="53"/>
      <c r="T503" s="53"/>
      <c r="V503" s="4" t="s">
        <v>443</v>
      </c>
      <c r="W503" s="4" t="s">
        <v>37</v>
      </c>
      <c r="X503" s="4" t="s">
        <v>38</v>
      </c>
      <c r="Y503" s="167" t="s">
        <v>39</v>
      </c>
      <c r="Z503" s="168"/>
    </row>
    <row r="504" spans="1:26" s="4" customFormat="1">
      <c r="A504" s="163" t="s">
        <v>25</v>
      </c>
      <c r="B504" s="29" t="s">
        <v>478</v>
      </c>
      <c r="C504" s="4" t="s">
        <v>3454</v>
      </c>
      <c r="D504" s="130"/>
      <c r="E504" s="2">
        <v>44965</v>
      </c>
      <c r="F504" s="2">
        <f t="shared" ref="F504:F506" si="25">E504+14</f>
        <v>44979</v>
      </c>
      <c r="G504" s="2"/>
      <c r="H504" s="41">
        <v>2700</v>
      </c>
      <c r="I504" s="15" t="s">
        <v>3455</v>
      </c>
      <c r="J504" s="1" t="s">
        <v>580</v>
      </c>
      <c r="K504" s="1" t="s">
        <v>3456</v>
      </c>
      <c r="L504" s="1">
        <v>85213</v>
      </c>
      <c r="M504" s="1" t="s">
        <v>32</v>
      </c>
      <c r="O504" s="1" t="s">
        <v>1652</v>
      </c>
      <c r="P504" s="1" t="s">
        <v>1653</v>
      </c>
      <c r="Q504" s="87" t="s">
        <v>3457</v>
      </c>
      <c r="R504" s="31">
        <v>92408</v>
      </c>
      <c r="V504" s="4" t="s">
        <v>36</v>
      </c>
      <c r="W504" s="4" t="s">
        <v>37</v>
      </c>
      <c r="X504" s="1" t="s">
        <v>59</v>
      </c>
      <c r="Y504" s="167" t="s">
        <v>39</v>
      </c>
      <c r="Z504" s="168"/>
    </row>
    <row r="505" spans="1:26" s="4" customFormat="1" ht="15" customHeight="1">
      <c r="A505" s="164" t="s">
        <v>812</v>
      </c>
      <c r="B505" s="29" t="s">
        <v>3458</v>
      </c>
      <c r="C505" s="29" t="s">
        <v>3459</v>
      </c>
      <c r="D505" s="2"/>
      <c r="E505" s="2">
        <v>44960</v>
      </c>
      <c r="F505" s="2">
        <f t="shared" si="25"/>
        <v>44974</v>
      </c>
      <c r="G505" s="2"/>
      <c r="H505" s="1">
        <v>3600</v>
      </c>
      <c r="I505" s="15" t="s">
        <v>2546</v>
      </c>
      <c r="J505" s="1" t="s">
        <v>434</v>
      </c>
      <c r="K505" s="1" t="s">
        <v>31</v>
      </c>
      <c r="L505" s="1"/>
      <c r="M505" s="41" t="s">
        <v>32</v>
      </c>
      <c r="N505" s="4" t="s">
        <v>3460</v>
      </c>
      <c r="O505" s="1" t="s">
        <v>3461</v>
      </c>
      <c r="P505" s="1" t="s">
        <v>3462</v>
      </c>
      <c r="Q505" s="239" t="s">
        <v>3463</v>
      </c>
      <c r="R505" s="1">
        <v>86231</v>
      </c>
      <c r="S505" s="53"/>
      <c r="T505" s="53"/>
      <c r="V505" s="4" t="s">
        <v>36</v>
      </c>
      <c r="W505" s="4" t="s">
        <v>37</v>
      </c>
      <c r="X505" s="4" t="s">
        <v>616</v>
      </c>
      <c r="Y505" s="235" t="s">
        <v>617</v>
      </c>
      <c r="Z505" s="167" t="s">
        <v>364</v>
      </c>
    </row>
    <row r="506" spans="1:26" s="4" customFormat="1">
      <c r="A506" s="164" t="s">
        <v>812</v>
      </c>
      <c r="B506" s="29" t="s">
        <v>3094</v>
      </c>
      <c r="C506" s="4" t="s">
        <v>3464</v>
      </c>
      <c r="D506" s="2"/>
      <c r="E506" s="2">
        <v>44966</v>
      </c>
      <c r="F506" s="2">
        <f t="shared" si="25"/>
        <v>44980</v>
      </c>
      <c r="G506" s="2"/>
      <c r="H506" s="41">
        <v>19640</v>
      </c>
      <c r="I506" s="15" t="s">
        <v>2851</v>
      </c>
      <c r="J506" s="1" t="s">
        <v>434</v>
      </c>
      <c r="K506" s="1" t="s">
        <v>31</v>
      </c>
      <c r="L506" s="1">
        <v>85027</v>
      </c>
      <c r="M506" s="1" t="s">
        <v>32</v>
      </c>
      <c r="O506" s="1" t="s">
        <v>3465</v>
      </c>
      <c r="P506" s="1" t="s">
        <v>3466</v>
      </c>
      <c r="Q506" s="87" t="s">
        <v>3467</v>
      </c>
      <c r="R506" s="178">
        <v>96674</v>
      </c>
      <c r="V506" s="4" t="s">
        <v>443</v>
      </c>
      <c r="W506" s="4" t="s">
        <v>37</v>
      </c>
      <c r="X506" s="4" t="s">
        <v>616</v>
      </c>
      <c r="Y506" s="235" t="s">
        <v>617</v>
      </c>
      <c r="Z506" s="167" t="s">
        <v>364</v>
      </c>
    </row>
    <row r="507" spans="1:26" s="4" customFormat="1">
      <c r="A507" s="94" t="s">
        <v>1234</v>
      </c>
      <c r="B507" s="29" t="s">
        <v>3022</v>
      </c>
      <c r="C507" s="4" t="s">
        <v>3468</v>
      </c>
      <c r="D507" s="130"/>
      <c r="E507" s="2"/>
      <c r="F507" s="2"/>
      <c r="G507" s="2"/>
      <c r="H507" s="41">
        <v>211</v>
      </c>
      <c r="I507" s="15" t="s">
        <v>3469</v>
      </c>
      <c r="J507" s="1" t="s">
        <v>1566</v>
      </c>
      <c r="K507" s="1" t="s">
        <v>31</v>
      </c>
      <c r="L507" s="1">
        <v>85705</v>
      </c>
      <c r="M507" s="1" t="s">
        <v>32</v>
      </c>
      <c r="O507" s="1" t="s">
        <v>3470</v>
      </c>
      <c r="P507" s="1" t="s">
        <v>3471</v>
      </c>
      <c r="Q507" s="162" t="s">
        <v>3472</v>
      </c>
      <c r="R507" s="31"/>
      <c r="W507" s="4" t="s">
        <v>1418</v>
      </c>
      <c r="Y507" s="15"/>
    </row>
    <row r="508" spans="1:26" s="4" customFormat="1" ht="15" customHeight="1">
      <c r="A508" s="164" t="s">
        <v>812</v>
      </c>
      <c r="B508" s="15" t="s">
        <v>3473</v>
      </c>
      <c r="C508" s="29" t="s">
        <v>3474</v>
      </c>
      <c r="D508" s="1"/>
      <c r="E508" s="2">
        <v>44970</v>
      </c>
      <c r="F508" s="2">
        <f t="shared" ref="F508" si="26">E508+14</f>
        <v>44984</v>
      </c>
      <c r="G508" s="15"/>
      <c r="H508" s="1">
        <v>1111</v>
      </c>
      <c r="I508" s="4" t="s">
        <v>3475</v>
      </c>
      <c r="J508" s="1" t="s">
        <v>831</v>
      </c>
      <c r="K508" s="1" t="s">
        <v>31</v>
      </c>
      <c r="L508" s="1"/>
      <c r="M508" s="1"/>
      <c r="O508" s="1" t="s">
        <v>3476</v>
      </c>
      <c r="P508" s="1" t="s">
        <v>3477</v>
      </c>
      <c r="Q508" s="129" t="s">
        <v>3478</v>
      </c>
      <c r="R508" s="1">
        <v>96931</v>
      </c>
      <c r="V508" s="4" t="s">
        <v>443</v>
      </c>
      <c r="W508" s="4" t="s">
        <v>37</v>
      </c>
      <c r="X508" s="4" t="s">
        <v>616</v>
      </c>
      <c r="Y508" s="241" t="s">
        <v>617</v>
      </c>
      <c r="Z508" s="167" t="s">
        <v>364</v>
      </c>
    </row>
    <row r="509" spans="1:26" s="4" customFormat="1" ht="15.75" customHeight="1">
      <c r="A509" s="163" t="s">
        <v>25</v>
      </c>
      <c r="B509" s="29" t="s">
        <v>3479</v>
      </c>
      <c r="C509" s="4" t="s">
        <v>3480</v>
      </c>
      <c r="D509" s="130"/>
      <c r="E509" s="2">
        <v>44963</v>
      </c>
      <c r="F509" s="2">
        <f>E509+14</f>
        <v>44977</v>
      </c>
      <c r="G509" s="2"/>
      <c r="H509" s="41">
        <v>1285</v>
      </c>
      <c r="I509" s="15" t="s">
        <v>3481</v>
      </c>
      <c r="J509" s="1" t="s">
        <v>30</v>
      </c>
      <c r="K509" s="1" t="s">
        <v>31</v>
      </c>
      <c r="L509" s="1"/>
      <c r="M509" s="1"/>
      <c r="O509" s="73" t="s">
        <v>3482</v>
      </c>
      <c r="P509" s="1" t="s">
        <v>3483</v>
      </c>
      <c r="Q509" s="87" t="s">
        <v>3484</v>
      </c>
      <c r="R509" s="124" t="s">
        <v>318</v>
      </c>
      <c r="V509" s="4" t="s">
        <v>36</v>
      </c>
      <c r="W509" s="4" t="s">
        <v>37</v>
      </c>
      <c r="X509" s="4" t="s">
        <v>38</v>
      </c>
      <c r="Y509" s="235" t="s">
        <v>39</v>
      </c>
      <c r="Z509" s="168"/>
    </row>
    <row r="510" spans="1:26" s="4" customFormat="1" ht="15" customHeight="1">
      <c r="A510" s="164" t="s">
        <v>812</v>
      </c>
      <c r="B510" s="68" t="s">
        <v>1847</v>
      </c>
      <c r="C510" s="47" t="s">
        <v>3485</v>
      </c>
      <c r="D510" s="58"/>
      <c r="E510" s="2">
        <v>44977</v>
      </c>
      <c r="F510" s="2">
        <f t="shared" ref="F510:F512" si="27">E510+14</f>
        <v>44991</v>
      </c>
      <c r="G510" s="2"/>
      <c r="H510" s="45" t="s">
        <v>3486</v>
      </c>
      <c r="I510" s="48" t="s">
        <v>3487</v>
      </c>
      <c r="J510" s="46" t="s">
        <v>844</v>
      </c>
      <c r="K510" s="46" t="s">
        <v>31</v>
      </c>
      <c r="L510" s="46" t="s">
        <v>2932</v>
      </c>
      <c r="M510" s="46" t="s">
        <v>32</v>
      </c>
      <c r="N510" s="47"/>
      <c r="O510" s="46" t="s">
        <v>3488</v>
      </c>
      <c r="P510" s="46" t="s">
        <v>3489</v>
      </c>
      <c r="Q510" s="96" t="s">
        <v>3490</v>
      </c>
      <c r="R510" s="50">
        <v>80708</v>
      </c>
      <c r="V510" s="4" t="s">
        <v>443</v>
      </c>
      <c r="W510" s="4" t="s">
        <v>37</v>
      </c>
      <c r="X510" s="4" t="s">
        <v>616</v>
      </c>
      <c r="Y510" s="235" t="s">
        <v>617</v>
      </c>
      <c r="Z510" s="167" t="s">
        <v>364</v>
      </c>
    </row>
    <row r="511" spans="1:26" s="4" customFormat="1" ht="15" customHeight="1">
      <c r="A511" s="163" t="s">
        <v>25</v>
      </c>
      <c r="B511" s="15" t="s">
        <v>3491</v>
      </c>
      <c r="C511" s="29" t="s">
        <v>3492</v>
      </c>
      <c r="D511" s="1"/>
      <c r="E511" s="2">
        <v>44981</v>
      </c>
      <c r="F511" s="2">
        <f t="shared" si="27"/>
        <v>44995</v>
      </c>
      <c r="G511" s="15"/>
      <c r="H511" s="1">
        <v>8399</v>
      </c>
      <c r="I511" s="4" t="s">
        <v>3493</v>
      </c>
      <c r="J511" s="1" t="s">
        <v>398</v>
      </c>
      <c r="K511" s="1" t="s">
        <v>31</v>
      </c>
      <c r="L511" s="1"/>
      <c r="M511" s="1" t="s">
        <v>32</v>
      </c>
      <c r="O511" s="1" t="s">
        <v>3494</v>
      </c>
      <c r="P511" s="1" t="s">
        <v>3495</v>
      </c>
      <c r="Q511" s="87" t="s">
        <v>3496</v>
      </c>
      <c r="R511" s="1">
        <v>91880</v>
      </c>
      <c r="V511" s="4" t="s">
        <v>36</v>
      </c>
      <c r="W511" s="4" t="s">
        <v>37</v>
      </c>
      <c r="X511" s="1" t="s">
        <v>59</v>
      </c>
      <c r="Y511" s="167" t="s">
        <v>39</v>
      </c>
      <c r="Z511" s="168"/>
    </row>
    <row r="512" spans="1:26" s="4" customFormat="1" ht="15" customHeight="1">
      <c r="A512" s="163" t="s">
        <v>25</v>
      </c>
      <c r="B512" s="29" t="s">
        <v>478</v>
      </c>
      <c r="C512" s="4" t="s">
        <v>3497</v>
      </c>
      <c r="D512" s="130"/>
      <c r="E512" s="2">
        <v>44977</v>
      </c>
      <c r="F512" s="2">
        <f t="shared" si="27"/>
        <v>44991</v>
      </c>
      <c r="G512" s="2"/>
      <c r="H512" s="41">
        <v>6725</v>
      </c>
      <c r="I512" s="15" t="s">
        <v>3498</v>
      </c>
      <c r="J512" s="1" t="s">
        <v>1615</v>
      </c>
      <c r="K512" s="1" t="s">
        <v>31</v>
      </c>
      <c r="L512" s="1">
        <v>85283</v>
      </c>
      <c r="M512" s="1" t="s">
        <v>32</v>
      </c>
      <c r="O512" s="1" t="s">
        <v>3499</v>
      </c>
      <c r="P512" s="1" t="s">
        <v>3500</v>
      </c>
      <c r="Q512" s="87" t="s">
        <v>3501</v>
      </c>
      <c r="R512" s="31">
        <v>97864</v>
      </c>
      <c r="V512" s="4" t="s">
        <v>36</v>
      </c>
      <c r="W512" s="4" t="s">
        <v>37</v>
      </c>
      <c r="X512" s="1" t="s">
        <v>59</v>
      </c>
      <c r="Y512" s="167" t="s">
        <v>39</v>
      </c>
    </row>
    <row r="513" spans="1:26" s="4" customFormat="1" ht="16.5" customHeight="1">
      <c r="A513" s="163" t="s">
        <v>25</v>
      </c>
      <c r="B513" s="15" t="s">
        <v>3502</v>
      </c>
      <c r="C513" s="29" t="s">
        <v>3503</v>
      </c>
      <c r="D513" s="1"/>
      <c r="E513" s="2">
        <v>44991</v>
      </c>
      <c r="F513" s="2">
        <f>E513+14</f>
        <v>45005</v>
      </c>
      <c r="G513" s="15">
        <v>1.4</v>
      </c>
      <c r="H513" s="1">
        <v>12195</v>
      </c>
      <c r="I513" s="15" t="s">
        <v>3504</v>
      </c>
      <c r="J513" s="1" t="s">
        <v>415</v>
      </c>
      <c r="K513" s="1" t="s">
        <v>31</v>
      </c>
      <c r="L513" s="1"/>
      <c r="M513" s="1" t="s">
        <v>32</v>
      </c>
      <c r="O513" s="1" t="s">
        <v>3505</v>
      </c>
      <c r="P513" s="1" t="s">
        <v>3502</v>
      </c>
      <c r="Q513" s="87" t="s">
        <v>3506</v>
      </c>
      <c r="R513" s="1">
        <v>90449</v>
      </c>
      <c r="V513" s="4" t="s">
        <v>36</v>
      </c>
      <c r="W513" s="4" t="s">
        <v>37</v>
      </c>
      <c r="X513" s="1" t="s">
        <v>59</v>
      </c>
      <c r="Y513" s="167" t="s">
        <v>39</v>
      </c>
      <c r="Z513" s="168"/>
    </row>
    <row r="514" spans="1:26" s="4" customFormat="1" ht="15" customHeight="1">
      <c r="A514" s="163" t="s">
        <v>25</v>
      </c>
      <c r="B514" s="15" t="s">
        <v>226</v>
      </c>
      <c r="C514" s="29" t="s">
        <v>3507</v>
      </c>
      <c r="D514" s="1"/>
      <c r="E514" s="2">
        <v>44991</v>
      </c>
      <c r="F514" s="2">
        <f>E514+14</f>
        <v>45005</v>
      </c>
      <c r="G514" s="15"/>
      <c r="H514" s="1">
        <v>222</v>
      </c>
      <c r="I514" s="15" t="s">
        <v>3508</v>
      </c>
      <c r="J514" s="1" t="s">
        <v>63</v>
      </c>
      <c r="K514" s="1" t="s">
        <v>31</v>
      </c>
      <c r="L514" s="1">
        <v>85210</v>
      </c>
      <c r="M514" s="1" t="s">
        <v>32</v>
      </c>
      <c r="O514" s="1" t="s">
        <v>3509</v>
      </c>
      <c r="P514" s="1" t="s">
        <v>3510</v>
      </c>
      <c r="Q514" s="87" t="s">
        <v>3511</v>
      </c>
      <c r="R514" s="1">
        <v>89865</v>
      </c>
      <c r="V514" s="4" t="s">
        <v>36</v>
      </c>
      <c r="W514" s="4" t="s">
        <v>37</v>
      </c>
      <c r="X514" s="1" t="s">
        <v>59</v>
      </c>
      <c r="Y514" s="167" t="s">
        <v>39</v>
      </c>
      <c r="Z514" s="168"/>
    </row>
    <row r="515" spans="1:26" s="4" customFormat="1">
      <c r="A515" s="94" t="s">
        <v>1234</v>
      </c>
      <c r="B515" s="29" t="s">
        <v>3512</v>
      </c>
      <c r="C515" s="4" t="s">
        <v>3513</v>
      </c>
      <c r="D515" s="2"/>
      <c r="E515" s="2"/>
      <c r="F515" s="2"/>
      <c r="G515" s="2"/>
      <c r="H515" s="206" t="s">
        <v>184</v>
      </c>
      <c r="I515" s="158" t="s">
        <v>3514</v>
      </c>
      <c r="J515" s="1" t="s">
        <v>916</v>
      </c>
      <c r="K515" s="1" t="s">
        <v>31</v>
      </c>
      <c r="L515" s="1"/>
      <c r="M515" s="1" t="s">
        <v>32</v>
      </c>
      <c r="N515"/>
      <c r="O515" s="236" t="s">
        <v>3515</v>
      </c>
      <c r="P515" s="1" t="s">
        <v>3516</v>
      </c>
      <c r="Q515" s="162" t="s">
        <v>3517</v>
      </c>
      <c r="R515" s="31"/>
      <c r="W515" s="4" t="s">
        <v>1418</v>
      </c>
      <c r="Y515" s="15"/>
    </row>
    <row r="516" spans="1:26" s="4" customFormat="1" ht="15" customHeight="1">
      <c r="A516" s="163" t="s">
        <v>25</v>
      </c>
      <c r="B516" s="15" t="s">
        <v>226</v>
      </c>
      <c r="C516" s="4" t="s">
        <v>3518</v>
      </c>
      <c r="D516" s="130"/>
      <c r="E516" s="2">
        <v>45002</v>
      </c>
      <c r="F516" s="2">
        <f t="shared" ref="F516:F517" si="28">E516+14</f>
        <v>45016</v>
      </c>
      <c r="G516" s="2"/>
      <c r="H516" s="41">
        <v>51</v>
      </c>
      <c r="I516" s="15" t="s">
        <v>3519</v>
      </c>
      <c r="J516" s="1" t="s">
        <v>3520</v>
      </c>
      <c r="K516" s="1" t="s">
        <v>31</v>
      </c>
      <c r="L516" s="1">
        <v>85281</v>
      </c>
      <c r="M516" s="1" t="s">
        <v>32</v>
      </c>
      <c r="O516" s="1" t="s">
        <v>3521</v>
      </c>
      <c r="P516" s="1" t="s">
        <v>3522</v>
      </c>
      <c r="Q516" s="87" t="s">
        <v>3523</v>
      </c>
      <c r="R516" s="31">
        <v>93351</v>
      </c>
      <c r="V516" s="4" t="s">
        <v>36</v>
      </c>
      <c r="W516" s="4" t="s">
        <v>37</v>
      </c>
      <c r="X516" s="1" t="s">
        <v>59</v>
      </c>
      <c r="Y516" s="167" t="s">
        <v>39</v>
      </c>
      <c r="Z516" s="168"/>
    </row>
    <row r="517" spans="1:26" s="4" customFormat="1" ht="15" customHeight="1">
      <c r="A517" s="163" t="s">
        <v>25</v>
      </c>
      <c r="B517" s="70" t="s">
        <v>792</v>
      </c>
      <c r="C517" s="56" t="s">
        <v>3524</v>
      </c>
      <c r="D517" s="60"/>
      <c r="E517" s="2">
        <v>45002</v>
      </c>
      <c r="F517" s="60">
        <f t="shared" si="28"/>
        <v>45016</v>
      </c>
      <c r="G517" s="60"/>
      <c r="H517" s="1">
        <v>1333</v>
      </c>
      <c r="I517" s="78" t="s">
        <v>3525</v>
      </c>
      <c r="J517" s="55" t="s">
        <v>69</v>
      </c>
      <c r="K517" s="55" t="s">
        <v>31</v>
      </c>
      <c r="L517" s="55" t="s">
        <v>1478</v>
      </c>
      <c r="M517" s="55" t="s">
        <v>32</v>
      </c>
      <c r="N517" s="56"/>
      <c r="O517" s="1" t="s">
        <v>796</v>
      </c>
      <c r="P517" s="86" t="s">
        <v>3526</v>
      </c>
      <c r="Q517" s="247" t="s">
        <v>3527</v>
      </c>
      <c r="R517" s="57">
        <v>88776</v>
      </c>
      <c r="V517" s="4" t="s">
        <v>36</v>
      </c>
      <c r="W517" s="4" t="s">
        <v>37</v>
      </c>
      <c r="X517" s="1" t="s">
        <v>59</v>
      </c>
      <c r="Y517" s="167" t="s">
        <v>39</v>
      </c>
      <c r="Z517" s="168"/>
    </row>
    <row r="518" spans="1:26" s="4" customFormat="1">
      <c r="A518" s="94" t="s">
        <v>1234</v>
      </c>
      <c r="B518" s="29" t="s">
        <v>3512</v>
      </c>
      <c r="C518" s="4" t="s">
        <v>3528</v>
      </c>
      <c r="D518" s="2"/>
      <c r="E518" s="2"/>
      <c r="F518" s="2"/>
      <c r="G518" s="2"/>
      <c r="H518" s="41" t="s">
        <v>184</v>
      </c>
      <c r="I518" s="15" t="s">
        <v>3514</v>
      </c>
      <c r="J518" s="1" t="s">
        <v>916</v>
      </c>
      <c r="K518" s="1" t="s">
        <v>31</v>
      </c>
      <c r="L518" s="1"/>
      <c r="M518" s="1" t="s">
        <v>32</v>
      </c>
      <c r="O518" s="236" t="s">
        <v>3515</v>
      </c>
      <c r="P518" s="1" t="s">
        <v>3516</v>
      </c>
      <c r="Q518" s="162" t="s">
        <v>3517</v>
      </c>
      <c r="R518" s="31"/>
      <c r="W518" s="4" t="s">
        <v>1418</v>
      </c>
      <c r="Y518" s="15"/>
    </row>
    <row r="519" spans="1:26" s="4" customFormat="1">
      <c r="A519" s="163" t="s">
        <v>25</v>
      </c>
      <c r="B519" s="29" t="s">
        <v>3529</v>
      </c>
      <c r="C519" s="4" t="s">
        <v>3530</v>
      </c>
      <c r="D519" s="130"/>
      <c r="E519" s="2">
        <v>44994</v>
      </c>
      <c r="F519" s="2">
        <f t="shared" ref="F519" si="29">E519+14</f>
        <v>45008</v>
      </c>
      <c r="G519" s="2"/>
      <c r="H519" s="41">
        <v>6000</v>
      </c>
      <c r="I519" s="15" t="s">
        <v>474</v>
      </c>
      <c r="J519" s="1" t="s">
        <v>434</v>
      </c>
      <c r="K519" s="1" t="s">
        <v>31</v>
      </c>
      <c r="L519" s="1">
        <v>85251</v>
      </c>
      <c r="M519" s="1" t="s">
        <v>32</v>
      </c>
      <c r="O519" s="1" t="s">
        <v>3531</v>
      </c>
      <c r="P519" s="1" t="s">
        <v>3532</v>
      </c>
      <c r="Q519" s="87" t="s">
        <v>3533</v>
      </c>
      <c r="R519" s="31">
        <v>86594</v>
      </c>
      <c r="V519" s="4" t="s">
        <v>36</v>
      </c>
      <c r="W519" s="4" t="s">
        <v>37</v>
      </c>
      <c r="X519" s="1" t="s">
        <v>59</v>
      </c>
      <c r="Y519" s="167" t="s">
        <v>39</v>
      </c>
    </row>
    <row r="520" spans="1:26" s="4" customFormat="1">
      <c r="A520" s="94" t="s">
        <v>1234</v>
      </c>
      <c r="B520" s="29" t="s">
        <v>3534</v>
      </c>
      <c r="C520" s="4" t="s">
        <v>3535</v>
      </c>
      <c r="D520" s="130"/>
      <c r="E520" s="2"/>
      <c r="F520" s="2"/>
      <c r="G520" s="2"/>
      <c r="H520" s="41">
        <v>3761</v>
      </c>
      <c r="I520" s="15" t="s">
        <v>3536</v>
      </c>
      <c r="J520" s="1" t="s">
        <v>3537</v>
      </c>
      <c r="K520" s="1" t="s">
        <v>31</v>
      </c>
      <c r="L520" s="1">
        <v>85716</v>
      </c>
      <c r="M520" s="1" t="s">
        <v>32</v>
      </c>
      <c r="O520" s="1" t="s">
        <v>3538</v>
      </c>
      <c r="P520" s="1" t="s">
        <v>3539</v>
      </c>
      <c r="Q520" s="87" t="s">
        <v>3540</v>
      </c>
      <c r="R520" s="31"/>
      <c r="W520" s="4" t="s">
        <v>1418</v>
      </c>
      <c r="Y520" s="15"/>
    </row>
    <row r="521" spans="1:26" s="4" customFormat="1" ht="15" customHeight="1">
      <c r="A521" s="163" t="s">
        <v>25</v>
      </c>
      <c r="B521" s="29" t="s">
        <v>3125</v>
      </c>
      <c r="C521" s="4" t="s">
        <v>3396</v>
      </c>
      <c r="D521" s="130"/>
      <c r="E521" s="2">
        <v>44993</v>
      </c>
      <c r="F521" s="2">
        <f t="shared" ref="F521" si="30">E521+14</f>
        <v>45007</v>
      </c>
      <c r="G521" s="2"/>
      <c r="H521" s="41">
        <v>7375</v>
      </c>
      <c r="I521" s="15" t="s">
        <v>3397</v>
      </c>
      <c r="J521" s="1" t="s">
        <v>3398</v>
      </c>
      <c r="K521" s="1" t="s">
        <v>31</v>
      </c>
      <c r="L521" s="1">
        <v>85255</v>
      </c>
      <c r="M521" s="1" t="s">
        <v>32</v>
      </c>
      <c r="O521" s="1" t="s">
        <v>3399</v>
      </c>
      <c r="P521" s="1" t="s">
        <v>3400</v>
      </c>
      <c r="Q521" s="87" t="s">
        <v>3401</v>
      </c>
      <c r="R521" s="31">
        <v>92876</v>
      </c>
      <c r="V521" s="4" t="s">
        <v>36</v>
      </c>
      <c r="W521" s="4" t="s">
        <v>37</v>
      </c>
      <c r="X521" s="1" t="s">
        <v>59</v>
      </c>
      <c r="Y521" s="167" t="s">
        <v>39</v>
      </c>
      <c r="Z521" s="168"/>
    </row>
    <row r="522" spans="1:26" s="4" customFormat="1" ht="15" customHeight="1">
      <c r="A522" s="164" t="s">
        <v>812</v>
      </c>
      <c r="B522" s="29" t="s">
        <v>3405</v>
      </c>
      <c r="C522" s="4" t="s">
        <v>3541</v>
      </c>
      <c r="D522" s="130"/>
      <c r="E522" s="2">
        <v>44999</v>
      </c>
      <c r="F522" s="2">
        <f>E522+14</f>
        <v>45013</v>
      </c>
      <c r="G522" s="2"/>
      <c r="H522" s="41">
        <v>1220</v>
      </c>
      <c r="I522" s="15" t="s">
        <v>933</v>
      </c>
      <c r="J522" s="1" t="s">
        <v>844</v>
      </c>
      <c r="K522" s="1" t="s">
        <v>31</v>
      </c>
      <c r="L522" s="1">
        <v>85395</v>
      </c>
      <c r="M522" s="1" t="s">
        <v>32</v>
      </c>
      <c r="O522" s="1" t="s">
        <v>3542</v>
      </c>
      <c r="P522" s="1" t="s">
        <v>3543</v>
      </c>
      <c r="Q522" s="87" t="s">
        <v>3544</v>
      </c>
      <c r="R522" s="124">
        <v>94447</v>
      </c>
      <c r="V522" s="4" t="s">
        <v>443</v>
      </c>
      <c r="W522" s="4" t="s">
        <v>37</v>
      </c>
      <c r="X522" s="4" t="s">
        <v>616</v>
      </c>
      <c r="Y522" s="235" t="s">
        <v>617</v>
      </c>
      <c r="Z522" s="167" t="s">
        <v>364</v>
      </c>
    </row>
    <row r="523" spans="1:26" s="4" customFormat="1" ht="15" customHeight="1">
      <c r="A523" s="164" t="s">
        <v>812</v>
      </c>
      <c r="B523" s="29" t="s">
        <v>258</v>
      </c>
      <c r="C523" s="4" t="s">
        <v>3545</v>
      </c>
      <c r="D523" s="2"/>
      <c r="E523" s="2">
        <v>44998</v>
      </c>
      <c r="F523" s="2">
        <f>E523+14</f>
        <v>45012</v>
      </c>
      <c r="G523" s="2"/>
      <c r="H523" s="41" t="s">
        <v>528</v>
      </c>
      <c r="I523" s="15" t="s">
        <v>3546</v>
      </c>
      <c r="J523" s="1" t="s">
        <v>822</v>
      </c>
      <c r="K523" s="1" t="s">
        <v>31</v>
      </c>
      <c r="L523" s="1"/>
      <c r="M523" s="1" t="s">
        <v>32</v>
      </c>
      <c r="O523" s="250" t="s">
        <v>2539</v>
      </c>
      <c r="P523" s="179" t="s">
        <v>2540</v>
      </c>
      <c r="Q523" s="99" t="s">
        <v>3547</v>
      </c>
      <c r="R523" s="31">
        <v>87436</v>
      </c>
      <c r="S523" s="1"/>
      <c r="T523" s="1"/>
      <c r="U523" s="1"/>
      <c r="V523" s="4" t="s">
        <v>443</v>
      </c>
      <c r="W523" s="4" t="s">
        <v>37</v>
      </c>
      <c r="X523" s="4" t="s">
        <v>616</v>
      </c>
      <c r="Y523" s="235" t="s">
        <v>617</v>
      </c>
      <c r="Z523" s="167" t="s">
        <v>364</v>
      </c>
    </row>
    <row r="524" spans="1:26" s="4" customFormat="1" ht="18.75" customHeight="1">
      <c r="A524" s="163" t="s">
        <v>25</v>
      </c>
      <c r="B524" s="15" t="s">
        <v>168</v>
      </c>
      <c r="C524" s="29" t="s">
        <v>3548</v>
      </c>
      <c r="D524" s="1"/>
      <c r="E524" s="2">
        <v>44998</v>
      </c>
      <c r="F524" s="2">
        <f t="shared" ref="F524:F526" si="31">E524+14</f>
        <v>45012</v>
      </c>
      <c r="G524" s="15"/>
      <c r="H524" s="1"/>
      <c r="I524" s="4" t="s">
        <v>3549</v>
      </c>
      <c r="J524" s="1" t="s">
        <v>63</v>
      </c>
      <c r="K524" s="1" t="s">
        <v>31</v>
      </c>
      <c r="L524" s="1">
        <v>85212</v>
      </c>
      <c r="M524" s="1" t="s">
        <v>32</v>
      </c>
      <c r="O524" s="1" t="s">
        <v>3550</v>
      </c>
      <c r="P524" s="1" t="s">
        <v>3551</v>
      </c>
      <c r="Q524" s="234" t="s">
        <v>3552</v>
      </c>
      <c r="R524" s="1">
        <v>91837</v>
      </c>
      <c r="V524" s="4" t="s">
        <v>36</v>
      </c>
      <c r="W524" s="4" t="s">
        <v>37</v>
      </c>
      <c r="X524" s="1" t="s">
        <v>59</v>
      </c>
      <c r="Y524" s="167" t="s">
        <v>39</v>
      </c>
      <c r="Z524" s="168"/>
    </row>
    <row r="525" spans="1:26" s="4" customFormat="1" ht="15" customHeight="1">
      <c r="A525" s="163" t="s">
        <v>25</v>
      </c>
      <c r="B525" s="29" t="s">
        <v>3245</v>
      </c>
      <c r="C525" s="4" t="s">
        <v>3553</v>
      </c>
      <c r="D525" s="2"/>
      <c r="E525" s="2">
        <v>44998</v>
      </c>
      <c r="F525" s="2">
        <f t="shared" si="31"/>
        <v>45012</v>
      </c>
      <c r="G525" s="2"/>
      <c r="H525" s="41">
        <v>17902</v>
      </c>
      <c r="I525" s="15" t="s">
        <v>1856</v>
      </c>
      <c r="J525" s="1" t="s">
        <v>49</v>
      </c>
      <c r="K525" s="1" t="s">
        <v>31</v>
      </c>
      <c r="L525" s="1">
        <v>85296</v>
      </c>
      <c r="M525" s="1" t="s">
        <v>32</v>
      </c>
      <c r="O525" s="1" t="s">
        <v>3554</v>
      </c>
      <c r="P525" s="1" t="s">
        <v>3555</v>
      </c>
      <c r="Q525" s="87" t="s">
        <v>3556</v>
      </c>
      <c r="R525" s="31">
        <v>90328</v>
      </c>
      <c r="V525" s="4" t="s">
        <v>36</v>
      </c>
      <c r="W525" s="4" t="s">
        <v>37</v>
      </c>
      <c r="X525" s="1" t="s">
        <v>59</v>
      </c>
      <c r="Y525" s="167" t="s">
        <v>39</v>
      </c>
      <c r="Z525" s="168"/>
    </row>
    <row r="526" spans="1:26" s="4" customFormat="1" ht="15" customHeight="1">
      <c r="A526" s="163" t="s">
        <v>25</v>
      </c>
      <c r="B526" s="70" t="s">
        <v>792</v>
      </c>
      <c r="C526" s="56" t="s">
        <v>3524</v>
      </c>
      <c r="D526" s="60"/>
      <c r="E526" s="2">
        <v>45002</v>
      </c>
      <c r="F526" s="60">
        <f t="shared" si="31"/>
        <v>45016</v>
      </c>
      <c r="G526" s="60"/>
      <c r="H526" s="1">
        <v>1333</v>
      </c>
      <c r="I526" s="78" t="s">
        <v>3525</v>
      </c>
      <c r="J526" s="55" t="s">
        <v>69</v>
      </c>
      <c r="K526" s="55" t="s">
        <v>31</v>
      </c>
      <c r="L526" s="55" t="s">
        <v>1478</v>
      </c>
      <c r="M526" s="55" t="s">
        <v>32</v>
      </c>
      <c r="N526" s="56"/>
      <c r="O526" s="1" t="s">
        <v>796</v>
      </c>
      <c r="P526" s="86" t="s">
        <v>3526</v>
      </c>
      <c r="Q526" s="247" t="s">
        <v>3527</v>
      </c>
      <c r="R526" s="57">
        <v>88776</v>
      </c>
      <c r="V526" s="4" t="s">
        <v>36</v>
      </c>
      <c r="W526" s="4" t="s">
        <v>37</v>
      </c>
      <c r="X526" s="1" t="s">
        <v>59</v>
      </c>
      <c r="Y526" s="167" t="s">
        <v>39</v>
      </c>
      <c r="Z526" s="168"/>
    </row>
    <row r="527" spans="1:26" s="4" customFormat="1" ht="18.75" customHeight="1">
      <c r="A527" s="164" t="s">
        <v>812</v>
      </c>
      <c r="B527" s="29" t="s">
        <v>3357</v>
      </c>
      <c r="C527" s="4" t="s">
        <v>3557</v>
      </c>
      <c r="D527" s="2"/>
      <c r="E527" s="2">
        <v>45016</v>
      </c>
      <c r="F527" s="60">
        <f>E527+14</f>
        <v>45030</v>
      </c>
      <c r="G527" s="2"/>
      <c r="H527" s="41" t="s">
        <v>184</v>
      </c>
      <c r="I527" s="15" t="s">
        <v>3558</v>
      </c>
      <c r="J527" s="1" t="s">
        <v>822</v>
      </c>
      <c r="K527" s="1" t="s">
        <v>31</v>
      </c>
      <c r="L527" s="1">
        <v>85305</v>
      </c>
      <c r="M527" s="1" t="s">
        <v>32</v>
      </c>
      <c r="O527" s="1" t="s">
        <v>3559</v>
      </c>
      <c r="P527" s="1" t="s">
        <v>3560</v>
      </c>
      <c r="Q527" s="251" t="s">
        <v>3561</v>
      </c>
      <c r="R527" s="31">
        <v>88216</v>
      </c>
      <c r="V527" s="4" t="s">
        <v>443</v>
      </c>
      <c r="W527" s="4" t="s">
        <v>37</v>
      </c>
      <c r="X527" s="4" t="s">
        <v>616</v>
      </c>
      <c r="Y527" s="235" t="s">
        <v>617</v>
      </c>
      <c r="Z527" s="167" t="s">
        <v>364</v>
      </c>
    </row>
    <row r="528" spans="1:26" s="4" customFormat="1">
      <c r="A528" s="163" t="s">
        <v>25</v>
      </c>
      <c r="B528" s="70" t="s">
        <v>3491</v>
      </c>
      <c r="C528" s="56" t="s">
        <v>3562</v>
      </c>
      <c r="D528" s="60"/>
      <c r="E528" s="2">
        <v>45006</v>
      </c>
      <c r="F528" s="2">
        <f>E528+28</f>
        <v>45034</v>
      </c>
      <c r="G528" s="60"/>
      <c r="H528" s="54" t="s">
        <v>528</v>
      </c>
      <c r="I528" s="80" t="s">
        <v>3563</v>
      </c>
      <c r="J528" s="55" t="s">
        <v>49</v>
      </c>
      <c r="K528" s="55" t="s">
        <v>31</v>
      </c>
      <c r="L528" s="55"/>
      <c r="M528" s="55" t="s">
        <v>32</v>
      </c>
      <c r="N528" s="56"/>
      <c r="O528" s="55" t="s">
        <v>244</v>
      </c>
      <c r="P528" s="55" t="s">
        <v>3564</v>
      </c>
      <c r="Q528" s="161" t="s">
        <v>3565</v>
      </c>
      <c r="R528" s="57">
        <v>88836</v>
      </c>
      <c r="V528" s="4" t="s">
        <v>36</v>
      </c>
      <c r="W528" s="4" t="s">
        <v>37</v>
      </c>
      <c r="X528" s="1" t="s">
        <v>59</v>
      </c>
      <c r="Y528" s="167" t="s">
        <v>39</v>
      </c>
      <c r="Z528" s="168"/>
    </row>
    <row r="529" spans="1:26" s="4" customFormat="1">
      <c r="A529" s="163" t="s">
        <v>25</v>
      </c>
      <c r="B529" s="15" t="s">
        <v>194</v>
      </c>
      <c r="C529" s="65" t="s">
        <v>3566</v>
      </c>
      <c r="D529" s="2"/>
      <c r="E529" s="2">
        <v>45008</v>
      </c>
      <c r="F529" s="2">
        <f t="shared" ref="F529:F533" si="32">E529+14</f>
        <v>45022</v>
      </c>
      <c r="G529" s="2"/>
      <c r="H529" s="1">
        <v>3344</v>
      </c>
      <c r="I529" s="15" t="s">
        <v>353</v>
      </c>
      <c r="J529" s="1" t="s">
        <v>63</v>
      </c>
      <c r="K529" s="1" t="s">
        <v>31</v>
      </c>
      <c r="L529" s="1"/>
      <c r="M529" s="1" t="s">
        <v>32</v>
      </c>
      <c r="O529" s="1" t="s">
        <v>364</v>
      </c>
      <c r="P529" s="1" t="s">
        <v>3567</v>
      </c>
      <c r="Q529" s="1" t="s">
        <v>3568</v>
      </c>
      <c r="R529" s="1">
        <v>82161</v>
      </c>
      <c r="V529" s="4" t="s">
        <v>36</v>
      </c>
      <c r="W529" s="4" t="s">
        <v>37</v>
      </c>
      <c r="X529" s="1" t="s">
        <v>59</v>
      </c>
      <c r="Y529" s="167" t="s">
        <v>39</v>
      </c>
      <c r="Z529" s="168"/>
    </row>
    <row r="530" spans="1:26" s="4" customFormat="1">
      <c r="A530" s="163" t="s">
        <v>25</v>
      </c>
      <c r="B530" s="29" t="s">
        <v>3569</v>
      </c>
      <c r="C530" s="4" t="s">
        <v>3570</v>
      </c>
      <c r="D530" s="130"/>
      <c r="E530" s="2">
        <v>45005</v>
      </c>
      <c r="F530" s="2">
        <f t="shared" si="32"/>
        <v>45019</v>
      </c>
      <c r="G530" s="2"/>
      <c r="H530" s="41">
        <v>1717</v>
      </c>
      <c r="I530" s="15" t="s">
        <v>697</v>
      </c>
      <c r="J530" s="1" t="s">
        <v>3520</v>
      </c>
      <c r="K530" s="1" t="s">
        <v>31</v>
      </c>
      <c r="L530" s="1">
        <v>85282</v>
      </c>
      <c r="M530" s="1" t="s">
        <v>32</v>
      </c>
      <c r="O530" s="1" t="s">
        <v>3571</v>
      </c>
      <c r="P530" s="1" t="s">
        <v>3572</v>
      </c>
      <c r="Q530" s="87" t="s">
        <v>3573</v>
      </c>
      <c r="R530" s="31">
        <v>94607</v>
      </c>
      <c r="V530" s="4" t="s">
        <v>36</v>
      </c>
      <c r="W530" s="4" t="s">
        <v>37</v>
      </c>
      <c r="X530" s="1" t="s">
        <v>59</v>
      </c>
      <c r="Y530" s="169" t="s">
        <v>39</v>
      </c>
      <c r="Z530" s="168"/>
    </row>
    <row r="531" spans="1:26" s="4" customFormat="1" ht="15" customHeight="1">
      <c r="A531" s="163" t="s">
        <v>25</v>
      </c>
      <c r="B531" s="29" t="s">
        <v>3094</v>
      </c>
      <c r="C531" s="4" t="s">
        <v>3574</v>
      </c>
      <c r="D531" s="130"/>
      <c r="E531" s="2">
        <v>45006</v>
      </c>
      <c r="F531" s="2">
        <f t="shared" si="32"/>
        <v>45020</v>
      </c>
      <c r="G531" s="2"/>
      <c r="H531" s="41">
        <v>3477</v>
      </c>
      <c r="I531" s="15" t="s">
        <v>3575</v>
      </c>
      <c r="J531" s="1" t="s">
        <v>49</v>
      </c>
      <c r="K531" s="1" t="s">
        <v>31</v>
      </c>
      <c r="L531" s="1">
        <v>85297</v>
      </c>
      <c r="M531" s="1" t="s">
        <v>32</v>
      </c>
      <c r="O531" s="1" t="s">
        <v>3576</v>
      </c>
      <c r="P531" s="1" t="s">
        <v>3577</v>
      </c>
      <c r="Q531" s="87" t="s">
        <v>3578</v>
      </c>
      <c r="R531" s="124" t="s">
        <v>314</v>
      </c>
      <c r="V531" s="4" t="s">
        <v>36</v>
      </c>
      <c r="W531" s="4" t="s">
        <v>37</v>
      </c>
      <c r="X531" s="1" t="s">
        <v>59</v>
      </c>
      <c r="Y531" s="167" t="s">
        <v>39</v>
      </c>
      <c r="Z531" s="168"/>
    </row>
    <row r="532" spans="1:26" s="4" customFormat="1" ht="15" customHeight="1">
      <c r="A532" s="163" t="s">
        <v>25</v>
      </c>
      <c r="B532" s="29" t="s">
        <v>1213</v>
      </c>
      <c r="C532" s="4" t="s">
        <v>3579</v>
      </c>
      <c r="D532" s="2"/>
      <c r="E532" s="2">
        <v>45007</v>
      </c>
      <c r="F532" s="2">
        <f t="shared" si="32"/>
        <v>45021</v>
      </c>
      <c r="G532" s="2"/>
      <c r="H532" s="41">
        <v>3939</v>
      </c>
      <c r="I532" s="15" t="s">
        <v>3580</v>
      </c>
      <c r="J532" s="1" t="s">
        <v>398</v>
      </c>
      <c r="K532" s="1" t="s">
        <v>31</v>
      </c>
      <c r="L532" s="1">
        <v>85251</v>
      </c>
      <c r="M532" s="1" t="s">
        <v>32</v>
      </c>
      <c r="O532" s="1" t="s">
        <v>1216</v>
      </c>
      <c r="P532" s="1" t="s">
        <v>1217</v>
      </c>
      <c r="Q532" s="98" t="s">
        <v>3581</v>
      </c>
      <c r="R532" s="31">
        <v>91066</v>
      </c>
      <c r="V532" s="4" t="s">
        <v>36</v>
      </c>
      <c r="W532" s="4" t="s">
        <v>37</v>
      </c>
      <c r="X532" s="1" t="s">
        <v>59</v>
      </c>
      <c r="Y532" s="167" t="s">
        <v>39</v>
      </c>
      <c r="Z532" s="168"/>
    </row>
    <row r="533" spans="1:26" s="4" customFormat="1" ht="15" customHeight="1">
      <c r="A533" s="164" t="s">
        <v>812</v>
      </c>
      <c r="B533" s="29" t="s">
        <v>3582</v>
      </c>
      <c r="C533" s="4" t="s">
        <v>3583</v>
      </c>
      <c r="D533" s="130"/>
      <c r="E533" s="2">
        <v>45008</v>
      </c>
      <c r="F533" s="2">
        <f t="shared" si="32"/>
        <v>45022</v>
      </c>
      <c r="G533" s="2"/>
      <c r="H533" s="41">
        <v>1100</v>
      </c>
      <c r="I533" s="15" t="s">
        <v>3584</v>
      </c>
      <c r="J533" s="1" t="s">
        <v>434</v>
      </c>
      <c r="K533" s="1" t="s">
        <v>31</v>
      </c>
      <c r="L533" s="1">
        <v>85034</v>
      </c>
      <c r="M533" s="1" t="s">
        <v>32</v>
      </c>
      <c r="O533" s="1" t="s">
        <v>3585</v>
      </c>
      <c r="P533" s="1" t="s">
        <v>3586</v>
      </c>
      <c r="Q533" s="251" t="s">
        <v>3587</v>
      </c>
      <c r="R533" s="31"/>
      <c r="V533" s="4" t="s">
        <v>443</v>
      </c>
      <c r="W533" s="4" t="s">
        <v>37</v>
      </c>
      <c r="X533" s="4" t="s">
        <v>616</v>
      </c>
      <c r="Y533" s="235" t="s">
        <v>617</v>
      </c>
    </row>
    <row r="534" spans="1:26" s="4" customFormat="1" ht="15" customHeight="1">
      <c r="A534" s="164" t="s">
        <v>812</v>
      </c>
      <c r="B534" s="29" t="s">
        <v>3588</v>
      </c>
      <c r="C534" s="4" t="s">
        <v>3589</v>
      </c>
      <c r="D534" s="130"/>
      <c r="E534" s="2">
        <v>45005</v>
      </c>
      <c r="F534" s="2">
        <f>E534+14</f>
        <v>45019</v>
      </c>
      <c r="G534" s="2"/>
      <c r="H534" s="41">
        <v>16875</v>
      </c>
      <c r="I534" s="15" t="s">
        <v>3590</v>
      </c>
      <c r="J534" s="1" t="s">
        <v>434</v>
      </c>
      <c r="K534" s="1" t="s">
        <v>31</v>
      </c>
      <c r="L534" s="1">
        <v>85022</v>
      </c>
      <c r="M534" s="1" t="s">
        <v>32</v>
      </c>
      <c r="O534" s="1" t="s">
        <v>3591</v>
      </c>
      <c r="P534" s="1" t="s">
        <v>3592</v>
      </c>
      <c r="Q534" s="87" t="s">
        <v>3593</v>
      </c>
      <c r="R534" s="31">
        <v>89674</v>
      </c>
      <c r="V534" s="4" t="s">
        <v>443</v>
      </c>
      <c r="W534" s="4" t="s">
        <v>37</v>
      </c>
      <c r="X534" s="4" t="s">
        <v>616</v>
      </c>
      <c r="Y534" s="235" t="s">
        <v>617</v>
      </c>
      <c r="Z534" s="167" t="s">
        <v>364</v>
      </c>
    </row>
    <row r="535" spans="1:26" s="4" customFormat="1" ht="15" customHeight="1">
      <c r="A535" s="163" t="s">
        <v>25</v>
      </c>
      <c r="B535" s="70" t="s">
        <v>781</v>
      </c>
      <c r="C535" s="56" t="s">
        <v>3594</v>
      </c>
      <c r="D535" s="60"/>
      <c r="E535" s="2">
        <v>45030</v>
      </c>
      <c r="F535" s="60">
        <f t="shared" ref="F535:F536" si="33">E535+14</f>
        <v>45044</v>
      </c>
      <c r="G535" s="60"/>
      <c r="H535" s="101">
        <v>1971</v>
      </c>
      <c r="I535" s="80" t="s">
        <v>1400</v>
      </c>
      <c r="J535" s="55" t="s">
        <v>415</v>
      </c>
      <c r="K535" s="55" t="s">
        <v>31</v>
      </c>
      <c r="L535" s="55" t="s">
        <v>537</v>
      </c>
      <c r="M535" s="55" t="s">
        <v>32</v>
      </c>
      <c r="N535" s="56"/>
      <c r="O535" s="55" t="s">
        <v>3595</v>
      </c>
      <c r="P535" s="55" t="s">
        <v>3596</v>
      </c>
      <c r="Q535" s="89" t="s">
        <v>3597</v>
      </c>
      <c r="R535" s="57">
        <v>88475</v>
      </c>
      <c r="S535" s="1"/>
      <c r="T535" s="1"/>
      <c r="U535" s="1"/>
      <c r="V535" s="4" t="s">
        <v>36</v>
      </c>
      <c r="W535" s="4" t="s">
        <v>37</v>
      </c>
      <c r="X535" s="1" t="s">
        <v>59</v>
      </c>
      <c r="Y535" s="167" t="s">
        <v>39</v>
      </c>
      <c r="Z535" s="168"/>
    </row>
    <row r="536" spans="1:26" s="4" customFormat="1" ht="15" customHeight="1">
      <c r="A536" s="163" t="s">
        <v>25</v>
      </c>
      <c r="B536" s="15" t="s">
        <v>1915</v>
      </c>
      <c r="C536" s="65" t="s">
        <v>3598</v>
      </c>
      <c r="D536" s="2"/>
      <c r="E536" s="2">
        <v>45022</v>
      </c>
      <c r="F536" s="2">
        <f t="shared" si="33"/>
        <v>45036</v>
      </c>
      <c r="G536" s="2"/>
      <c r="H536" s="1">
        <v>1400</v>
      </c>
      <c r="I536" s="15" t="s">
        <v>2626</v>
      </c>
      <c r="J536" s="1" t="s">
        <v>63</v>
      </c>
      <c r="K536" s="1" t="s">
        <v>31</v>
      </c>
      <c r="L536" s="1">
        <v>85202</v>
      </c>
      <c r="M536" s="1" t="s">
        <v>32</v>
      </c>
      <c r="O536" s="1" t="s">
        <v>3599</v>
      </c>
      <c r="P536" s="1" t="s">
        <v>3600</v>
      </c>
      <c r="Q536" s="87" t="s">
        <v>3601</v>
      </c>
      <c r="R536" s="1">
        <v>87718</v>
      </c>
      <c r="S536" s="1"/>
      <c r="T536" s="1"/>
      <c r="U536" s="1"/>
      <c r="V536" s="4" t="s">
        <v>36</v>
      </c>
      <c r="W536" s="4" t="s">
        <v>37</v>
      </c>
      <c r="X536" s="1" t="s">
        <v>59</v>
      </c>
      <c r="Y536" s="167" t="s">
        <v>39</v>
      </c>
      <c r="Z536" s="168"/>
    </row>
    <row r="537" spans="1:26" s="4" customFormat="1" ht="17.25" customHeight="1">
      <c r="A537" s="164" t="s">
        <v>812</v>
      </c>
      <c r="B537" s="15" t="s">
        <v>3473</v>
      </c>
      <c r="C537" s="29" t="s">
        <v>3602</v>
      </c>
      <c r="D537" s="1"/>
      <c r="E537" s="2">
        <v>45030</v>
      </c>
      <c r="F537" s="2">
        <f>E537+14</f>
        <v>45044</v>
      </c>
      <c r="G537" s="15" t="s">
        <v>364</v>
      </c>
      <c r="H537" s="1">
        <v>3801</v>
      </c>
      <c r="I537" s="4" t="s">
        <v>3603</v>
      </c>
      <c r="J537" s="1" t="s">
        <v>434</v>
      </c>
      <c r="K537" s="1" t="s">
        <v>31</v>
      </c>
      <c r="L537" s="1">
        <v>85017</v>
      </c>
      <c r="M537" s="1" t="s">
        <v>32</v>
      </c>
      <c r="O537" s="1" t="s">
        <v>3476</v>
      </c>
      <c r="P537" s="1" t="s">
        <v>3477</v>
      </c>
      <c r="Q537" s="129" t="s">
        <v>3478</v>
      </c>
      <c r="R537" s="1">
        <v>91780</v>
      </c>
      <c r="V537" s="4" t="s">
        <v>443</v>
      </c>
      <c r="W537" s="4" t="s">
        <v>37</v>
      </c>
      <c r="X537" s="4" t="s">
        <v>616</v>
      </c>
      <c r="Y537" s="241" t="s">
        <v>617</v>
      </c>
      <c r="Z537" s="167" t="s">
        <v>364</v>
      </c>
    </row>
    <row r="538" spans="1:26" s="4" customFormat="1">
      <c r="A538" s="94" t="s">
        <v>3604</v>
      </c>
      <c r="B538" s="29" t="s">
        <v>2971</v>
      </c>
      <c r="C538" s="4" t="s">
        <v>3605</v>
      </c>
      <c r="D538" s="130"/>
      <c r="E538" s="2"/>
      <c r="F538" s="2"/>
      <c r="G538" s="2"/>
      <c r="H538" s="41"/>
      <c r="I538" s="15" t="s">
        <v>3606</v>
      </c>
      <c r="J538" s="1" t="s">
        <v>916</v>
      </c>
      <c r="K538" s="1" t="s">
        <v>31</v>
      </c>
      <c r="L538" s="1"/>
      <c r="M538" s="1" t="s">
        <v>32</v>
      </c>
      <c r="O538" s="1" t="s">
        <v>3607</v>
      </c>
      <c r="P538" s="1" t="s">
        <v>3608</v>
      </c>
      <c r="Q538" s="87" t="s">
        <v>3609</v>
      </c>
      <c r="R538" s="31"/>
      <c r="V538" s="4" t="s">
        <v>443</v>
      </c>
      <c r="W538" s="4" t="s">
        <v>1418</v>
      </c>
      <c r="Y538" s="15"/>
    </row>
    <row r="539" spans="1:26" s="4" customFormat="1">
      <c r="A539" s="94" t="s">
        <v>1234</v>
      </c>
      <c r="B539" s="29" t="s">
        <v>3610</v>
      </c>
      <c r="C539" s="4" t="s">
        <v>3611</v>
      </c>
      <c r="D539" s="2"/>
      <c r="E539" s="2"/>
      <c r="F539" s="2"/>
      <c r="G539" s="2"/>
      <c r="H539" s="41" t="s">
        <v>43</v>
      </c>
      <c r="I539" s="15" t="s">
        <v>3612</v>
      </c>
      <c r="J539" s="1" t="s">
        <v>975</v>
      </c>
      <c r="K539" s="1" t="s">
        <v>31</v>
      </c>
      <c r="L539" s="1"/>
      <c r="M539" s="1"/>
      <c r="O539" s="1" t="s">
        <v>3613</v>
      </c>
      <c r="P539" s="1" t="s">
        <v>3614</v>
      </c>
      <c r="Q539" s="87" t="s">
        <v>3615</v>
      </c>
      <c r="R539" s="31"/>
      <c r="V539" s="4" t="s">
        <v>443</v>
      </c>
      <c r="W539" s="4" t="s">
        <v>1418</v>
      </c>
      <c r="Y539" s="15"/>
    </row>
    <row r="540" spans="1:26" s="4" customFormat="1">
      <c r="A540" s="164" t="s">
        <v>812</v>
      </c>
      <c r="B540" s="118" t="s">
        <v>3616</v>
      </c>
      <c r="C540" s="119" t="s">
        <v>3617</v>
      </c>
      <c r="D540" s="2">
        <v>44741</v>
      </c>
      <c r="E540" s="2">
        <v>45050</v>
      </c>
      <c r="F540" s="2">
        <f t="shared" ref="F540:F541" si="34">E540+14</f>
        <v>45064</v>
      </c>
      <c r="G540" s="2"/>
      <c r="H540" s="41">
        <v>2630</v>
      </c>
      <c r="I540" s="15" t="s">
        <v>3618</v>
      </c>
      <c r="J540" s="1" t="s">
        <v>434</v>
      </c>
      <c r="K540" s="1" t="s">
        <v>31</v>
      </c>
      <c r="L540" s="1">
        <v>85034</v>
      </c>
      <c r="M540" s="1" t="s">
        <v>32</v>
      </c>
      <c r="O540" s="1" t="s">
        <v>3619</v>
      </c>
      <c r="P540" s="1" t="s">
        <v>3620</v>
      </c>
      <c r="Q540" s="87" t="s">
        <v>3621</v>
      </c>
      <c r="R540" s="31">
        <v>94924</v>
      </c>
      <c r="V540" s="4" t="s">
        <v>443</v>
      </c>
      <c r="W540" s="4" t="s">
        <v>37</v>
      </c>
      <c r="X540" s="4" t="s">
        <v>616</v>
      </c>
      <c r="Y540" s="235" t="s">
        <v>617</v>
      </c>
      <c r="Z540" s="167" t="s">
        <v>364</v>
      </c>
    </row>
    <row r="541" spans="1:26" s="4" customFormat="1">
      <c r="A541" s="163" t="s">
        <v>25</v>
      </c>
      <c r="B541" s="15" t="s">
        <v>2096</v>
      </c>
      <c r="C541" s="29" t="s">
        <v>3622</v>
      </c>
      <c r="D541" s="1"/>
      <c r="E541" s="2">
        <v>45043</v>
      </c>
      <c r="F541" s="2">
        <f t="shared" si="34"/>
        <v>45057</v>
      </c>
      <c r="G541" s="15">
        <v>8.0299999999999994</v>
      </c>
      <c r="H541" s="1">
        <v>9733</v>
      </c>
      <c r="I541" s="15" t="s">
        <v>697</v>
      </c>
      <c r="J541" s="1" t="s">
        <v>63</v>
      </c>
      <c r="K541" s="1" t="s">
        <v>31</v>
      </c>
      <c r="L541" s="1">
        <v>85209</v>
      </c>
      <c r="M541" s="1" t="s">
        <v>32</v>
      </c>
      <c r="O541" s="1" t="s">
        <v>3623</v>
      </c>
      <c r="P541" s="1" t="s">
        <v>3624</v>
      </c>
      <c r="Q541" s="98" t="s">
        <v>3625</v>
      </c>
      <c r="R541" s="1">
        <v>90965</v>
      </c>
      <c r="V541" s="4" t="s">
        <v>36</v>
      </c>
      <c r="W541" s="4" t="s">
        <v>37</v>
      </c>
      <c r="X541" s="1" t="s">
        <v>59</v>
      </c>
      <c r="Y541" s="167" t="s">
        <v>39</v>
      </c>
      <c r="Z541" s="168"/>
    </row>
    <row r="542" spans="1:26" s="4" customFormat="1" ht="15" customHeight="1">
      <c r="A542" s="164" t="s">
        <v>812</v>
      </c>
      <c r="B542" s="29" t="s">
        <v>478</v>
      </c>
      <c r="C542" s="4" t="s">
        <v>3626</v>
      </c>
      <c r="D542" s="130"/>
      <c r="E542" s="2">
        <v>45049</v>
      </c>
      <c r="F542" s="60">
        <f>E542+14</f>
        <v>45063</v>
      </c>
      <c r="G542" s="2"/>
      <c r="H542" s="41" t="s">
        <v>528</v>
      </c>
      <c r="I542" s="15" t="s">
        <v>3627</v>
      </c>
      <c r="J542" s="1" t="s">
        <v>844</v>
      </c>
      <c r="K542" s="1" t="s">
        <v>31</v>
      </c>
      <c r="L542" s="1">
        <v>85395</v>
      </c>
      <c r="M542" s="1" t="s">
        <v>32</v>
      </c>
      <c r="O542" s="1" t="s">
        <v>1631</v>
      </c>
      <c r="P542" s="1" t="s">
        <v>1632</v>
      </c>
      <c r="Q542" s="87" t="s">
        <v>3628</v>
      </c>
      <c r="R542" s="31">
        <v>92917</v>
      </c>
      <c r="V542" s="4" t="s">
        <v>443</v>
      </c>
      <c r="W542" s="4" t="s">
        <v>37</v>
      </c>
      <c r="X542" s="4" t="s">
        <v>616</v>
      </c>
      <c r="Y542" s="235" t="s">
        <v>617</v>
      </c>
      <c r="Z542" s="167" t="s">
        <v>364</v>
      </c>
    </row>
    <row r="543" spans="1:26" s="4" customFormat="1" ht="15.75" customHeight="1">
      <c r="A543" s="163" t="s">
        <v>25</v>
      </c>
      <c r="B543" s="70" t="s">
        <v>150</v>
      </c>
      <c r="C543" s="56" t="s">
        <v>3629</v>
      </c>
      <c r="D543" s="60"/>
      <c r="E543" s="2">
        <v>45058</v>
      </c>
      <c r="F543" s="60">
        <f t="shared" ref="F543" si="35">E543+14</f>
        <v>45072</v>
      </c>
      <c r="G543" s="60"/>
      <c r="H543" s="54" t="s">
        <v>3630</v>
      </c>
      <c r="I543" s="80" t="s">
        <v>3631</v>
      </c>
      <c r="J543" s="55" t="s">
        <v>415</v>
      </c>
      <c r="K543" s="55" t="s">
        <v>31</v>
      </c>
      <c r="L543" s="55" t="s">
        <v>3632</v>
      </c>
      <c r="M543" s="55" t="s">
        <v>32</v>
      </c>
      <c r="N543" s="56"/>
      <c r="O543" s="1" t="s">
        <v>3633</v>
      </c>
      <c r="P543" s="229" t="s">
        <v>3634</v>
      </c>
      <c r="Q543" s="252" t="s">
        <v>3635</v>
      </c>
      <c r="R543" s="100" t="s">
        <v>318</v>
      </c>
      <c r="V543" s="4" t="s">
        <v>36</v>
      </c>
      <c r="W543" s="4" t="s">
        <v>37</v>
      </c>
      <c r="X543" s="1" t="s">
        <v>59</v>
      </c>
      <c r="Y543" s="167" t="s">
        <v>39</v>
      </c>
      <c r="Z543" s="168"/>
    </row>
    <row r="544" spans="1:26" s="4" customFormat="1">
      <c r="A544" s="163" t="s">
        <v>25</v>
      </c>
      <c r="B544" s="29" t="s">
        <v>864</v>
      </c>
      <c r="C544" s="29" t="s">
        <v>3636</v>
      </c>
      <c r="D544" s="2"/>
      <c r="E544" s="2">
        <v>45048</v>
      </c>
      <c r="F544" s="2">
        <f>E544+14</f>
        <v>45062</v>
      </c>
      <c r="G544" s="2"/>
      <c r="H544" s="1" t="s">
        <v>184</v>
      </c>
      <c r="I544" s="15" t="s">
        <v>3637</v>
      </c>
      <c r="J544" s="1" t="s">
        <v>49</v>
      </c>
      <c r="K544" s="1" t="s">
        <v>31</v>
      </c>
      <c r="L544" s="1"/>
      <c r="M544" s="1" t="s">
        <v>32</v>
      </c>
      <c r="N544" s="1" t="s">
        <v>1227</v>
      </c>
      <c r="O544" s="1" t="s">
        <v>364</v>
      </c>
      <c r="P544" s="1" t="s">
        <v>1453</v>
      </c>
      <c r="Q544" s="87" t="s">
        <v>364</v>
      </c>
      <c r="R544" s="1">
        <v>79059</v>
      </c>
      <c r="V544" s="4" t="s">
        <v>36</v>
      </c>
      <c r="W544" s="4" t="s">
        <v>37</v>
      </c>
      <c r="X544" s="1" t="s">
        <v>59</v>
      </c>
      <c r="Y544" s="167" t="s">
        <v>39</v>
      </c>
      <c r="Z544" s="168"/>
    </row>
    <row r="545" spans="1:38" s="4" customFormat="1">
      <c r="A545" s="164" t="s">
        <v>812</v>
      </c>
      <c r="B545" s="29" t="s">
        <v>258</v>
      </c>
      <c r="C545" s="4" t="s">
        <v>3638</v>
      </c>
      <c r="D545" s="2"/>
      <c r="E545" s="2">
        <v>45042</v>
      </c>
      <c r="F545" s="2">
        <f>E545+14</f>
        <v>45056</v>
      </c>
      <c r="G545" s="2" t="s">
        <v>364</v>
      </c>
      <c r="H545" s="41" t="s">
        <v>184</v>
      </c>
      <c r="I545" s="15" t="s">
        <v>3639</v>
      </c>
      <c r="J545" s="1" t="s">
        <v>894</v>
      </c>
      <c r="K545" s="1" t="s">
        <v>31</v>
      </c>
      <c r="L545" s="1"/>
      <c r="M545" s="1" t="s">
        <v>32</v>
      </c>
      <c r="O545" s="179" t="s">
        <v>669</v>
      </c>
      <c r="P545" s="179" t="s">
        <v>3640</v>
      </c>
      <c r="Q545" s="162" t="s">
        <v>3641</v>
      </c>
      <c r="R545" s="31">
        <v>91340</v>
      </c>
      <c r="V545" s="4" t="s">
        <v>443</v>
      </c>
      <c r="W545" s="4" t="s">
        <v>37</v>
      </c>
      <c r="X545" s="4" t="s">
        <v>616</v>
      </c>
      <c r="Y545" s="235" t="s">
        <v>617</v>
      </c>
      <c r="Z545" s="167" t="s">
        <v>364</v>
      </c>
    </row>
    <row r="546" spans="1:38" s="4" customFormat="1" ht="15" customHeight="1">
      <c r="A546" s="164" t="s">
        <v>812</v>
      </c>
      <c r="B546" s="29" t="s">
        <v>559</v>
      </c>
      <c r="C546" s="4" t="s">
        <v>3642</v>
      </c>
      <c r="D546" s="130"/>
      <c r="E546" s="2">
        <v>45054</v>
      </c>
      <c r="F546" s="2">
        <f>E546+14</f>
        <v>45068</v>
      </c>
      <c r="G546" s="2"/>
      <c r="H546" s="41">
        <v>702</v>
      </c>
      <c r="I546" s="15" t="s">
        <v>3643</v>
      </c>
      <c r="J546" s="1" t="s">
        <v>434</v>
      </c>
      <c r="K546" s="1" t="s">
        <v>31</v>
      </c>
      <c r="L546" s="1">
        <v>85207</v>
      </c>
      <c r="M546" s="1" t="s">
        <v>32</v>
      </c>
      <c r="O546" s="1" t="s">
        <v>3644</v>
      </c>
      <c r="P546" s="1" t="s">
        <v>3645</v>
      </c>
      <c r="Q546" s="129" t="s">
        <v>3646</v>
      </c>
      <c r="R546" s="31">
        <v>92777</v>
      </c>
      <c r="V546" s="4" t="s">
        <v>443</v>
      </c>
      <c r="W546" s="4" t="s">
        <v>37</v>
      </c>
      <c r="X546" s="4" t="s">
        <v>616</v>
      </c>
      <c r="Y546" s="241" t="s">
        <v>617</v>
      </c>
      <c r="Z546" s="167" t="s">
        <v>364</v>
      </c>
    </row>
    <row r="547" spans="1:38" s="4" customFormat="1" ht="15.75" customHeight="1">
      <c r="A547" s="164" t="s">
        <v>812</v>
      </c>
      <c r="B547" s="29" t="s">
        <v>323</v>
      </c>
      <c r="C547" s="4" t="s">
        <v>3647</v>
      </c>
      <c r="D547" s="130"/>
      <c r="E547" s="2">
        <v>45054</v>
      </c>
      <c r="F547" s="2">
        <f t="shared" ref="F547" si="36">E547+14</f>
        <v>45068</v>
      </c>
      <c r="G547" s="2"/>
      <c r="H547" s="41">
        <v>2335</v>
      </c>
      <c r="I547" s="15" t="s">
        <v>3648</v>
      </c>
      <c r="J547" s="1" t="s">
        <v>434</v>
      </c>
      <c r="K547" s="1" t="s">
        <v>31</v>
      </c>
      <c r="L547" s="1">
        <v>85027</v>
      </c>
      <c r="M547" s="1" t="s">
        <v>32</v>
      </c>
      <c r="O547" s="1" t="s">
        <v>3649</v>
      </c>
      <c r="P547" s="1" t="s">
        <v>3650</v>
      </c>
      <c r="Q547" s="98" t="s">
        <v>3651</v>
      </c>
      <c r="R547" s="31">
        <v>92383</v>
      </c>
      <c r="V547" s="4" t="s">
        <v>443</v>
      </c>
      <c r="W547" s="4" t="s">
        <v>37</v>
      </c>
      <c r="X547" s="4" t="s">
        <v>616</v>
      </c>
      <c r="Y547" s="235" t="s">
        <v>617</v>
      </c>
      <c r="Z547" s="167" t="s">
        <v>364</v>
      </c>
    </row>
    <row r="548" spans="1:38" s="4" customFormat="1" ht="16.5" customHeight="1">
      <c r="A548" s="164" t="s">
        <v>812</v>
      </c>
      <c r="B548" s="70" t="s">
        <v>3652</v>
      </c>
      <c r="C548" s="56" t="s">
        <v>3653</v>
      </c>
      <c r="D548" s="60"/>
      <c r="E548" s="2">
        <v>45042</v>
      </c>
      <c r="F548" s="60">
        <f>E548+28</f>
        <v>45070</v>
      </c>
      <c r="G548" s="60"/>
      <c r="H548" s="54" t="s">
        <v>3654</v>
      </c>
      <c r="I548" s="80" t="s">
        <v>2174</v>
      </c>
      <c r="J548" s="55" t="s">
        <v>434</v>
      </c>
      <c r="K548" s="55" t="s">
        <v>31</v>
      </c>
      <c r="L548" s="55"/>
      <c r="M548" s="55" t="s">
        <v>32</v>
      </c>
      <c r="N548" s="56"/>
      <c r="O548" s="55" t="s">
        <v>3655</v>
      </c>
      <c r="P548" s="55" t="s">
        <v>3656</v>
      </c>
      <c r="Q548" s="240" t="s">
        <v>3657</v>
      </c>
      <c r="R548" s="57"/>
      <c r="V548" s="4" t="s">
        <v>443</v>
      </c>
      <c r="W548" s="4" t="s">
        <v>37</v>
      </c>
      <c r="X548" s="4" t="s">
        <v>616</v>
      </c>
      <c r="Y548" s="241" t="s">
        <v>617</v>
      </c>
      <c r="Z548" s="167" t="s">
        <v>364</v>
      </c>
    </row>
    <row r="549" spans="1:38" s="4" customFormat="1">
      <c r="A549" s="164" t="s">
        <v>812</v>
      </c>
      <c r="B549" s="29" t="s">
        <v>2719</v>
      </c>
      <c r="C549" s="4" t="s">
        <v>3658</v>
      </c>
      <c r="D549" s="2">
        <v>44827</v>
      </c>
      <c r="E549" s="2">
        <v>45057</v>
      </c>
      <c r="F549" s="2">
        <f>E549+14</f>
        <v>45071</v>
      </c>
      <c r="G549" s="2"/>
      <c r="H549" s="41">
        <v>13025</v>
      </c>
      <c r="I549" s="15" t="s">
        <v>611</v>
      </c>
      <c r="J549" s="1" t="s">
        <v>612</v>
      </c>
      <c r="K549" s="1" t="s">
        <v>31</v>
      </c>
      <c r="L549" s="1">
        <v>85340</v>
      </c>
      <c r="M549" s="1" t="s">
        <v>32</v>
      </c>
      <c r="O549" s="1" t="s">
        <v>3659</v>
      </c>
      <c r="P549" s="1" t="s">
        <v>3660</v>
      </c>
      <c r="Q549" s="87" t="s">
        <v>3661</v>
      </c>
      <c r="R549" s="31">
        <v>96030</v>
      </c>
      <c r="V549" s="4" t="s">
        <v>443</v>
      </c>
      <c r="W549" s="4" t="s">
        <v>37</v>
      </c>
      <c r="X549" s="4" t="s">
        <v>616</v>
      </c>
      <c r="Y549" s="235" t="s">
        <v>617</v>
      </c>
      <c r="Z549" s="167" t="s">
        <v>364</v>
      </c>
    </row>
    <row r="550" spans="1:38" s="4" customFormat="1" ht="15" customHeight="1">
      <c r="A550" s="164" t="s">
        <v>812</v>
      </c>
      <c r="B550" s="70" t="s">
        <v>2096</v>
      </c>
      <c r="C550" s="56" t="s">
        <v>3662</v>
      </c>
      <c r="D550" s="60"/>
      <c r="E550" s="2">
        <v>45055</v>
      </c>
      <c r="F550" s="60">
        <f>E550+14</f>
        <v>45069</v>
      </c>
      <c r="G550" s="60"/>
      <c r="H550" s="76" t="s">
        <v>3663</v>
      </c>
      <c r="I550" s="80" t="s">
        <v>3384</v>
      </c>
      <c r="J550" s="55" t="s">
        <v>844</v>
      </c>
      <c r="K550" s="55" t="s">
        <v>31</v>
      </c>
      <c r="L550" s="55" t="s">
        <v>1685</v>
      </c>
      <c r="M550" s="55" t="s">
        <v>32</v>
      </c>
      <c r="N550" s="56"/>
      <c r="O550" s="55" t="s">
        <v>3664</v>
      </c>
      <c r="P550" s="55" t="s">
        <v>3665</v>
      </c>
      <c r="Q550" s="240" t="s">
        <v>3666</v>
      </c>
      <c r="R550" s="57">
        <v>88644</v>
      </c>
      <c r="V550" s="4" t="s">
        <v>443</v>
      </c>
      <c r="W550" s="4" t="s">
        <v>37</v>
      </c>
      <c r="X550" s="4" t="s">
        <v>616</v>
      </c>
      <c r="Y550" s="241" t="s">
        <v>617</v>
      </c>
      <c r="Z550" s="167" t="s">
        <v>364</v>
      </c>
    </row>
    <row r="551" spans="1:38" s="4" customFormat="1" ht="15" customHeight="1">
      <c r="A551" s="164" t="s">
        <v>812</v>
      </c>
      <c r="B551" s="65" t="s">
        <v>3667</v>
      </c>
      <c r="C551" s="4" t="s">
        <v>3668</v>
      </c>
      <c r="D551" s="2"/>
      <c r="E551" s="2">
        <v>45063</v>
      </c>
      <c r="F551" s="60">
        <f t="shared" ref="F551" si="37">E551+14</f>
        <v>45077</v>
      </c>
      <c r="G551" s="2"/>
      <c r="H551" s="2"/>
      <c r="I551" s="15" t="s">
        <v>3669</v>
      </c>
      <c r="J551" s="1" t="s">
        <v>844</v>
      </c>
      <c r="K551" s="1" t="s">
        <v>31</v>
      </c>
      <c r="L551" s="1"/>
      <c r="M551" s="1" t="s">
        <v>32</v>
      </c>
      <c r="N551" s="1" t="s">
        <v>3670</v>
      </c>
      <c r="O551" s="1" t="s">
        <v>3671</v>
      </c>
      <c r="P551" s="1" t="s">
        <v>3672</v>
      </c>
      <c r="Q551" s="239" t="s">
        <v>3673</v>
      </c>
      <c r="R551" s="1">
        <v>88986</v>
      </c>
      <c r="S551" s="1"/>
      <c r="T551" s="1"/>
      <c r="U551" s="1"/>
      <c r="V551" s="4" t="s">
        <v>443</v>
      </c>
      <c r="W551" s="4" t="s">
        <v>37</v>
      </c>
      <c r="X551" s="4" t="s">
        <v>616</v>
      </c>
      <c r="Y551" s="235" t="s">
        <v>617</v>
      </c>
      <c r="Z551" s="167" t="s">
        <v>364</v>
      </c>
    </row>
    <row r="552" spans="1:38" s="4" customFormat="1">
      <c r="A552" s="163" t="s">
        <v>25</v>
      </c>
      <c r="B552" s="15" t="s">
        <v>3674</v>
      </c>
      <c r="C552" s="29" t="s">
        <v>3675</v>
      </c>
      <c r="E552" s="2">
        <v>45076</v>
      </c>
      <c r="F552" s="2">
        <f>E552+14</f>
        <v>45090</v>
      </c>
      <c r="G552" s="15"/>
      <c r="H552" s="1">
        <v>5134</v>
      </c>
      <c r="I552" s="4" t="s">
        <v>3676</v>
      </c>
      <c r="J552" s="1" t="s">
        <v>434</v>
      </c>
      <c r="K552" s="1" t="s">
        <v>31</v>
      </c>
      <c r="L552" s="1">
        <v>85018</v>
      </c>
      <c r="M552" s="1" t="s">
        <v>32</v>
      </c>
      <c r="O552" s="1" t="s">
        <v>3677</v>
      </c>
      <c r="P552" s="1" t="s">
        <v>3678</v>
      </c>
      <c r="Q552" s="87" t="s">
        <v>3679</v>
      </c>
      <c r="R552" s="1">
        <v>90066</v>
      </c>
      <c r="V552" s="4" t="s">
        <v>36</v>
      </c>
      <c r="W552" s="4" t="s">
        <v>37</v>
      </c>
      <c r="X552" s="1" t="s">
        <v>59</v>
      </c>
      <c r="Y552" s="167" t="s">
        <v>39</v>
      </c>
      <c r="Z552" s="168"/>
    </row>
    <row r="553" spans="1:38" s="4" customFormat="1" ht="15" customHeight="1">
      <c r="A553" s="163" t="s">
        <v>25</v>
      </c>
      <c r="B553" s="70" t="s">
        <v>478</v>
      </c>
      <c r="C553" s="56" t="s">
        <v>3680</v>
      </c>
      <c r="D553" s="60"/>
      <c r="E553" s="2">
        <v>45075</v>
      </c>
      <c r="F553" s="60">
        <f>E553+14</f>
        <v>45089</v>
      </c>
      <c r="G553" s="60"/>
      <c r="H553" s="54" t="s">
        <v>3450</v>
      </c>
      <c r="I553" s="80" t="s">
        <v>3451</v>
      </c>
      <c r="J553" s="55" t="s">
        <v>45</v>
      </c>
      <c r="K553" s="55" t="s">
        <v>31</v>
      </c>
      <c r="L553" s="55"/>
      <c r="M553" s="55" t="s">
        <v>32</v>
      </c>
      <c r="N553" s="56"/>
      <c r="O553" s="55" t="s">
        <v>1642</v>
      </c>
      <c r="P553" s="55" t="s">
        <v>3452</v>
      </c>
      <c r="Q553" s="128" t="s">
        <v>3453</v>
      </c>
      <c r="R553" s="57">
        <v>89025</v>
      </c>
      <c r="S553" s="53"/>
      <c r="T553" s="53"/>
      <c r="V553" s="4" t="s">
        <v>443</v>
      </c>
      <c r="W553" s="4" t="s">
        <v>37</v>
      </c>
      <c r="X553" s="4" t="s">
        <v>38</v>
      </c>
      <c r="Y553" s="167" t="s">
        <v>39</v>
      </c>
      <c r="Z553" s="168"/>
    </row>
    <row r="554" spans="1:38" s="4" customFormat="1" ht="15" customHeight="1">
      <c r="A554" s="163" t="s">
        <v>25</v>
      </c>
      <c r="B554" s="29" t="s">
        <v>3437</v>
      </c>
      <c r="C554" s="29" t="s">
        <v>3681</v>
      </c>
      <c r="D554" s="2">
        <v>44755</v>
      </c>
      <c r="E554" s="2">
        <v>45075</v>
      </c>
      <c r="F554" s="2">
        <f>E554+14</f>
        <v>45089</v>
      </c>
      <c r="G554" s="15"/>
      <c r="H554" s="1">
        <v>6238</v>
      </c>
      <c r="I554" s="4" t="s">
        <v>3682</v>
      </c>
      <c r="J554" s="1" t="s">
        <v>2478</v>
      </c>
      <c r="K554" s="1" t="s">
        <v>31</v>
      </c>
      <c r="L554" s="1">
        <v>85132</v>
      </c>
      <c r="M554" s="1" t="s">
        <v>32</v>
      </c>
      <c r="O554" s="1" t="s">
        <v>3683</v>
      </c>
      <c r="P554" s="1" t="s">
        <v>3684</v>
      </c>
      <c r="Q554" s="87" t="s">
        <v>3685</v>
      </c>
      <c r="R554" s="1">
        <v>95220</v>
      </c>
      <c r="V554" s="4" t="s">
        <v>36</v>
      </c>
      <c r="W554" s="4" t="s">
        <v>37</v>
      </c>
      <c r="X554" s="1" t="s">
        <v>59</v>
      </c>
      <c r="Y554" s="167" t="s">
        <v>39</v>
      </c>
      <c r="Z554" s="168"/>
    </row>
    <row r="555" spans="1:38" s="4" customFormat="1" ht="17.25" customHeight="1">
      <c r="A555" s="163" t="s">
        <v>25</v>
      </c>
      <c r="B555" s="15" t="s">
        <v>768</v>
      </c>
      <c r="C555" s="4" t="s">
        <v>3686</v>
      </c>
      <c r="D555" s="130"/>
      <c r="E555" s="2">
        <v>45077</v>
      </c>
      <c r="F555" s="60">
        <f>E555+14</f>
        <v>45091</v>
      </c>
      <c r="G555" s="2"/>
      <c r="H555" s="41">
        <v>14601</v>
      </c>
      <c r="I555" s="15" t="s">
        <v>3687</v>
      </c>
      <c r="J555" s="1" t="s">
        <v>398</v>
      </c>
      <c r="K555" s="1" t="s">
        <v>31</v>
      </c>
      <c r="L555" s="1">
        <v>85260</v>
      </c>
      <c r="M555" s="1" t="s">
        <v>32</v>
      </c>
      <c r="O555" s="1" t="s">
        <v>3688</v>
      </c>
      <c r="P555" s="1" t="s">
        <v>3689</v>
      </c>
      <c r="Q555" s="87" t="s">
        <v>3690</v>
      </c>
      <c r="R555" s="31">
        <v>95940</v>
      </c>
      <c r="V555" s="4" t="s">
        <v>36</v>
      </c>
      <c r="W555" s="4" t="s">
        <v>37</v>
      </c>
      <c r="X555" s="1" t="s">
        <v>59</v>
      </c>
      <c r="Y555" s="167" t="s">
        <v>39</v>
      </c>
    </row>
    <row r="556" spans="1:38" s="4" customFormat="1">
      <c r="A556" s="164" t="s">
        <v>812</v>
      </c>
      <c r="B556" s="29" t="s">
        <v>3691</v>
      </c>
      <c r="C556" s="4" t="s">
        <v>3692</v>
      </c>
      <c r="D556" s="130"/>
      <c r="E556" s="2">
        <v>45092</v>
      </c>
      <c r="F556" s="2">
        <f>E556+14</f>
        <v>45106</v>
      </c>
      <c r="G556" s="2"/>
      <c r="H556" s="41">
        <v>1645</v>
      </c>
      <c r="I556" s="15" t="s">
        <v>3693</v>
      </c>
      <c r="J556" s="1" t="s">
        <v>434</v>
      </c>
      <c r="K556" s="1" t="s">
        <v>31</v>
      </c>
      <c r="L556" s="1"/>
      <c r="M556" s="1" t="s">
        <v>32</v>
      </c>
      <c r="O556" s="1" t="s">
        <v>2902</v>
      </c>
      <c r="P556" s="1" t="s">
        <v>3694</v>
      </c>
      <c r="Q556" s="87" t="s">
        <v>3695</v>
      </c>
      <c r="R556" s="31">
        <v>96731</v>
      </c>
      <c r="V556" s="4" t="s">
        <v>443</v>
      </c>
      <c r="W556" s="4" t="s">
        <v>37</v>
      </c>
      <c r="X556" s="4" t="s">
        <v>616</v>
      </c>
      <c r="Y556" s="235" t="s">
        <v>617</v>
      </c>
      <c r="Z556" s="167" t="s">
        <v>364</v>
      </c>
    </row>
    <row r="557" spans="1:38" s="4" customFormat="1" ht="15" customHeight="1">
      <c r="A557" s="164" t="s">
        <v>812</v>
      </c>
      <c r="B557" s="15" t="s">
        <v>2444</v>
      </c>
      <c r="C557" s="56" t="s">
        <v>3696</v>
      </c>
      <c r="D557" s="60"/>
      <c r="E557" s="2">
        <v>45090</v>
      </c>
      <c r="F557" s="60">
        <f t="shared" ref="F557" si="38">E557+14</f>
        <v>45104</v>
      </c>
      <c r="G557" s="60"/>
      <c r="H557" s="54" t="s">
        <v>379</v>
      </c>
      <c r="I557" s="80" t="s">
        <v>3697</v>
      </c>
      <c r="J557" s="55" t="s">
        <v>831</v>
      </c>
      <c r="K557" s="55" t="s">
        <v>31</v>
      </c>
      <c r="L557" s="55" t="s">
        <v>2337</v>
      </c>
      <c r="M557" s="55" t="s">
        <v>32</v>
      </c>
      <c r="N557" s="56"/>
      <c r="O557" s="55" t="s">
        <v>3698</v>
      </c>
      <c r="P557" s="55" t="s">
        <v>3699</v>
      </c>
      <c r="Q557" s="89" t="s">
        <v>3700</v>
      </c>
      <c r="R557" s="57">
        <v>87925</v>
      </c>
      <c r="S557" s="53"/>
      <c r="T557" s="53"/>
      <c r="V557" s="4" t="s">
        <v>443</v>
      </c>
      <c r="W557" s="4" t="s">
        <v>37</v>
      </c>
      <c r="X557" s="4" t="s">
        <v>616</v>
      </c>
      <c r="Y557" s="235" t="s">
        <v>617</v>
      </c>
      <c r="Z557" s="167" t="s">
        <v>364</v>
      </c>
    </row>
    <row r="558" spans="1:38" s="4" customFormat="1">
      <c r="A558" s="164" t="s">
        <v>812</v>
      </c>
      <c r="B558" s="29" t="s">
        <v>258</v>
      </c>
      <c r="C558" s="4" t="s">
        <v>3701</v>
      </c>
      <c r="D558" s="2"/>
      <c r="E558" s="2">
        <v>45105</v>
      </c>
      <c r="F558" s="2">
        <f>E558+14</f>
        <v>45119</v>
      </c>
      <c r="G558" s="2"/>
      <c r="H558" s="41" t="s">
        <v>379</v>
      </c>
      <c r="I558" s="15" t="s">
        <v>3702</v>
      </c>
      <c r="J558" s="1" t="s">
        <v>844</v>
      </c>
      <c r="K558" s="1" t="s">
        <v>31</v>
      </c>
      <c r="L558" s="1"/>
      <c r="M558" s="1" t="s">
        <v>32</v>
      </c>
      <c r="O558" s="1" t="s">
        <v>654</v>
      </c>
      <c r="P558" s="1" t="s">
        <v>3703</v>
      </c>
      <c r="Q558" s="87" t="s">
        <v>3704</v>
      </c>
      <c r="R558" s="31">
        <v>90926</v>
      </c>
      <c r="V558" s="4" t="s">
        <v>443</v>
      </c>
      <c r="W558" s="4" t="s">
        <v>37</v>
      </c>
      <c r="X558" s="4" t="s">
        <v>616</v>
      </c>
      <c r="Y558" s="235" t="s">
        <v>617</v>
      </c>
      <c r="Z558" s="167" t="s">
        <v>364</v>
      </c>
      <c r="AA558" s="119"/>
      <c r="AB558" s="119"/>
      <c r="AC558" s="119"/>
      <c r="AD558" s="119"/>
      <c r="AE558" s="119"/>
      <c r="AF558" s="119"/>
      <c r="AG558" s="119"/>
      <c r="AH558" s="119"/>
      <c r="AI558" s="119"/>
      <c r="AJ558" s="119"/>
      <c r="AK558" s="119"/>
      <c r="AL558" s="119"/>
    </row>
    <row r="559" spans="1:38" s="4" customFormat="1">
      <c r="A559" s="164" t="s">
        <v>812</v>
      </c>
      <c r="B559" s="29" t="s">
        <v>3705</v>
      </c>
      <c r="C559" s="4" t="s">
        <v>3706</v>
      </c>
      <c r="D559" s="2">
        <v>44811</v>
      </c>
      <c r="E559" s="2">
        <v>45100</v>
      </c>
      <c r="F559" s="2">
        <f>E559+28</f>
        <v>45128</v>
      </c>
      <c r="G559" s="2"/>
      <c r="H559" s="41" t="s">
        <v>379</v>
      </c>
      <c r="I559" s="15" t="s">
        <v>3707</v>
      </c>
      <c r="J559" s="1" t="s">
        <v>822</v>
      </c>
      <c r="K559" s="1" t="s">
        <v>31</v>
      </c>
      <c r="L559" s="1">
        <v>85305</v>
      </c>
      <c r="M559" s="1" t="s">
        <v>32</v>
      </c>
      <c r="O559" s="1" t="s">
        <v>3708</v>
      </c>
      <c r="P559" s="1" t="s">
        <v>3709</v>
      </c>
      <c r="Q559" s="129" t="s">
        <v>3710</v>
      </c>
      <c r="R559" s="31">
        <v>94870</v>
      </c>
      <c r="V559" s="4" t="s">
        <v>443</v>
      </c>
      <c r="W559" s="4" t="s">
        <v>37</v>
      </c>
      <c r="X559" s="4" t="s">
        <v>616</v>
      </c>
      <c r="Y559" s="241" t="s">
        <v>617</v>
      </c>
      <c r="Z559" s="167" t="s">
        <v>364</v>
      </c>
    </row>
    <row r="560" spans="1:38" s="4" customFormat="1" ht="16.5" customHeight="1">
      <c r="A560" s="163" t="s">
        <v>25</v>
      </c>
      <c r="B560" s="29" t="s">
        <v>150</v>
      </c>
      <c r="C560" s="4" t="s">
        <v>3711</v>
      </c>
      <c r="D560" s="130"/>
      <c r="E560" s="2">
        <v>45100</v>
      </c>
      <c r="F560" s="2">
        <f t="shared" ref="F560" si="39">E560+14</f>
        <v>45114</v>
      </c>
      <c r="G560" s="2"/>
      <c r="H560" s="41">
        <v>1350</v>
      </c>
      <c r="I560" s="15" t="s">
        <v>3712</v>
      </c>
      <c r="J560" s="1" t="s">
        <v>69</v>
      </c>
      <c r="K560" s="1" t="s">
        <v>31</v>
      </c>
      <c r="L560" s="1">
        <v>85226</v>
      </c>
      <c r="M560" s="1" t="s">
        <v>32</v>
      </c>
      <c r="O560" s="1" t="s">
        <v>3713</v>
      </c>
      <c r="P560" s="1" t="s">
        <v>3714</v>
      </c>
      <c r="Q560" s="87" t="s">
        <v>3715</v>
      </c>
      <c r="R560" s="31">
        <v>98385</v>
      </c>
      <c r="V560" s="4" t="s">
        <v>36</v>
      </c>
      <c r="W560" s="4" t="s">
        <v>37</v>
      </c>
      <c r="X560" s="1" t="s">
        <v>59</v>
      </c>
      <c r="Y560" s="167" t="s">
        <v>39</v>
      </c>
    </row>
    <row r="561" spans="1:26" s="4" customFormat="1">
      <c r="A561" s="94" t="s">
        <v>1234</v>
      </c>
      <c r="B561" s="29" t="s">
        <v>989</v>
      </c>
      <c r="C561" s="4" t="s">
        <v>3716</v>
      </c>
      <c r="D561" s="2"/>
      <c r="E561" s="2"/>
      <c r="F561" s="2"/>
      <c r="G561" s="2"/>
      <c r="H561" s="41">
        <v>7760</v>
      </c>
      <c r="I561" s="15" t="s">
        <v>1549</v>
      </c>
      <c r="J561" s="1" t="s">
        <v>916</v>
      </c>
      <c r="K561" s="1" t="s">
        <v>31</v>
      </c>
      <c r="L561" s="1">
        <v>85743</v>
      </c>
      <c r="M561" s="1" t="s">
        <v>32</v>
      </c>
      <c r="O561" s="1" t="s">
        <v>3717</v>
      </c>
      <c r="P561" s="1" t="s">
        <v>3718</v>
      </c>
      <c r="Q561" s="162" t="s">
        <v>3719</v>
      </c>
      <c r="R561" s="31"/>
      <c r="V561" s="4" t="s">
        <v>443</v>
      </c>
      <c r="W561" s="4" t="s">
        <v>1418</v>
      </c>
      <c r="Y561" s="15"/>
    </row>
    <row r="562" spans="1:26" s="4" customFormat="1" ht="15" customHeight="1">
      <c r="A562" s="164" t="s">
        <v>812</v>
      </c>
      <c r="B562" s="29" t="s">
        <v>3720</v>
      </c>
      <c r="C562" s="4" t="s">
        <v>3721</v>
      </c>
      <c r="D562" s="130"/>
      <c r="E562" s="2">
        <v>45113</v>
      </c>
      <c r="F562" s="2">
        <f>E562+14</f>
        <v>45127</v>
      </c>
      <c r="G562" s="2"/>
      <c r="H562" s="41"/>
      <c r="I562" s="15" t="s">
        <v>3722</v>
      </c>
      <c r="J562" s="1" t="s">
        <v>837</v>
      </c>
      <c r="K562" s="1" t="s">
        <v>31</v>
      </c>
      <c r="L562" s="1"/>
      <c r="M562" s="1" t="s">
        <v>32</v>
      </c>
      <c r="O562" s="1" t="s">
        <v>3723</v>
      </c>
      <c r="P562" s="1" t="s">
        <v>3724</v>
      </c>
      <c r="Q562" s="184" t="s">
        <v>3725</v>
      </c>
      <c r="R562" s="31">
        <v>92496</v>
      </c>
      <c r="V562" s="4" t="s">
        <v>443</v>
      </c>
      <c r="W562" s="4" t="s">
        <v>37</v>
      </c>
      <c r="X562" s="4" t="s">
        <v>616</v>
      </c>
      <c r="Y562" s="235" t="s">
        <v>617</v>
      </c>
      <c r="Z562" s="167" t="s">
        <v>364</v>
      </c>
    </row>
    <row r="563" spans="1:26" s="4" customFormat="1" ht="15" customHeight="1">
      <c r="A563" s="163" t="s">
        <v>25</v>
      </c>
      <c r="B563" s="70" t="s">
        <v>323</v>
      </c>
      <c r="C563" s="56" t="s">
        <v>3726</v>
      </c>
      <c r="D563" s="60"/>
      <c r="E563" s="2">
        <v>45121</v>
      </c>
      <c r="F563" s="60">
        <f t="shared" ref="F563" si="40">E563+14</f>
        <v>45135</v>
      </c>
      <c r="G563" s="60"/>
      <c r="H563" s="54" t="s">
        <v>3727</v>
      </c>
      <c r="I563" s="80" t="s">
        <v>1917</v>
      </c>
      <c r="J563" s="55" t="s">
        <v>398</v>
      </c>
      <c r="K563" s="55" t="s">
        <v>31</v>
      </c>
      <c r="L563" s="55" t="s">
        <v>2731</v>
      </c>
      <c r="M563" s="55" t="s">
        <v>32</v>
      </c>
      <c r="N563" s="56"/>
      <c r="O563" s="55" t="s">
        <v>698</v>
      </c>
      <c r="P563" s="55" t="s">
        <v>3728</v>
      </c>
      <c r="Q563" s="89" t="s">
        <v>3729</v>
      </c>
      <c r="R563" s="57">
        <v>89217</v>
      </c>
      <c r="V563" s="4" t="s">
        <v>36</v>
      </c>
      <c r="W563" s="4" t="s">
        <v>37</v>
      </c>
      <c r="X563" s="1" t="s">
        <v>59</v>
      </c>
      <c r="Y563" s="167" t="s">
        <v>39</v>
      </c>
      <c r="Z563" s="168"/>
    </row>
    <row r="564" spans="1:26" s="4" customFormat="1">
      <c r="A564" s="94" t="s">
        <v>3604</v>
      </c>
      <c r="B564" s="29" t="s">
        <v>3730</v>
      </c>
      <c r="C564" s="4" t="s">
        <v>3731</v>
      </c>
      <c r="D564" s="130"/>
      <c r="E564" s="2"/>
      <c r="F564" s="2"/>
      <c r="G564" s="2"/>
      <c r="H564" s="41" t="s">
        <v>3732</v>
      </c>
      <c r="I564" s="15" t="s">
        <v>3733</v>
      </c>
      <c r="J564" s="1" t="s">
        <v>916</v>
      </c>
      <c r="K564" s="1" t="s">
        <v>31</v>
      </c>
      <c r="L564" s="1">
        <v>85741</v>
      </c>
      <c r="M564" s="1" t="s">
        <v>32</v>
      </c>
      <c r="O564" s="1" t="s">
        <v>3734</v>
      </c>
      <c r="P564" s="1" t="s">
        <v>3735</v>
      </c>
      <c r="Q564" s="1"/>
      <c r="R564" s="31"/>
      <c r="V564" s="4" t="s">
        <v>443</v>
      </c>
      <c r="W564" s="4" t="s">
        <v>1418</v>
      </c>
      <c r="Y564" s="15"/>
    </row>
    <row r="565" spans="1:26" s="4" customFormat="1" ht="15" customHeight="1">
      <c r="A565" s="164" t="s">
        <v>812</v>
      </c>
      <c r="B565" s="29" t="s">
        <v>3736</v>
      </c>
      <c r="C565" s="4" t="s">
        <v>3737</v>
      </c>
      <c r="D565" s="130"/>
      <c r="E565" s="2">
        <v>45112</v>
      </c>
      <c r="F565" s="2">
        <f t="shared" ref="F565:F574" si="41">E565+14</f>
        <v>45126</v>
      </c>
      <c r="G565" s="2"/>
      <c r="H565" s="41">
        <v>8611</v>
      </c>
      <c r="I565" s="15" t="s">
        <v>3738</v>
      </c>
      <c r="J565" s="1" t="s">
        <v>894</v>
      </c>
      <c r="K565" s="1" t="s">
        <v>31</v>
      </c>
      <c r="L565" s="1">
        <v>85009</v>
      </c>
      <c r="M565" s="1" t="s">
        <v>32</v>
      </c>
      <c r="O565" s="1" t="s">
        <v>3739</v>
      </c>
      <c r="P565" s="1" t="s">
        <v>3740</v>
      </c>
      <c r="Q565" s="87" t="s">
        <v>3741</v>
      </c>
      <c r="R565" s="174"/>
      <c r="V565" s="4" t="s">
        <v>443</v>
      </c>
      <c r="W565" s="4" t="s">
        <v>37</v>
      </c>
      <c r="X565" s="4" t="s">
        <v>616</v>
      </c>
      <c r="Y565" s="235" t="s">
        <v>617</v>
      </c>
    </row>
    <row r="566" spans="1:26" s="4" customFormat="1">
      <c r="A566" s="163" t="s">
        <v>25</v>
      </c>
      <c r="B566" s="29" t="s">
        <v>3245</v>
      </c>
      <c r="C566" s="4" t="s">
        <v>3742</v>
      </c>
      <c r="D566" s="130"/>
      <c r="E566" s="2">
        <v>45114</v>
      </c>
      <c r="F566" s="60">
        <f t="shared" si="41"/>
        <v>45128</v>
      </c>
      <c r="G566" s="2"/>
      <c r="H566" s="41">
        <v>425</v>
      </c>
      <c r="I566" s="15" t="s">
        <v>374</v>
      </c>
      <c r="J566" s="1" t="s">
        <v>415</v>
      </c>
      <c r="K566" s="1" t="s">
        <v>31</v>
      </c>
      <c r="L566" s="1">
        <v>85281</v>
      </c>
      <c r="M566" s="1" t="s">
        <v>32</v>
      </c>
      <c r="O566" s="1" t="s">
        <v>3743</v>
      </c>
      <c r="P566" s="1" t="s">
        <v>3744</v>
      </c>
      <c r="Q566" s="99" t="s">
        <v>3745</v>
      </c>
      <c r="R566" s="31">
        <v>96815</v>
      </c>
      <c r="V566" s="4" t="s">
        <v>36</v>
      </c>
      <c r="W566" s="4" t="s">
        <v>37</v>
      </c>
      <c r="X566" s="1" t="s">
        <v>59</v>
      </c>
      <c r="Y566" s="167" t="s">
        <v>39</v>
      </c>
    </row>
    <row r="567" spans="1:26" s="4" customFormat="1" ht="15.75" customHeight="1">
      <c r="A567" s="163" t="s">
        <v>25</v>
      </c>
      <c r="B567" s="29" t="s">
        <v>3363</v>
      </c>
      <c r="C567" s="4" t="s">
        <v>3364</v>
      </c>
      <c r="D567" s="130"/>
      <c r="E567" s="2">
        <v>45117</v>
      </c>
      <c r="F567" s="2">
        <f t="shared" si="41"/>
        <v>45131</v>
      </c>
      <c r="G567" s="2"/>
      <c r="H567" s="41" t="s">
        <v>379</v>
      </c>
      <c r="I567" s="15" t="s">
        <v>3365</v>
      </c>
      <c r="J567" s="1" t="s">
        <v>30</v>
      </c>
      <c r="K567" s="1" t="s">
        <v>31</v>
      </c>
      <c r="L567" s="1"/>
      <c r="M567" s="1" t="s">
        <v>32</v>
      </c>
      <c r="O567" s="1" t="s">
        <v>3746</v>
      </c>
      <c r="P567" s="1" t="s">
        <v>682</v>
      </c>
      <c r="Q567" s="87" t="s">
        <v>3747</v>
      </c>
      <c r="R567" s="31">
        <v>97177</v>
      </c>
      <c r="V567" s="4" t="s">
        <v>36</v>
      </c>
      <c r="W567" s="4" t="s">
        <v>37</v>
      </c>
      <c r="X567" s="1" t="s">
        <v>59</v>
      </c>
      <c r="Y567" s="167" t="s">
        <v>39</v>
      </c>
    </row>
    <row r="568" spans="1:26" s="4" customFormat="1" ht="15" customHeight="1">
      <c r="A568" s="164" t="s">
        <v>812</v>
      </c>
      <c r="B568" s="29" t="s">
        <v>3730</v>
      </c>
      <c r="C568" s="4" t="s">
        <v>3748</v>
      </c>
      <c r="D568" s="130"/>
      <c r="E568" s="2">
        <v>45119</v>
      </c>
      <c r="F568" s="2">
        <f t="shared" si="41"/>
        <v>45133</v>
      </c>
      <c r="G568" s="2"/>
      <c r="H568" s="41"/>
      <c r="I568" s="15" t="s">
        <v>3749</v>
      </c>
      <c r="J568" s="1" t="s">
        <v>844</v>
      </c>
      <c r="K568" s="1" t="s">
        <v>31</v>
      </c>
      <c r="L568" s="1"/>
      <c r="M568" s="1" t="s">
        <v>32</v>
      </c>
      <c r="O568" s="25" t="s">
        <v>3750</v>
      </c>
      <c r="P568" s="1" t="s">
        <v>3751</v>
      </c>
      <c r="Q568" s="87" t="s">
        <v>3752</v>
      </c>
      <c r="R568" s="31">
        <v>93459</v>
      </c>
      <c r="V568" s="4" t="s">
        <v>443</v>
      </c>
      <c r="W568" s="4" t="s">
        <v>37</v>
      </c>
      <c r="X568" s="4" t="s">
        <v>616</v>
      </c>
      <c r="Y568" s="235" t="s">
        <v>617</v>
      </c>
      <c r="Z568" s="167" t="s">
        <v>364</v>
      </c>
    </row>
    <row r="569" spans="1:26" s="4" customFormat="1">
      <c r="A569" s="163" t="s">
        <v>25</v>
      </c>
      <c r="B569" s="15" t="s">
        <v>1281</v>
      </c>
      <c r="C569" s="29" t="s">
        <v>3753</v>
      </c>
      <c r="E569" s="2">
        <v>45135</v>
      </c>
      <c r="F569" s="2">
        <f t="shared" si="41"/>
        <v>45149</v>
      </c>
      <c r="G569" s="15"/>
      <c r="H569" s="1">
        <v>9800</v>
      </c>
      <c r="I569" s="4" t="s">
        <v>3754</v>
      </c>
      <c r="J569" s="1" t="s">
        <v>398</v>
      </c>
      <c r="K569" s="1" t="s">
        <v>31</v>
      </c>
      <c r="L569" s="1"/>
      <c r="M569" s="1" t="s">
        <v>32</v>
      </c>
      <c r="O569" s="1" t="s">
        <v>3755</v>
      </c>
      <c r="P569" s="1" t="s">
        <v>3756</v>
      </c>
      <c r="Q569" s="87" t="s">
        <v>3757</v>
      </c>
      <c r="R569" s="1">
        <v>98289</v>
      </c>
      <c r="V569" s="4" t="s">
        <v>36</v>
      </c>
      <c r="W569" s="4" t="s">
        <v>37</v>
      </c>
      <c r="X569" s="1" t="s">
        <v>59</v>
      </c>
      <c r="Y569" s="167" t="s">
        <v>39</v>
      </c>
    </row>
    <row r="570" spans="1:26" s="4" customFormat="1" ht="14.25" customHeight="1">
      <c r="A570" s="163" t="s">
        <v>25</v>
      </c>
      <c r="B570" s="29" t="s">
        <v>526</v>
      </c>
      <c r="C570" s="29" t="s">
        <v>3758</v>
      </c>
      <c r="D570" s="2"/>
      <c r="E570" s="2">
        <v>45135</v>
      </c>
      <c r="F570" s="2">
        <f t="shared" si="41"/>
        <v>45149</v>
      </c>
      <c r="G570" s="2"/>
      <c r="H570" s="1">
        <v>11601</v>
      </c>
      <c r="I570" s="15" t="s">
        <v>3759</v>
      </c>
      <c r="J570" s="1" t="s">
        <v>398</v>
      </c>
      <c r="K570" s="1" t="s">
        <v>31</v>
      </c>
      <c r="L570" s="1"/>
      <c r="M570" s="1" t="s">
        <v>32</v>
      </c>
      <c r="N570" s="1" t="s">
        <v>1227</v>
      </c>
      <c r="O570" s="1" t="s">
        <v>3760</v>
      </c>
      <c r="P570" s="1" t="s">
        <v>3761</v>
      </c>
      <c r="Q570" s="160" t="s">
        <v>3762</v>
      </c>
      <c r="R570" s="1">
        <v>79459</v>
      </c>
      <c r="V570" s="4" t="s">
        <v>36</v>
      </c>
      <c r="W570" s="4" t="s">
        <v>37</v>
      </c>
      <c r="X570" s="1" t="s">
        <v>59</v>
      </c>
      <c r="Y570" s="167" t="s">
        <v>39</v>
      </c>
      <c r="Z570" s="168"/>
    </row>
    <row r="571" spans="1:26" s="4" customFormat="1" ht="15.75" customHeight="1">
      <c r="A571" s="163" t="s">
        <v>25</v>
      </c>
      <c r="B571" s="15" t="s">
        <v>2947</v>
      </c>
      <c r="C571" s="65" t="s">
        <v>3763</v>
      </c>
      <c r="D571" s="2"/>
      <c r="E571" s="2">
        <v>45125</v>
      </c>
      <c r="F571" s="71">
        <f t="shared" si="41"/>
        <v>45139</v>
      </c>
      <c r="G571" s="60"/>
      <c r="H571" s="1">
        <v>9410</v>
      </c>
      <c r="I571" s="15" t="s">
        <v>2856</v>
      </c>
      <c r="J571" s="1" t="s">
        <v>63</v>
      </c>
      <c r="K571" s="1" t="s">
        <v>31</v>
      </c>
      <c r="L571" s="1">
        <v>85212</v>
      </c>
      <c r="M571" s="1" t="s">
        <v>32</v>
      </c>
      <c r="O571" s="1" t="s">
        <v>3764</v>
      </c>
      <c r="P571" s="1" t="s">
        <v>3765</v>
      </c>
      <c r="Q571" s="87" t="s">
        <v>3766</v>
      </c>
      <c r="R571" s="1">
        <v>86908</v>
      </c>
      <c r="S571" s="47"/>
      <c r="T571" s="47"/>
      <c r="U571" s="51"/>
      <c r="V571" s="4" t="s">
        <v>36</v>
      </c>
      <c r="W571" s="4" t="s">
        <v>37</v>
      </c>
      <c r="X571" s="1" t="s">
        <v>59</v>
      </c>
      <c r="Y571" s="167" t="s">
        <v>39</v>
      </c>
      <c r="Z571" s="168"/>
    </row>
    <row r="572" spans="1:26" s="4" customFormat="1" ht="17.25" customHeight="1">
      <c r="A572" s="163" t="s">
        <v>25</v>
      </c>
      <c r="B572" s="15" t="s">
        <v>2444</v>
      </c>
      <c r="C572" s="65" t="s">
        <v>3767</v>
      </c>
      <c r="D572" s="2"/>
      <c r="E572" s="2">
        <v>45125</v>
      </c>
      <c r="F572" s="2">
        <f t="shared" si="41"/>
        <v>45139</v>
      </c>
      <c r="G572" s="2"/>
      <c r="H572" s="1">
        <v>1900</v>
      </c>
      <c r="I572" s="15" t="s">
        <v>2782</v>
      </c>
      <c r="J572" s="1" t="s">
        <v>3276</v>
      </c>
      <c r="K572" s="1" t="s">
        <v>31</v>
      </c>
      <c r="L572" s="1">
        <v>85234</v>
      </c>
      <c r="M572" s="1" t="s">
        <v>32</v>
      </c>
      <c r="O572" s="1" t="s">
        <v>3768</v>
      </c>
      <c r="P572" s="1" t="s">
        <v>3769</v>
      </c>
      <c r="Q572" s="1"/>
      <c r="R572" s="1">
        <v>87543</v>
      </c>
      <c r="V572" s="4" t="s">
        <v>36</v>
      </c>
      <c r="W572" s="4" t="s">
        <v>37</v>
      </c>
      <c r="X572" s="1" t="s">
        <v>59</v>
      </c>
      <c r="Y572" s="167" t="s">
        <v>39</v>
      </c>
      <c r="Z572" s="168"/>
    </row>
    <row r="573" spans="1:26" s="4" customFormat="1">
      <c r="A573" s="164" t="s">
        <v>812</v>
      </c>
      <c r="B573" s="29" t="s">
        <v>323</v>
      </c>
      <c r="C573" s="4" t="s">
        <v>3770</v>
      </c>
      <c r="D573" s="130"/>
      <c r="E573" s="2">
        <v>45127</v>
      </c>
      <c r="F573" s="2">
        <f t="shared" si="41"/>
        <v>45141</v>
      </c>
      <c r="G573" s="2"/>
      <c r="H573" s="41">
        <v>15151</v>
      </c>
      <c r="I573" s="15" t="s">
        <v>996</v>
      </c>
      <c r="J573" s="1" t="s">
        <v>1348</v>
      </c>
      <c r="K573" s="1" t="s">
        <v>3456</v>
      </c>
      <c r="L573" s="1">
        <v>85031</v>
      </c>
      <c r="M573" s="1" t="s">
        <v>32</v>
      </c>
      <c r="O573" s="1" t="s">
        <v>1126</v>
      </c>
      <c r="P573" s="1" t="s">
        <v>1125</v>
      </c>
      <c r="Q573" s="87" t="s">
        <v>3771</v>
      </c>
      <c r="R573" s="31">
        <v>94413</v>
      </c>
      <c r="V573" s="4" t="s">
        <v>443</v>
      </c>
      <c r="W573" s="4" t="s">
        <v>37</v>
      </c>
      <c r="X573" s="4" t="s">
        <v>616</v>
      </c>
      <c r="Y573" s="235" t="s">
        <v>617</v>
      </c>
      <c r="Z573" s="167" t="s">
        <v>364</v>
      </c>
    </row>
    <row r="574" spans="1:26" s="4" customFormat="1" ht="15.75" customHeight="1">
      <c r="A574" s="164" t="s">
        <v>812</v>
      </c>
      <c r="B574" s="29" t="s">
        <v>3772</v>
      </c>
      <c r="C574" s="4" t="s">
        <v>3773</v>
      </c>
      <c r="D574" s="130"/>
      <c r="E574" s="2">
        <v>45134</v>
      </c>
      <c r="F574" s="2">
        <f t="shared" si="41"/>
        <v>45148</v>
      </c>
      <c r="G574" s="2"/>
      <c r="H574" s="41"/>
      <c r="I574" s="15" t="s">
        <v>3774</v>
      </c>
      <c r="J574" s="1" t="s">
        <v>434</v>
      </c>
      <c r="K574" s="1" t="s">
        <v>31</v>
      </c>
      <c r="L574" s="1"/>
      <c r="M574" s="1" t="s">
        <v>32</v>
      </c>
      <c r="O574" s="1" t="s">
        <v>3775</v>
      </c>
      <c r="P574" s="1" t="s">
        <v>3776</v>
      </c>
      <c r="Q574" s="87" t="s">
        <v>3777</v>
      </c>
      <c r="R574" s="31">
        <v>95315</v>
      </c>
      <c r="V574" s="4" t="s">
        <v>443</v>
      </c>
      <c r="W574" s="4" t="s">
        <v>37</v>
      </c>
      <c r="X574" s="4" t="s">
        <v>616</v>
      </c>
      <c r="Y574" s="235" t="s">
        <v>617</v>
      </c>
    </row>
    <row r="575" spans="1:26" s="4" customFormat="1" ht="18" customHeight="1">
      <c r="A575" s="163" t="s">
        <v>25</v>
      </c>
      <c r="B575" s="29" t="s">
        <v>1915</v>
      </c>
      <c r="C575" s="4" t="s">
        <v>3778</v>
      </c>
      <c r="D575" s="130"/>
      <c r="E575" s="2">
        <v>45147</v>
      </c>
      <c r="F575" s="2">
        <f>E575+28</f>
        <v>45175</v>
      </c>
      <c r="G575" s="2"/>
      <c r="H575" s="41">
        <v>1200</v>
      </c>
      <c r="I575" s="15" t="s">
        <v>1634</v>
      </c>
      <c r="J575" s="1" t="s">
        <v>434</v>
      </c>
      <c r="K575" s="1" t="s">
        <v>31</v>
      </c>
      <c r="L575" s="1">
        <v>85008</v>
      </c>
      <c r="M575" s="1" t="s">
        <v>32</v>
      </c>
      <c r="O575" s="1" t="s">
        <v>364</v>
      </c>
      <c r="P575" s="1" t="s">
        <v>364</v>
      </c>
      <c r="Q575" s="98" t="s">
        <v>364</v>
      </c>
      <c r="R575" s="31">
        <v>83206</v>
      </c>
      <c r="V575" s="4" t="s">
        <v>36</v>
      </c>
      <c r="W575" s="4" t="s">
        <v>37</v>
      </c>
      <c r="X575" s="1" t="s">
        <v>59</v>
      </c>
      <c r="Y575" s="167" t="s">
        <v>39</v>
      </c>
      <c r="Z575" s="168"/>
    </row>
    <row r="576" spans="1:26" s="4" customFormat="1">
      <c r="A576" s="163" t="s">
        <v>25</v>
      </c>
      <c r="B576" s="15" t="s">
        <v>3779</v>
      </c>
      <c r="C576" s="29" t="s">
        <v>3780</v>
      </c>
      <c r="D576" s="1"/>
      <c r="E576" s="2">
        <v>45145</v>
      </c>
      <c r="F576" s="2">
        <f t="shared" ref="F576:F579" si="42">E576+14</f>
        <v>45159</v>
      </c>
      <c r="G576" s="15"/>
      <c r="H576" s="1">
        <v>1865</v>
      </c>
      <c r="I576" s="4" t="s">
        <v>3781</v>
      </c>
      <c r="J576" s="1" t="s">
        <v>30</v>
      </c>
      <c r="K576" s="1" t="s">
        <v>31</v>
      </c>
      <c r="L576" s="1">
        <v>85122</v>
      </c>
      <c r="M576" s="1" t="s">
        <v>32</v>
      </c>
      <c r="O576" s="1" t="s">
        <v>3782</v>
      </c>
      <c r="P576" s="25" t="s">
        <v>3783</v>
      </c>
      <c r="Q576" s="87" t="s">
        <v>3784</v>
      </c>
      <c r="R576" s="1">
        <v>92413</v>
      </c>
      <c r="V576" s="4" t="s">
        <v>443</v>
      </c>
      <c r="W576" s="4" t="s">
        <v>37</v>
      </c>
      <c r="X576" s="4" t="s">
        <v>38</v>
      </c>
      <c r="Y576" s="167" t="s">
        <v>39</v>
      </c>
      <c r="Z576" s="168"/>
    </row>
    <row r="577" spans="1:38" s="4" customFormat="1" ht="15" customHeight="1">
      <c r="A577" s="163" t="s">
        <v>25</v>
      </c>
      <c r="B577" s="15" t="s">
        <v>3779</v>
      </c>
      <c r="C577" s="4" t="s">
        <v>3785</v>
      </c>
      <c r="D577" s="130"/>
      <c r="E577" s="2">
        <v>45145</v>
      </c>
      <c r="F577" s="2">
        <f t="shared" si="42"/>
        <v>45159</v>
      </c>
      <c r="G577" s="2"/>
      <c r="H577" s="41">
        <v>2076</v>
      </c>
      <c r="I577" s="15" t="s">
        <v>3786</v>
      </c>
      <c r="J577" s="1" t="s">
        <v>30</v>
      </c>
      <c r="K577" s="1" t="s">
        <v>31</v>
      </c>
      <c r="L577" s="1"/>
      <c r="M577" s="1" t="s">
        <v>32</v>
      </c>
      <c r="O577" s="1" t="s">
        <v>3787</v>
      </c>
      <c r="P577" s="25" t="s">
        <v>3788</v>
      </c>
      <c r="Q577" s="87" t="s">
        <v>3789</v>
      </c>
      <c r="R577" s="31">
        <v>99145</v>
      </c>
      <c r="V577" s="4" t="s">
        <v>36</v>
      </c>
      <c r="W577" s="4" t="s">
        <v>37</v>
      </c>
      <c r="X577" s="1" t="s">
        <v>59</v>
      </c>
      <c r="Y577" s="167" t="s">
        <v>39</v>
      </c>
    </row>
    <row r="578" spans="1:38" s="4" customFormat="1" ht="15" customHeight="1">
      <c r="A578" s="164" t="s">
        <v>812</v>
      </c>
      <c r="B578" s="29" t="s">
        <v>1213</v>
      </c>
      <c r="C578" s="4" t="s">
        <v>3790</v>
      </c>
      <c r="D578" s="130"/>
      <c r="E578" s="2">
        <v>45132</v>
      </c>
      <c r="F578" s="2">
        <f t="shared" si="42"/>
        <v>45146</v>
      </c>
      <c r="G578" s="2"/>
      <c r="H578" s="41"/>
      <c r="I578" s="15" t="s">
        <v>3791</v>
      </c>
      <c r="J578" s="1" t="s">
        <v>831</v>
      </c>
      <c r="K578" s="1" t="s">
        <v>31</v>
      </c>
      <c r="L578" s="1">
        <v>85396</v>
      </c>
      <c r="M578" s="1" t="s">
        <v>32</v>
      </c>
      <c r="O578" s="1" t="s">
        <v>3238</v>
      </c>
      <c r="P578" s="1" t="s">
        <v>3239</v>
      </c>
      <c r="Q578" s="228" t="s">
        <v>3792</v>
      </c>
      <c r="R578" s="31">
        <v>93067</v>
      </c>
      <c r="V578" s="4" t="s">
        <v>443</v>
      </c>
      <c r="W578" s="4" t="s">
        <v>37</v>
      </c>
      <c r="X578" s="4" t="s">
        <v>616</v>
      </c>
      <c r="Y578" s="241" t="s">
        <v>617</v>
      </c>
      <c r="Z578" s="167" t="s">
        <v>364</v>
      </c>
    </row>
    <row r="579" spans="1:38" s="4" customFormat="1" ht="15" customHeight="1">
      <c r="A579" s="164" t="s">
        <v>812</v>
      </c>
      <c r="B579" s="70" t="s">
        <v>3793</v>
      </c>
      <c r="C579" s="56" t="s">
        <v>3794</v>
      </c>
      <c r="D579" s="60"/>
      <c r="E579" s="2">
        <v>45134</v>
      </c>
      <c r="F579" s="60">
        <f t="shared" si="42"/>
        <v>45148</v>
      </c>
      <c r="G579" s="60"/>
      <c r="H579" s="54" t="s">
        <v>3795</v>
      </c>
      <c r="I579" s="80" t="s">
        <v>3796</v>
      </c>
      <c r="J579" s="55" t="s">
        <v>434</v>
      </c>
      <c r="K579" s="55" t="s">
        <v>31</v>
      </c>
      <c r="L579" s="55"/>
      <c r="M579" s="55" t="s">
        <v>32</v>
      </c>
      <c r="N579" s="56"/>
      <c r="O579" s="55" t="s">
        <v>3797</v>
      </c>
      <c r="P579" s="55" t="s">
        <v>3798</v>
      </c>
      <c r="Q579" s="89" t="s">
        <v>3799</v>
      </c>
      <c r="R579" s="57">
        <v>90171</v>
      </c>
      <c r="V579" s="4" t="s">
        <v>443</v>
      </c>
      <c r="W579" s="4" t="s">
        <v>37</v>
      </c>
      <c r="X579" s="4" t="s">
        <v>616</v>
      </c>
      <c r="Y579" s="235" t="s">
        <v>617</v>
      </c>
      <c r="Z579" s="167" t="s">
        <v>364</v>
      </c>
    </row>
    <row r="580" spans="1:38" s="4" customFormat="1" ht="14.25" customHeight="1">
      <c r="A580" s="164" t="s">
        <v>812</v>
      </c>
      <c r="B580" s="29" t="s">
        <v>1185</v>
      </c>
      <c r="C580" s="4" t="s">
        <v>3800</v>
      </c>
      <c r="D580" s="2"/>
      <c r="E580" s="2">
        <v>45120</v>
      </c>
      <c r="F580" s="2">
        <f>E580+28</f>
        <v>45148</v>
      </c>
      <c r="G580" s="2"/>
      <c r="H580" s="41">
        <v>2050</v>
      </c>
      <c r="I580" s="15" t="s">
        <v>591</v>
      </c>
      <c r="J580" s="1" t="s">
        <v>434</v>
      </c>
      <c r="K580" s="1" t="s">
        <v>31</v>
      </c>
      <c r="L580" s="1">
        <v>85041</v>
      </c>
      <c r="M580" s="1" t="s">
        <v>32</v>
      </c>
      <c r="O580" s="1" t="s">
        <v>3801</v>
      </c>
      <c r="P580" s="1" t="s">
        <v>3802</v>
      </c>
      <c r="Q580" s="255" t="s">
        <v>3803</v>
      </c>
      <c r="R580" s="31">
        <v>87100</v>
      </c>
      <c r="V580" s="4" t="s">
        <v>443</v>
      </c>
      <c r="W580" s="4" t="s">
        <v>37</v>
      </c>
      <c r="X580" s="4" t="s">
        <v>616</v>
      </c>
      <c r="Y580" s="241" t="s">
        <v>617</v>
      </c>
      <c r="Z580" s="167" t="s">
        <v>364</v>
      </c>
    </row>
    <row r="581" spans="1:38" s="4" customFormat="1" ht="15" customHeight="1">
      <c r="A581" s="164" t="s">
        <v>812</v>
      </c>
      <c r="B581" s="29" t="s">
        <v>3804</v>
      </c>
      <c r="C581" s="4" t="s">
        <v>3805</v>
      </c>
      <c r="D581" s="130"/>
      <c r="E581" s="2">
        <v>45125</v>
      </c>
      <c r="F581" s="60">
        <f>E581+14</f>
        <v>45139</v>
      </c>
      <c r="G581" s="2"/>
      <c r="H581" s="41">
        <v>3305</v>
      </c>
      <c r="I581" s="15" t="s">
        <v>878</v>
      </c>
      <c r="J581" s="1" t="s">
        <v>844</v>
      </c>
      <c r="K581" s="1" t="s">
        <v>31</v>
      </c>
      <c r="L581" s="1">
        <v>85338</v>
      </c>
      <c r="M581" s="1" t="s">
        <v>32</v>
      </c>
      <c r="O581" s="1" t="s">
        <v>3806</v>
      </c>
      <c r="P581" s="1" t="s">
        <v>3807</v>
      </c>
      <c r="Q581" s="87" t="s">
        <v>3808</v>
      </c>
      <c r="R581" s="174"/>
      <c r="V581" s="4" t="s">
        <v>443</v>
      </c>
      <c r="W581" s="4" t="s">
        <v>37</v>
      </c>
      <c r="X581" s="4" t="s">
        <v>616</v>
      </c>
      <c r="Y581" s="235" t="s">
        <v>617</v>
      </c>
      <c r="Z581" s="167" t="s">
        <v>364</v>
      </c>
      <c r="AA581" s="119"/>
      <c r="AB581" s="119"/>
      <c r="AC581" s="119"/>
      <c r="AD581" s="119"/>
      <c r="AE581" s="119"/>
      <c r="AF581" s="119"/>
      <c r="AG581" s="119"/>
      <c r="AH581" s="119"/>
      <c r="AI581" s="119"/>
      <c r="AJ581" s="119"/>
      <c r="AK581" s="119"/>
      <c r="AL581" s="119"/>
    </row>
    <row r="582" spans="1:38" s="4" customFormat="1" ht="15.75" customHeight="1">
      <c r="A582" s="163" t="s">
        <v>25</v>
      </c>
      <c r="B582" s="29" t="s">
        <v>3809</v>
      </c>
      <c r="C582" s="4" t="s">
        <v>3810</v>
      </c>
      <c r="D582" s="130"/>
      <c r="E582" s="2">
        <v>45148</v>
      </c>
      <c r="F582" s="2">
        <f t="shared" ref="F582:F585" si="43">E582+14</f>
        <v>45162</v>
      </c>
      <c r="G582" s="2"/>
      <c r="H582" s="41" t="s">
        <v>379</v>
      </c>
      <c r="I582" s="15" t="s">
        <v>3811</v>
      </c>
      <c r="J582" s="1" t="s">
        <v>129</v>
      </c>
      <c r="K582" s="1" t="s">
        <v>31</v>
      </c>
      <c r="L582" s="1"/>
      <c r="M582" s="1" t="s">
        <v>32</v>
      </c>
      <c r="O582" s="1" t="s">
        <v>3812</v>
      </c>
      <c r="P582" s="1" t="s">
        <v>3813</v>
      </c>
      <c r="Q582" s="87" t="s">
        <v>3814</v>
      </c>
      <c r="R582" s="31">
        <v>95909</v>
      </c>
      <c r="V582" s="4" t="s">
        <v>36</v>
      </c>
      <c r="W582" s="4" t="s">
        <v>37</v>
      </c>
      <c r="X582" s="1" t="s">
        <v>59</v>
      </c>
      <c r="Y582" s="167" t="s">
        <v>39</v>
      </c>
      <c r="Z582" s="168"/>
    </row>
    <row r="583" spans="1:38" s="4" customFormat="1" ht="15" customHeight="1">
      <c r="A583" s="164" t="s">
        <v>812</v>
      </c>
      <c r="B583" s="29" t="s">
        <v>3815</v>
      </c>
      <c r="C583" s="4" t="s">
        <v>3816</v>
      </c>
      <c r="D583" s="2">
        <v>44824</v>
      </c>
      <c r="E583" s="2">
        <v>45139</v>
      </c>
      <c r="F583" s="2">
        <f t="shared" si="43"/>
        <v>45153</v>
      </c>
      <c r="G583" s="2"/>
      <c r="H583" s="41">
        <v>1050</v>
      </c>
      <c r="I583" s="15" t="s">
        <v>3817</v>
      </c>
      <c r="J583" s="1" t="s">
        <v>873</v>
      </c>
      <c r="K583" s="1" t="s">
        <v>31</v>
      </c>
      <c r="L583" s="1">
        <v>85323</v>
      </c>
      <c r="M583" s="1" t="s">
        <v>32</v>
      </c>
      <c r="O583" s="1" t="s">
        <v>3818</v>
      </c>
      <c r="P583" s="1" t="s">
        <v>3819</v>
      </c>
      <c r="Q583" s="129" t="s">
        <v>3820</v>
      </c>
      <c r="R583" s="31">
        <v>96122</v>
      </c>
      <c r="V583" s="4" t="s">
        <v>443</v>
      </c>
      <c r="W583" s="4" t="s">
        <v>37</v>
      </c>
      <c r="X583" s="4" t="s">
        <v>616</v>
      </c>
      <c r="Y583" s="241" t="s">
        <v>617</v>
      </c>
      <c r="Z583" s="167" t="s">
        <v>364</v>
      </c>
    </row>
    <row r="584" spans="1:38" s="4" customFormat="1" ht="16.5" customHeight="1">
      <c r="A584" s="164" t="s">
        <v>812</v>
      </c>
      <c r="B584" s="29" t="s">
        <v>150</v>
      </c>
      <c r="C584" s="4" t="s">
        <v>3821</v>
      </c>
      <c r="D584" s="130"/>
      <c r="E584" s="2">
        <v>45139</v>
      </c>
      <c r="F584" s="2">
        <f t="shared" si="43"/>
        <v>45153</v>
      </c>
      <c r="G584" s="2"/>
      <c r="H584" s="41">
        <v>11</v>
      </c>
      <c r="I584" s="15" t="s">
        <v>2590</v>
      </c>
      <c r="J584" s="1" t="s">
        <v>844</v>
      </c>
      <c r="K584" s="1" t="s">
        <v>31</v>
      </c>
      <c r="L584" s="1">
        <v>85338</v>
      </c>
      <c r="M584" s="1" t="s">
        <v>32</v>
      </c>
      <c r="O584" s="1" t="s">
        <v>1818</v>
      </c>
      <c r="P584" s="1" t="s">
        <v>3822</v>
      </c>
      <c r="Q584" s="87" t="s">
        <v>3823</v>
      </c>
      <c r="R584" s="31">
        <v>94259</v>
      </c>
      <c r="V584" s="4" t="s">
        <v>443</v>
      </c>
      <c r="W584" s="4" t="s">
        <v>37</v>
      </c>
      <c r="X584" s="4" t="s">
        <v>616</v>
      </c>
      <c r="Y584" s="235" t="s">
        <v>617</v>
      </c>
      <c r="Z584" s="167" t="s">
        <v>364</v>
      </c>
    </row>
    <row r="585" spans="1:38" s="4" customFormat="1" ht="17.25" customHeight="1">
      <c r="A585" s="163" t="s">
        <v>25</v>
      </c>
      <c r="B585" s="29" t="s">
        <v>3824</v>
      </c>
      <c r="C585" s="4" t="s">
        <v>3825</v>
      </c>
      <c r="D585" s="130"/>
      <c r="E585" s="2">
        <v>45142</v>
      </c>
      <c r="F585" s="2">
        <f t="shared" si="43"/>
        <v>45156</v>
      </c>
      <c r="G585" s="2"/>
      <c r="H585" s="41"/>
      <c r="I585" s="15" t="s">
        <v>3826</v>
      </c>
      <c r="J585" s="1" t="s">
        <v>415</v>
      </c>
      <c r="K585" s="1" t="s">
        <v>31</v>
      </c>
      <c r="L585" s="1">
        <v>85281</v>
      </c>
      <c r="M585" s="1" t="s">
        <v>32</v>
      </c>
      <c r="O585" s="1" t="s">
        <v>3827</v>
      </c>
      <c r="P585" s="1" t="s">
        <v>3828</v>
      </c>
      <c r="Q585" s="87" t="s">
        <v>3829</v>
      </c>
      <c r="R585" s="31">
        <v>97762</v>
      </c>
      <c r="V585" s="4" t="s">
        <v>36</v>
      </c>
      <c r="W585" s="4" t="s">
        <v>37</v>
      </c>
      <c r="X585" s="1" t="s">
        <v>59</v>
      </c>
      <c r="Y585" s="167" t="s">
        <v>39</v>
      </c>
    </row>
    <row r="586" spans="1:38" s="4" customFormat="1" ht="16.5" customHeight="1">
      <c r="A586" s="164" t="s">
        <v>812</v>
      </c>
      <c r="B586" s="29" t="s">
        <v>2748</v>
      </c>
      <c r="C586" s="4" t="s">
        <v>3830</v>
      </c>
      <c r="D586" s="130"/>
      <c r="E586" s="2">
        <v>45141</v>
      </c>
      <c r="F586" s="2">
        <f>E586+14</f>
        <v>45155</v>
      </c>
      <c r="G586" s="2"/>
      <c r="H586" s="41">
        <v>11860</v>
      </c>
      <c r="I586" s="15" t="s">
        <v>933</v>
      </c>
      <c r="J586" s="1" t="s">
        <v>1111</v>
      </c>
      <c r="K586" s="1" t="s">
        <v>31</v>
      </c>
      <c r="L586" s="1">
        <v>85379</v>
      </c>
      <c r="M586" s="1" t="s">
        <v>32</v>
      </c>
      <c r="O586" s="1" t="s">
        <v>2750</v>
      </c>
      <c r="P586" s="1" t="s">
        <v>2751</v>
      </c>
      <c r="Q586" s="87" t="s">
        <v>2752</v>
      </c>
      <c r="R586" s="31">
        <v>94303</v>
      </c>
      <c r="V586" s="4" t="s">
        <v>443</v>
      </c>
      <c r="W586" s="4" t="s">
        <v>37</v>
      </c>
      <c r="X586" s="4" t="s">
        <v>616</v>
      </c>
      <c r="Y586" s="235" t="s">
        <v>617</v>
      </c>
      <c r="Z586" s="167" t="s">
        <v>364</v>
      </c>
    </row>
    <row r="587" spans="1:38" s="4" customFormat="1" ht="15" customHeight="1">
      <c r="A587" s="163" t="s">
        <v>25</v>
      </c>
      <c r="B587" s="118" t="s">
        <v>3245</v>
      </c>
      <c r="C587" s="29" t="s">
        <v>3831</v>
      </c>
      <c r="E587" s="2">
        <v>45142</v>
      </c>
      <c r="F587" s="2">
        <f>E587+14</f>
        <v>45156</v>
      </c>
      <c r="G587" s="15"/>
      <c r="H587" s="1">
        <v>1711</v>
      </c>
      <c r="I587" s="4" t="s">
        <v>3832</v>
      </c>
      <c r="J587" s="1" t="s">
        <v>415</v>
      </c>
      <c r="K587" s="1" t="s">
        <v>31</v>
      </c>
      <c r="L587" s="1">
        <v>85281</v>
      </c>
      <c r="M587" s="1" t="s">
        <v>32</v>
      </c>
      <c r="O587" s="1" t="s">
        <v>3833</v>
      </c>
      <c r="P587" s="1" t="s">
        <v>3834</v>
      </c>
      <c r="Q587" s="87" t="s">
        <v>3835</v>
      </c>
      <c r="R587" s="1">
        <v>98776</v>
      </c>
      <c r="V587" s="4" t="s">
        <v>36</v>
      </c>
      <c r="W587" s="4" t="s">
        <v>37</v>
      </c>
      <c r="X587" s="4" t="s">
        <v>38</v>
      </c>
      <c r="Y587" s="235" t="s">
        <v>39</v>
      </c>
      <c r="Z587" s="168"/>
    </row>
    <row r="588" spans="1:38" s="4" customFormat="1">
      <c r="A588" s="163" t="s">
        <v>25</v>
      </c>
      <c r="B588" s="15" t="s">
        <v>2233</v>
      </c>
      <c r="C588" s="15" t="s">
        <v>3836</v>
      </c>
      <c r="D588" s="1"/>
      <c r="E588" s="2">
        <v>45142</v>
      </c>
      <c r="F588" s="2">
        <f t="shared" ref="F588:F592" si="44">E588+14</f>
        <v>45156</v>
      </c>
      <c r="G588" s="15"/>
      <c r="H588" s="1">
        <v>20484</v>
      </c>
      <c r="I588" s="15" t="s">
        <v>3837</v>
      </c>
      <c r="J588" s="1" t="s">
        <v>129</v>
      </c>
      <c r="K588" s="1" t="s">
        <v>31</v>
      </c>
      <c r="L588" s="1">
        <v>85124</v>
      </c>
      <c r="M588" s="1" t="s">
        <v>32</v>
      </c>
      <c r="O588" s="1" t="s">
        <v>3207</v>
      </c>
      <c r="P588" s="1" t="s">
        <v>3838</v>
      </c>
      <c r="Q588" s="87" t="s">
        <v>3839</v>
      </c>
      <c r="R588" s="1">
        <v>90470</v>
      </c>
      <c r="V588" s="4" t="s">
        <v>36</v>
      </c>
      <c r="W588" s="4" t="s">
        <v>37</v>
      </c>
      <c r="X588" s="1" t="s">
        <v>59</v>
      </c>
      <c r="Y588" s="167" t="s">
        <v>39</v>
      </c>
      <c r="Z588" s="168"/>
    </row>
    <row r="589" spans="1:38" s="4" customFormat="1" ht="15" customHeight="1">
      <c r="A589" s="163" t="s">
        <v>25</v>
      </c>
      <c r="B589" s="15" t="s">
        <v>323</v>
      </c>
      <c r="C589" s="29" t="s">
        <v>3840</v>
      </c>
      <c r="D589" s="1"/>
      <c r="E589" s="2">
        <v>45145</v>
      </c>
      <c r="F589" s="2">
        <f t="shared" si="44"/>
        <v>45159</v>
      </c>
      <c r="G589" s="15">
        <v>3.07</v>
      </c>
      <c r="H589" s="1">
        <v>2645</v>
      </c>
      <c r="I589" s="15" t="s">
        <v>697</v>
      </c>
      <c r="J589" s="1" t="s">
        <v>415</v>
      </c>
      <c r="K589" s="1" t="s">
        <v>31</v>
      </c>
      <c r="L589" s="1">
        <v>85282</v>
      </c>
      <c r="M589" s="1" t="s">
        <v>32</v>
      </c>
      <c r="O589" s="1" t="s">
        <v>3841</v>
      </c>
      <c r="P589" s="1" t="s">
        <v>3842</v>
      </c>
      <c r="Q589" s="87" t="s">
        <v>3843</v>
      </c>
      <c r="R589" s="1">
        <v>90407</v>
      </c>
      <c r="V589" s="4" t="s">
        <v>36</v>
      </c>
      <c r="W589" s="4" t="s">
        <v>37</v>
      </c>
      <c r="X589" s="1" t="s">
        <v>59</v>
      </c>
      <c r="Y589" s="167" t="s">
        <v>39</v>
      </c>
      <c r="Z589" s="168"/>
    </row>
    <row r="590" spans="1:38" s="4" customFormat="1" ht="15" customHeight="1">
      <c r="A590" s="163" t="s">
        <v>25</v>
      </c>
      <c r="B590" s="70" t="s">
        <v>258</v>
      </c>
      <c r="C590" s="56" t="s">
        <v>3844</v>
      </c>
      <c r="D590" s="60"/>
      <c r="E590" s="2">
        <v>45145</v>
      </c>
      <c r="F590" s="60">
        <f t="shared" si="44"/>
        <v>45159</v>
      </c>
      <c r="G590" s="60"/>
      <c r="H590" s="54" t="s">
        <v>3845</v>
      </c>
      <c r="I590" s="80" t="s">
        <v>3846</v>
      </c>
      <c r="J590" s="55" t="s">
        <v>63</v>
      </c>
      <c r="K590" s="55" t="s">
        <v>31</v>
      </c>
      <c r="L590" s="1">
        <v>85210</v>
      </c>
      <c r="M590" s="55" t="s">
        <v>32</v>
      </c>
      <c r="N590" s="56"/>
      <c r="O590" s="55" t="s">
        <v>2995</v>
      </c>
      <c r="P590" s="55" t="s">
        <v>2996</v>
      </c>
      <c r="Q590" s="89" t="s">
        <v>3847</v>
      </c>
      <c r="R590" s="57">
        <v>89720</v>
      </c>
      <c r="S590" s="1"/>
      <c r="T590" s="1"/>
      <c r="U590" s="1"/>
      <c r="V590" s="4" t="s">
        <v>36</v>
      </c>
      <c r="W590" s="4" t="s">
        <v>37</v>
      </c>
      <c r="X590" s="1" t="s">
        <v>59</v>
      </c>
      <c r="Y590" s="167" t="s">
        <v>39</v>
      </c>
      <c r="Z590" s="168"/>
    </row>
    <row r="591" spans="1:38" s="4" customFormat="1" ht="16.5" customHeight="1">
      <c r="A591" s="163" t="s">
        <v>25</v>
      </c>
      <c r="B591" s="29" t="s">
        <v>3582</v>
      </c>
      <c r="C591" s="4" t="s">
        <v>3848</v>
      </c>
      <c r="D591" s="130"/>
      <c r="E591" s="2">
        <v>45145</v>
      </c>
      <c r="F591" s="2">
        <f t="shared" si="44"/>
        <v>45159</v>
      </c>
      <c r="G591" s="2"/>
      <c r="H591" s="41" t="s">
        <v>184</v>
      </c>
      <c r="I591" s="15" t="s">
        <v>3849</v>
      </c>
      <c r="J591" s="1" t="s">
        <v>580</v>
      </c>
      <c r="K591" s="1" t="s">
        <v>3456</v>
      </c>
      <c r="L591" s="1"/>
      <c r="M591" s="1" t="s">
        <v>32</v>
      </c>
      <c r="O591" s="1" t="s">
        <v>3850</v>
      </c>
      <c r="P591" s="1" t="s">
        <v>3851</v>
      </c>
      <c r="Q591" s="87" t="s">
        <v>3852</v>
      </c>
      <c r="R591" s="124" t="s">
        <v>318</v>
      </c>
      <c r="V591" s="4" t="s">
        <v>36</v>
      </c>
      <c r="W591" s="4" t="s">
        <v>37</v>
      </c>
      <c r="X591" s="1" t="s">
        <v>59</v>
      </c>
      <c r="Y591" s="167" t="s">
        <v>39</v>
      </c>
      <c r="Z591" s="168"/>
    </row>
    <row r="592" spans="1:38" s="4" customFormat="1" ht="15.75" customHeight="1">
      <c r="A592" s="163" t="s">
        <v>25</v>
      </c>
      <c r="B592" s="29" t="s">
        <v>1096</v>
      </c>
      <c r="C592" s="4" t="s">
        <v>3853</v>
      </c>
      <c r="D592" s="91"/>
      <c r="E592" s="2">
        <v>45147</v>
      </c>
      <c r="F592" s="2">
        <f t="shared" si="44"/>
        <v>45161</v>
      </c>
      <c r="G592" s="2"/>
      <c r="H592" s="41">
        <v>7317</v>
      </c>
      <c r="I592" s="15" t="s">
        <v>3854</v>
      </c>
      <c r="J592" s="1" t="s">
        <v>3398</v>
      </c>
      <c r="K592" s="1" t="s">
        <v>31</v>
      </c>
      <c r="L592" s="1">
        <v>85260</v>
      </c>
      <c r="M592" s="1" t="s">
        <v>32</v>
      </c>
      <c r="O592" s="1" t="s">
        <v>3855</v>
      </c>
      <c r="P592" s="1" t="s">
        <v>3856</v>
      </c>
      <c r="Q592" s="87" t="s">
        <v>3857</v>
      </c>
      <c r="R592" s="31">
        <v>89476</v>
      </c>
      <c r="V592" s="4" t="s">
        <v>36</v>
      </c>
      <c r="W592" s="4" t="s">
        <v>37</v>
      </c>
      <c r="X592" s="1" t="s">
        <v>59</v>
      </c>
      <c r="Y592" s="167" t="s">
        <v>39</v>
      </c>
      <c r="Z592" s="168"/>
    </row>
    <row r="593" spans="1:38" s="4" customFormat="1">
      <c r="A593" s="164" t="s">
        <v>812</v>
      </c>
      <c r="B593" s="29" t="s">
        <v>3858</v>
      </c>
      <c r="C593" s="4" t="s">
        <v>3859</v>
      </c>
      <c r="D593" s="2"/>
      <c r="E593" s="2">
        <v>45146</v>
      </c>
      <c r="F593" s="2">
        <f>E593+14</f>
        <v>45160</v>
      </c>
      <c r="G593" s="2"/>
      <c r="H593" s="41" t="s">
        <v>528</v>
      </c>
      <c r="I593" s="15" t="s">
        <v>3860</v>
      </c>
      <c r="J593" s="1" t="s">
        <v>844</v>
      </c>
      <c r="K593" s="1" t="s">
        <v>31</v>
      </c>
      <c r="L593" s="1">
        <v>85338</v>
      </c>
      <c r="M593" s="1" t="s">
        <v>32</v>
      </c>
      <c r="O593" s="1" t="s">
        <v>3861</v>
      </c>
      <c r="P593" s="1" t="s">
        <v>3862</v>
      </c>
      <c r="Q593" s="129" t="s">
        <v>3863</v>
      </c>
      <c r="R593" s="31">
        <v>99350</v>
      </c>
      <c r="V593" s="4" t="s">
        <v>443</v>
      </c>
      <c r="W593" s="4" t="s">
        <v>37</v>
      </c>
      <c r="X593" s="4" t="s">
        <v>616</v>
      </c>
      <c r="Y593" s="241" t="s">
        <v>617</v>
      </c>
      <c r="Z593" s="167" t="s">
        <v>364</v>
      </c>
      <c r="AA593" s="119"/>
      <c r="AB593" s="119"/>
      <c r="AC593" s="119"/>
      <c r="AD593" s="119"/>
      <c r="AE593" s="119"/>
      <c r="AF593" s="119"/>
      <c r="AG593" s="119"/>
      <c r="AH593" s="119"/>
      <c r="AI593" s="119"/>
      <c r="AJ593" s="119"/>
      <c r="AK593" s="119"/>
      <c r="AL593" s="119"/>
    </row>
    <row r="594" spans="1:38" s="4" customFormat="1" ht="18.75" customHeight="1">
      <c r="A594" s="163" t="s">
        <v>25</v>
      </c>
      <c r="B594" s="29" t="s">
        <v>139</v>
      </c>
      <c r="C594" s="4" t="s">
        <v>3864</v>
      </c>
      <c r="D594" s="130"/>
      <c r="E594" s="2">
        <v>45147</v>
      </c>
      <c r="F594" s="2">
        <f>E594+14</f>
        <v>45161</v>
      </c>
      <c r="G594" s="2"/>
      <c r="H594" s="41">
        <v>1200</v>
      </c>
      <c r="I594" s="15" t="s">
        <v>3865</v>
      </c>
      <c r="J594" s="1" t="s">
        <v>434</v>
      </c>
      <c r="K594" s="1" t="s">
        <v>31</v>
      </c>
      <c r="L594" s="1">
        <v>85008</v>
      </c>
      <c r="M594" s="1" t="s">
        <v>32</v>
      </c>
      <c r="O594" s="1" t="s">
        <v>3866</v>
      </c>
      <c r="P594" s="1" t="s">
        <v>3867</v>
      </c>
      <c r="Q594" s="87" t="s">
        <v>3868</v>
      </c>
      <c r="R594" s="174"/>
      <c r="V594" s="4" t="s">
        <v>36</v>
      </c>
      <c r="W594" s="4" t="s">
        <v>37</v>
      </c>
      <c r="X594" s="1" t="s">
        <v>59</v>
      </c>
      <c r="Y594" s="167" t="s">
        <v>39</v>
      </c>
    </row>
    <row r="595" spans="1:38" s="4" customFormat="1" ht="15.75" customHeight="1">
      <c r="A595" s="163" t="s">
        <v>25</v>
      </c>
      <c r="B595" s="29" t="s">
        <v>3245</v>
      </c>
      <c r="C595" s="4" t="s">
        <v>3869</v>
      </c>
      <c r="D595" s="130"/>
      <c r="E595" s="2">
        <v>45162</v>
      </c>
      <c r="F595" s="60">
        <f t="shared" ref="F595:F599" si="45">E595+14</f>
        <v>45176</v>
      </c>
      <c r="G595" s="2"/>
      <c r="H595" s="41">
        <v>3223</v>
      </c>
      <c r="I595" s="15" t="s">
        <v>3870</v>
      </c>
      <c r="J595" s="1" t="s">
        <v>63</v>
      </c>
      <c r="K595" s="1" t="s">
        <v>31</v>
      </c>
      <c r="L595" s="1">
        <v>85212</v>
      </c>
      <c r="M595" s="1" t="s">
        <v>32</v>
      </c>
      <c r="O595" s="1" t="s">
        <v>3871</v>
      </c>
      <c r="P595" s="1" t="s">
        <v>3872</v>
      </c>
      <c r="Q595" s="87" t="s">
        <v>3873</v>
      </c>
      <c r="R595" s="31">
        <v>93892</v>
      </c>
      <c r="V595" s="4" t="s">
        <v>36</v>
      </c>
      <c r="W595" s="4" t="s">
        <v>37</v>
      </c>
      <c r="X595" s="1" t="s">
        <v>59</v>
      </c>
      <c r="Y595" s="167" t="s">
        <v>39</v>
      </c>
      <c r="Z595" s="168"/>
    </row>
    <row r="596" spans="1:38" s="4" customFormat="1" ht="15" customHeight="1">
      <c r="A596" s="163" t="s">
        <v>25</v>
      </c>
      <c r="B596" s="29" t="s">
        <v>276</v>
      </c>
      <c r="C596" s="4" t="s">
        <v>3874</v>
      </c>
      <c r="D596" s="2">
        <v>44799</v>
      </c>
      <c r="E596" s="2">
        <v>45163</v>
      </c>
      <c r="F596" s="2">
        <f t="shared" si="45"/>
        <v>45177</v>
      </c>
      <c r="G596" s="2"/>
      <c r="H596" s="41">
        <v>2050</v>
      </c>
      <c r="I596" s="15" t="s">
        <v>3202</v>
      </c>
      <c r="J596" s="1" t="s">
        <v>69</v>
      </c>
      <c r="K596" s="1" t="s">
        <v>31</v>
      </c>
      <c r="L596" s="1">
        <v>85286</v>
      </c>
      <c r="M596" s="1" t="s">
        <v>32</v>
      </c>
      <c r="O596" s="1" t="s">
        <v>3875</v>
      </c>
      <c r="P596" s="1" t="s">
        <v>3876</v>
      </c>
      <c r="Q596" s="87" t="s">
        <v>3877</v>
      </c>
      <c r="R596" s="31">
        <v>95799</v>
      </c>
      <c r="V596" s="4" t="s">
        <v>36</v>
      </c>
      <c r="W596" s="4" t="s">
        <v>37</v>
      </c>
      <c r="X596" s="1" t="s">
        <v>59</v>
      </c>
      <c r="Y596" s="167" t="s">
        <v>39</v>
      </c>
      <c r="Z596" s="168"/>
    </row>
    <row r="597" spans="1:38" s="4" customFormat="1" ht="15" customHeight="1">
      <c r="A597" s="163" t="s">
        <v>25</v>
      </c>
      <c r="B597" s="29" t="s">
        <v>323</v>
      </c>
      <c r="C597" s="4" t="s">
        <v>3878</v>
      </c>
      <c r="D597" s="2"/>
      <c r="E597" s="2">
        <v>45152</v>
      </c>
      <c r="F597" s="2">
        <f t="shared" si="45"/>
        <v>45166</v>
      </c>
      <c r="G597" s="2"/>
      <c r="H597" s="41">
        <v>8936</v>
      </c>
      <c r="I597" s="15" t="s">
        <v>3232</v>
      </c>
      <c r="J597" s="1" t="s">
        <v>63</v>
      </c>
      <c r="K597" s="1" t="s">
        <v>31</v>
      </c>
      <c r="L597" s="1">
        <v>85212</v>
      </c>
      <c r="M597" s="1" t="s">
        <v>32</v>
      </c>
      <c r="O597" s="1" t="s">
        <v>3879</v>
      </c>
      <c r="P597" s="1" t="s">
        <v>3880</v>
      </c>
      <c r="Q597" s="87" t="s">
        <v>3881</v>
      </c>
      <c r="R597" s="31">
        <v>89642</v>
      </c>
      <c r="V597" s="4" t="s">
        <v>36</v>
      </c>
      <c r="W597" s="4" t="s">
        <v>37</v>
      </c>
      <c r="X597" s="1" t="s">
        <v>59</v>
      </c>
      <c r="Y597" s="167" t="s">
        <v>39</v>
      </c>
      <c r="Z597" s="168"/>
    </row>
    <row r="598" spans="1:38" s="4" customFormat="1" ht="14.25" customHeight="1">
      <c r="A598" s="164" t="s">
        <v>812</v>
      </c>
      <c r="B598" s="29" t="s">
        <v>226</v>
      </c>
      <c r="C598" s="4" t="s">
        <v>3882</v>
      </c>
      <c r="D598" s="2">
        <v>44823</v>
      </c>
      <c r="E598" s="2">
        <v>45160</v>
      </c>
      <c r="F598" s="2">
        <f t="shared" si="45"/>
        <v>45174</v>
      </c>
      <c r="G598" s="2"/>
      <c r="H598" s="41">
        <v>17505</v>
      </c>
      <c r="I598" s="15" t="s">
        <v>1017</v>
      </c>
      <c r="J598" s="1" t="s">
        <v>844</v>
      </c>
      <c r="K598" s="1" t="s">
        <v>31</v>
      </c>
      <c r="L598" s="1">
        <v>85338</v>
      </c>
      <c r="M598" s="1" t="s">
        <v>32</v>
      </c>
      <c r="O598" s="1" t="s">
        <v>3883</v>
      </c>
      <c r="P598" s="1" t="s">
        <v>3884</v>
      </c>
      <c r="Q598" s="87" t="s">
        <v>3885</v>
      </c>
      <c r="R598" s="31">
        <v>95464</v>
      </c>
      <c r="V598" s="4" t="s">
        <v>443</v>
      </c>
      <c r="W598" s="4" t="s">
        <v>37</v>
      </c>
      <c r="X598" s="4" t="s">
        <v>616</v>
      </c>
      <c r="Y598" s="235" t="s">
        <v>617</v>
      </c>
      <c r="Z598" s="167" t="s">
        <v>364</v>
      </c>
    </row>
    <row r="599" spans="1:38" s="4" customFormat="1" ht="15" customHeight="1">
      <c r="A599" s="164" t="s">
        <v>812</v>
      </c>
      <c r="B599" s="70" t="s">
        <v>139</v>
      </c>
      <c r="C599" s="56" t="s">
        <v>3886</v>
      </c>
      <c r="D599" s="60"/>
      <c r="E599" s="2">
        <v>45155</v>
      </c>
      <c r="F599" s="2">
        <f t="shared" si="45"/>
        <v>45169</v>
      </c>
      <c r="G599" s="2"/>
      <c r="H599" s="54" t="s">
        <v>3887</v>
      </c>
      <c r="I599" s="80" t="s">
        <v>3888</v>
      </c>
      <c r="J599" s="55" t="s">
        <v>822</v>
      </c>
      <c r="K599" s="55" t="s">
        <v>31</v>
      </c>
      <c r="L599" s="55" t="s">
        <v>2360</v>
      </c>
      <c r="M599" s="55" t="s">
        <v>32</v>
      </c>
      <c r="N599" s="56"/>
      <c r="O599" s="55" t="s">
        <v>1690</v>
      </c>
      <c r="P599" s="55" t="s">
        <v>3889</v>
      </c>
      <c r="Q599" s="89" t="s">
        <v>3890</v>
      </c>
      <c r="R599" s="100" t="s">
        <v>3891</v>
      </c>
      <c r="V599" s="4" t="s">
        <v>443</v>
      </c>
      <c r="W599" s="4" t="s">
        <v>37</v>
      </c>
      <c r="X599" s="4" t="s">
        <v>616</v>
      </c>
      <c r="Y599" s="235" t="s">
        <v>617</v>
      </c>
      <c r="Z599" s="167" t="s">
        <v>364</v>
      </c>
    </row>
    <row r="600" spans="1:38" s="4" customFormat="1">
      <c r="A600" s="163" t="s">
        <v>25</v>
      </c>
      <c r="B600" s="29" t="s">
        <v>3892</v>
      </c>
      <c r="C600" s="4" t="s">
        <v>3893</v>
      </c>
      <c r="D600" s="130"/>
      <c r="E600" s="2">
        <v>45159</v>
      </c>
      <c r="F600" s="2">
        <f>E600+14</f>
        <v>45173</v>
      </c>
      <c r="G600" s="2"/>
      <c r="H600" s="41">
        <v>8755</v>
      </c>
      <c r="I600" s="15" t="s">
        <v>3894</v>
      </c>
      <c r="J600" s="1" t="s">
        <v>415</v>
      </c>
      <c r="K600" s="1" t="s">
        <v>31</v>
      </c>
      <c r="L600" s="1">
        <v>85284</v>
      </c>
      <c r="M600" s="1" t="s">
        <v>32</v>
      </c>
      <c r="O600" s="1" t="s">
        <v>3895</v>
      </c>
      <c r="P600" s="1" t="s">
        <v>3896</v>
      </c>
      <c r="Q600" s="87" t="s">
        <v>3897</v>
      </c>
      <c r="R600" s="31">
        <v>97000</v>
      </c>
      <c r="V600" s="4" t="s">
        <v>36</v>
      </c>
      <c r="W600" s="4" t="s">
        <v>37</v>
      </c>
      <c r="X600" s="1" t="s">
        <v>59</v>
      </c>
      <c r="Y600" s="167" t="s">
        <v>39</v>
      </c>
      <c r="Z600" s="167" t="s">
        <v>364</v>
      </c>
    </row>
    <row r="601" spans="1:38" s="4" customFormat="1" ht="15.75" customHeight="1">
      <c r="A601" s="164" t="s">
        <v>812</v>
      </c>
      <c r="B601" s="29" t="s">
        <v>3491</v>
      </c>
      <c r="C601" s="4" t="s">
        <v>3898</v>
      </c>
      <c r="D601" s="1"/>
      <c r="E601" s="2">
        <v>45153</v>
      </c>
      <c r="F601" s="2">
        <f t="shared" ref="F601:F604" si="46">E601+14</f>
        <v>45167</v>
      </c>
      <c r="G601" s="26"/>
      <c r="H601" s="2" t="s">
        <v>528</v>
      </c>
      <c r="I601" s="65" t="s">
        <v>3899</v>
      </c>
      <c r="J601" s="1" t="s">
        <v>844</v>
      </c>
      <c r="K601" s="1" t="s">
        <v>31</v>
      </c>
      <c r="L601" s="1">
        <v>85338</v>
      </c>
      <c r="M601" s="1" t="s">
        <v>32</v>
      </c>
      <c r="N601" s="4" t="s">
        <v>645</v>
      </c>
      <c r="O601" s="1" t="s">
        <v>645</v>
      </c>
      <c r="P601" s="1" t="s">
        <v>3900</v>
      </c>
      <c r="Q601" s="87" t="s">
        <v>3901</v>
      </c>
      <c r="R601" s="1">
        <v>90187</v>
      </c>
      <c r="V601" s="4" t="s">
        <v>443</v>
      </c>
      <c r="W601" s="4" t="s">
        <v>37</v>
      </c>
      <c r="X601" s="4" t="s">
        <v>616</v>
      </c>
      <c r="Y601" s="235" t="s">
        <v>617</v>
      </c>
      <c r="Z601" s="167" t="s">
        <v>364</v>
      </c>
    </row>
    <row r="602" spans="1:38" s="4" customFormat="1">
      <c r="A602" s="164" t="s">
        <v>812</v>
      </c>
      <c r="B602" s="29" t="s">
        <v>1213</v>
      </c>
      <c r="C602" s="4" t="s">
        <v>3902</v>
      </c>
      <c r="D602" s="130"/>
      <c r="E602" s="2">
        <v>45160</v>
      </c>
      <c r="F602" s="2">
        <f t="shared" si="46"/>
        <v>45174</v>
      </c>
      <c r="G602" s="2"/>
      <c r="H602" s="41">
        <v>22865</v>
      </c>
      <c r="I602" s="15" t="s">
        <v>2174</v>
      </c>
      <c r="J602" s="1" t="s">
        <v>831</v>
      </c>
      <c r="K602" s="1" t="s">
        <v>31</v>
      </c>
      <c r="L602" s="1">
        <v>85326</v>
      </c>
      <c r="M602" s="1" t="s">
        <v>32</v>
      </c>
      <c r="O602" s="1" t="s">
        <v>3903</v>
      </c>
      <c r="P602" s="1" t="s">
        <v>3904</v>
      </c>
      <c r="Q602" s="87" t="s">
        <v>3905</v>
      </c>
      <c r="R602" s="31">
        <v>88197</v>
      </c>
      <c r="V602" s="4" t="s">
        <v>443</v>
      </c>
      <c r="W602" s="4" t="s">
        <v>37</v>
      </c>
      <c r="X602" s="4" t="s">
        <v>616</v>
      </c>
      <c r="Y602" s="241" t="s">
        <v>617</v>
      </c>
      <c r="Z602" s="167" t="s">
        <v>364</v>
      </c>
    </row>
    <row r="603" spans="1:38" s="4" customFormat="1" ht="15" customHeight="1">
      <c r="A603" s="163" t="s">
        <v>25</v>
      </c>
      <c r="B603" s="29" t="s">
        <v>226</v>
      </c>
      <c r="C603" s="4" t="s">
        <v>3906</v>
      </c>
      <c r="D603" s="2">
        <v>44816</v>
      </c>
      <c r="E603" s="2">
        <v>45160</v>
      </c>
      <c r="F603" s="2">
        <f t="shared" si="46"/>
        <v>45174</v>
      </c>
      <c r="G603" s="2"/>
      <c r="H603" s="41">
        <v>1920</v>
      </c>
      <c r="I603" s="15" t="s">
        <v>3907</v>
      </c>
      <c r="J603" s="1" t="s">
        <v>63</v>
      </c>
      <c r="K603" s="1" t="s">
        <v>31</v>
      </c>
      <c r="L603" s="1">
        <v>85210</v>
      </c>
      <c r="M603" s="1" t="s">
        <v>32</v>
      </c>
      <c r="O603" s="1" t="s">
        <v>3908</v>
      </c>
      <c r="P603" s="1" t="s">
        <v>3909</v>
      </c>
      <c r="Q603" s="87" t="s">
        <v>3910</v>
      </c>
      <c r="R603" s="31">
        <v>92101</v>
      </c>
      <c r="V603" s="4" t="s">
        <v>36</v>
      </c>
      <c r="W603" s="4" t="s">
        <v>37</v>
      </c>
      <c r="X603" s="1" t="s">
        <v>59</v>
      </c>
      <c r="Y603" s="167" t="s">
        <v>39</v>
      </c>
      <c r="Z603" s="168"/>
    </row>
    <row r="604" spans="1:38" s="4" customFormat="1" ht="15.75" customHeight="1">
      <c r="A604" s="163" t="s">
        <v>25</v>
      </c>
      <c r="B604" s="29" t="s">
        <v>3911</v>
      </c>
      <c r="C604" s="4" t="s">
        <v>3912</v>
      </c>
      <c r="D604" s="130"/>
      <c r="E604" s="2">
        <v>45159</v>
      </c>
      <c r="F604" s="2">
        <f t="shared" si="46"/>
        <v>45173</v>
      </c>
      <c r="G604" s="2"/>
      <c r="H604" s="41">
        <v>4635</v>
      </c>
      <c r="I604" s="15" t="s">
        <v>585</v>
      </c>
      <c r="J604" s="1" t="s">
        <v>434</v>
      </c>
      <c r="K604" s="1" t="s">
        <v>31</v>
      </c>
      <c r="L604" s="1"/>
      <c r="M604" s="1" t="s">
        <v>32</v>
      </c>
      <c r="O604" s="1" t="s">
        <v>3913</v>
      </c>
      <c r="P604" s="1" t="s">
        <v>3914</v>
      </c>
      <c r="Q604" s="87" t="s">
        <v>3915</v>
      </c>
      <c r="R604" s="31">
        <v>91890</v>
      </c>
      <c r="V604" s="4" t="s">
        <v>36</v>
      </c>
      <c r="W604" s="4" t="s">
        <v>37</v>
      </c>
      <c r="X604" s="1" t="s">
        <v>59</v>
      </c>
      <c r="Y604" s="167" t="s">
        <v>39</v>
      </c>
      <c r="Z604" s="168"/>
    </row>
    <row r="605" spans="1:38" s="4" customFormat="1">
      <c r="A605" s="94" t="s">
        <v>1234</v>
      </c>
      <c r="B605" s="29" t="s">
        <v>3512</v>
      </c>
      <c r="C605" s="4" t="s">
        <v>3916</v>
      </c>
      <c r="D605" s="130"/>
      <c r="E605" s="2"/>
      <c r="F605" s="2"/>
      <c r="G605" s="2"/>
      <c r="H605" s="41" t="s">
        <v>3917</v>
      </c>
      <c r="I605" s="15" t="s">
        <v>3918</v>
      </c>
      <c r="J605" s="1" t="s">
        <v>916</v>
      </c>
      <c r="K605" s="1" t="s">
        <v>31</v>
      </c>
      <c r="L605" s="1"/>
      <c r="M605" s="1" t="s">
        <v>32</v>
      </c>
      <c r="O605" s="1" t="s">
        <v>3919</v>
      </c>
      <c r="P605" s="1" t="s">
        <v>3920</v>
      </c>
      <c r="Q605" s="162" t="s">
        <v>3921</v>
      </c>
      <c r="R605" s="31"/>
      <c r="V605" s="4" t="s">
        <v>443</v>
      </c>
      <c r="W605" s="4" t="s">
        <v>1418</v>
      </c>
      <c r="Y605" s="15"/>
    </row>
    <row r="606" spans="1:38" s="4" customFormat="1">
      <c r="A606" s="94" t="s">
        <v>1234</v>
      </c>
      <c r="B606" s="29" t="s">
        <v>3512</v>
      </c>
      <c r="C606" s="4" t="s">
        <v>3922</v>
      </c>
      <c r="D606" s="2"/>
      <c r="E606" s="2"/>
      <c r="F606" s="2"/>
      <c r="G606" s="2"/>
      <c r="H606" s="41" t="s">
        <v>364</v>
      </c>
      <c r="I606" s="15" t="s">
        <v>3923</v>
      </c>
      <c r="J606" s="1" t="s">
        <v>916</v>
      </c>
      <c r="K606" s="1" t="s">
        <v>31</v>
      </c>
      <c r="L606" s="1">
        <v>85706</v>
      </c>
      <c r="M606" s="1" t="s">
        <v>32</v>
      </c>
      <c r="O606" s="1" t="s">
        <v>3924</v>
      </c>
      <c r="P606" s="1" t="s">
        <v>3920</v>
      </c>
      <c r="Q606" s="166" t="s">
        <v>3925</v>
      </c>
      <c r="R606" s="31" t="s">
        <v>364</v>
      </c>
      <c r="V606" s="4" t="s">
        <v>443</v>
      </c>
      <c r="W606" s="4" t="s">
        <v>1418</v>
      </c>
      <c r="X606" s="4" t="s">
        <v>364</v>
      </c>
      <c r="Y606" s="15" t="s">
        <v>364</v>
      </c>
    </row>
    <row r="607" spans="1:38" s="4" customFormat="1" ht="15" customHeight="1">
      <c r="A607" s="163" t="s">
        <v>25</v>
      </c>
      <c r="B607" s="29" t="s">
        <v>3926</v>
      </c>
      <c r="C607" s="4" t="s">
        <v>3927</v>
      </c>
      <c r="D607" s="130"/>
      <c r="E607" s="2">
        <v>45161</v>
      </c>
      <c r="F607" s="2">
        <f>E607+14</f>
        <v>45175</v>
      </c>
      <c r="G607" s="2"/>
      <c r="H607" s="41">
        <v>3199</v>
      </c>
      <c r="I607" s="15" t="s">
        <v>1325</v>
      </c>
      <c r="J607" s="1" t="s">
        <v>69</v>
      </c>
      <c r="K607" s="1" t="s">
        <v>31</v>
      </c>
      <c r="L607" s="1">
        <v>85226</v>
      </c>
      <c r="M607" s="1" t="s">
        <v>32</v>
      </c>
      <c r="O607" s="1" t="s">
        <v>3928</v>
      </c>
      <c r="P607" s="1" t="s">
        <v>3929</v>
      </c>
      <c r="Q607" s="87" t="s">
        <v>3930</v>
      </c>
      <c r="R607" s="31">
        <v>93380</v>
      </c>
      <c r="V607" s="4" t="s">
        <v>36</v>
      </c>
      <c r="W607" s="4" t="s">
        <v>37</v>
      </c>
      <c r="X607" s="1" t="s">
        <v>59</v>
      </c>
      <c r="Y607" s="167" t="s">
        <v>39</v>
      </c>
      <c r="Z607" s="168"/>
    </row>
    <row r="608" spans="1:38" s="4" customFormat="1" ht="15.75" customHeight="1">
      <c r="A608" s="164" t="s">
        <v>812</v>
      </c>
      <c r="B608" s="29" t="s">
        <v>3931</v>
      </c>
      <c r="C608" s="4" t="s">
        <v>3932</v>
      </c>
      <c r="D608" s="130"/>
      <c r="E608" s="2">
        <v>45156</v>
      </c>
      <c r="F608" s="2">
        <f t="shared" ref="F608:F611" si="47">E608+14</f>
        <v>45170</v>
      </c>
      <c r="G608" s="2"/>
      <c r="H608" s="41"/>
      <c r="I608" s="15" t="s">
        <v>3933</v>
      </c>
      <c r="J608" s="1" t="s">
        <v>822</v>
      </c>
      <c r="K608" s="1" t="s">
        <v>31</v>
      </c>
      <c r="L608" s="1">
        <v>85305</v>
      </c>
      <c r="M608" s="1" t="s">
        <v>32</v>
      </c>
      <c r="O608" s="1" t="s">
        <v>3934</v>
      </c>
      <c r="P608" s="1" t="s">
        <v>3935</v>
      </c>
      <c r="Q608" s="87"/>
      <c r="R608" s="31"/>
      <c r="V608" s="4" t="s">
        <v>443</v>
      </c>
      <c r="W608" s="4" t="s">
        <v>37</v>
      </c>
      <c r="X608" s="4" t="s">
        <v>616</v>
      </c>
      <c r="Y608" s="235" t="s">
        <v>617</v>
      </c>
    </row>
    <row r="609" spans="1:38" s="4" customFormat="1" ht="15" customHeight="1">
      <c r="A609" s="164" t="s">
        <v>812</v>
      </c>
      <c r="B609" s="70" t="s">
        <v>3936</v>
      </c>
      <c r="C609" s="56" t="s">
        <v>3937</v>
      </c>
      <c r="D609" s="60"/>
      <c r="E609" s="2">
        <v>45166</v>
      </c>
      <c r="F609" s="2">
        <f t="shared" si="47"/>
        <v>45180</v>
      </c>
      <c r="G609" s="2"/>
      <c r="H609" s="54" t="s">
        <v>3938</v>
      </c>
      <c r="I609" s="80" t="s">
        <v>2926</v>
      </c>
      <c r="J609" s="55" t="s">
        <v>434</v>
      </c>
      <c r="K609" s="55" t="s">
        <v>31</v>
      </c>
      <c r="L609" s="55"/>
      <c r="M609" s="55"/>
      <c r="N609" s="56"/>
      <c r="O609" s="55" t="s">
        <v>3939</v>
      </c>
      <c r="P609" s="55" t="s">
        <v>3940</v>
      </c>
      <c r="Q609" s="89" t="s">
        <v>3941</v>
      </c>
      <c r="R609" s="175"/>
      <c r="V609" s="4" t="s">
        <v>443</v>
      </c>
      <c r="W609" s="4" t="s">
        <v>37</v>
      </c>
      <c r="X609" s="4" t="s">
        <v>616</v>
      </c>
      <c r="Y609" s="235" t="s">
        <v>617</v>
      </c>
      <c r="Z609" s="167" t="s">
        <v>364</v>
      </c>
    </row>
    <row r="610" spans="1:38" s="4" customFormat="1">
      <c r="A610" s="163" t="s">
        <v>25</v>
      </c>
      <c r="B610" s="29" t="s">
        <v>3942</v>
      </c>
      <c r="C610" s="4" t="s">
        <v>3943</v>
      </c>
      <c r="D610" s="130"/>
      <c r="E610" s="2">
        <v>45168</v>
      </c>
      <c r="F610" s="2">
        <f t="shared" si="47"/>
        <v>45182</v>
      </c>
      <c r="G610" s="2"/>
      <c r="H610" s="41">
        <v>770</v>
      </c>
      <c r="I610" s="15" t="s">
        <v>3944</v>
      </c>
      <c r="J610" s="1" t="s">
        <v>3945</v>
      </c>
      <c r="K610" s="1" t="s">
        <v>31</v>
      </c>
      <c r="L610" s="1">
        <v>86326</v>
      </c>
      <c r="M610" s="1" t="s">
        <v>32</v>
      </c>
      <c r="O610" s="1" t="s">
        <v>3946</v>
      </c>
      <c r="P610" s="1" t="s">
        <v>3947</v>
      </c>
      <c r="Q610" s="99" t="s">
        <v>3948</v>
      </c>
      <c r="R610" s="31">
        <v>76704</v>
      </c>
      <c r="V610" s="4" t="s">
        <v>36</v>
      </c>
      <c r="W610" s="4" t="s">
        <v>37</v>
      </c>
      <c r="X610" s="1" t="s">
        <v>59</v>
      </c>
      <c r="Y610" s="167" t="s">
        <v>39</v>
      </c>
      <c r="Z610" s="168"/>
    </row>
    <row r="611" spans="1:38" s="119" customFormat="1">
      <c r="A611" s="163" t="s">
        <v>25</v>
      </c>
      <c r="B611" s="29" t="s">
        <v>3942</v>
      </c>
      <c r="C611" s="4" t="s">
        <v>3949</v>
      </c>
      <c r="D611" s="130"/>
      <c r="E611" s="2">
        <v>45173</v>
      </c>
      <c r="F611" s="2">
        <f t="shared" si="47"/>
        <v>45187</v>
      </c>
      <c r="G611" s="2"/>
      <c r="H611" s="41">
        <v>8688</v>
      </c>
      <c r="I611" s="15" t="s">
        <v>3950</v>
      </c>
      <c r="J611" s="1" t="s">
        <v>415</v>
      </c>
      <c r="K611" s="1" t="s">
        <v>31</v>
      </c>
      <c r="L611" s="1">
        <v>85284</v>
      </c>
      <c r="M611" s="1" t="s">
        <v>32</v>
      </c>
      <c r="N611" s="4"/>
      <c r="O611" s="1" t="s">
        <v>3951</v>
      </c>
      <c r="P611" s="1" t="s">
        <v>3952</v>
      </c>
      <c r="Q611" s="87" t="s">
        <v>3953</v>
      </c>
      <c r="R611" s="31">
        <v>96767</v>
      </c>
      <c r="S611" s="4"/>
      <c r="T611" s="4"/>
      <c r="U611" s="4"/>
      <c r="V611" s="4" t="s">
        <v>36</v>
      </c>
      <c r="W611" s="4" t="s">
        <v>37</v>
      </c>
      <c r="X611" s="1" t="s">
        <v>59</v>
      </c>
      <c r="Y611" s="167" t="s">
        <v>39</v>
      </c>
      <c r="Z611" s="4"/>
      <c r="AA611" s="4"/>
      <c r="AB611" s="4"/>
      <c r="AC611" s="4"/>
      <c r="AD611" s="4"/>
      <c r="AE611" s="4"/>
      <c r="AF611" s="4"/>
      <c r="AG611" s="4"/>
      <c r="AH611" s="4"/>
      <c r="AI611" s="4"/>
      <c r="AJ611" s="4"/>
      <c r="AK611" s="4"/>
      <c r="AL611" s="4"/>
    </row>
    <row r="612" spans="1:38" s="4" customFormat="1">
      <c r="A612" s="163" t="s">
        <v>25</v>
      </c>
      <c r="B612" s="29" t="s">
        <v>1281</v>
      </c>
      <c r="C612" s="4" t="s">
        <v>3954</v>
      </c>
      <c r="D612" s="130"/>
      <c r="E612" s="2">
        <v>45175</v>
      </c>
      <c r="F612" s="2">
        <f>E612+14</f>
        <v>45189</v>
      </c>
      <c r="G612" s="2"/>
      <c r="H612" s="41">
        <v>2190</v>
      </c>
      <c r="I612" s="15" t="s">
        <v>3955</v>
      </c>
      <c r="J612" s="1" t="s">
        <v>69</v>
      </c>
      <c r="K612" s="1" t="s">
        <v>31</v>
      </c>
      <c r="L612" s="1">
        <v>85225</v>
      </c>
      <c r="M612" s="1" t="s">
        <v>32</v>
      </c>
      <c r="O612" s="1" t="s">
        <v>1312</v>
      </c>
      <c r="P612" s="1" t="s">
        <v>3956</v>
      </c>
      <c r="Q612" s="87" t="s">
        <v>3957</v>
      </c>
      <c r="R612" s="31">
        <v>92707</v>
      </c>
      <c r="V612" s="4" t="s">
        <v>36</v>
      </c>
      <c r="W612" s="4" t="s">
        <v>37</v>
      </c>
      <c r="X612" s="1" t="s">
        <v>59</v>
      </c>
      <c r="Y612" s="167" t="s">
        <v>39</v>
      </c>
      <c r="Z612" s="168"/>
    </row>
    <row r="613" spans="1:38" s="4" customFormat="1">
      <c r="A613" s="163" t="s">
        <v>25</v>
      </c>
      <c r="B613" s="118" t="s">
        <v>3437</v>
      </c>
      <c r="C613" s="119" t="s">
        <v>3958</v>
      </c>
      <c r="D613" s="2">
        <v>44742</v>
      </c>
      <c r="E613" s="26">
        <v>45190</v>
      </c>
      <c r="F613" s="2">
        <f t="shared" ref="F613:F614" si="48">E613+14</f>
        <v>45204</v>
      </c>
      <c r="G613" s="2"/>
      <c r="H613" s="41">
        <v>4670</v>
      </c>
      <c r="I613" s="15" t="s">
        <v>3959</v>
      </c>
      <c r="J613" s="1" t="s">
        <v>398</v>
      </c>
      <c r="K613" s="1" t="s">
        <v>31</v>
      </c>
      <c r="L613" s="1">
        <v>85256</v>
      </c>
      <c r="M613" s="1" t="s">
        <v>32</v>
      </c>
      <c r="O613" s="1" t="s">
        <v>3960</v>
      </c>
      <c r="P613" s="1" t="s">
        <v>3961</v>
      </c>
      <c r="Q613" s="87" t="s">
        <v>3962</v>
      </c>
      <c r="R613" s="124" t="s">
        <v>3963</v>
      </c>
      <c r="V613" s="4" t="s">
        <v>36</v>
      </c>
      <c r="W613" s="4" t="s">
        <v>37</v>
      </c>
      <c r="X613" s="1" t="s">
        <v>59</v>
      </c>
      <c r="Y613" s="167" t="s">
        <v>39</v>
      </c>
      <c r="Z613" s="168"/>
    </row>
    <row r="614" spans="1:38" s="4" customFormat="1" ht="15" customHeight="1">
      <c r="A614" s="163" t="s">
        <v>25</v>
      </c>
      <c r="B614" s="29" t="s">
        <v>3964</v>
      </c>
      <c r="C614" s="4" t="s">
        <v>500</v>
      </c>
      <c r="D614" s="130"/>
      <c r="E614" s="26">
        <v>45184</v>
      </c>
      <c r="F614" s="2">
        <f t="shared" si="48"/>
        <v>45198</v>
      </c>
      <c r="G614" s="2"/>
      <c r="H614" s="41">
        <v>1310</v>
      </c>
      <c r="I614" s="15" t="s">
        <v>501</v>
      </c>
      <c r="J614" s="1" t="s">
        <v>415</v>
      </c>
      <c r="K614" s="1" t="s">
        <v>31</v>
      </c>
      <c r="L614" s="1">
        <v>85281</v>
      </c>
      <c r="M614" s="1" t="s">
        <v>32</v>
      </c>
      <c r="O614" s="1" t="s">
        <v>3965</v>
      </c>
      <c r="P614" s="1" t="s">
        <v>3966</v>
      </c>
      <c r="Q614" s="129" t="s">
        <v>3967</v>
      </c>
      <c r="R614" s="31">
        <v>97498</v>
      </c>
      <c r="V614" s="4" t="s">
        <v>36</v>
      </c>
      <c r="W614" s="4" t="s">
        <v>37</v>
      </c>
      <c r="X614" s="1" t="s">
        <v>59</v>
      </c>
      <c r="Y614" s="167" t="s">
        <v>39</v>
      </c>
    </row>
    <row r="615" spans="1:38" s="4" customFormat="1" ht="14.25" customHeight="1">
      <c r="A615" s="164" t="s">
        <v>812</v>
      </c>
      <c r="B615" s="242" t="s">
        <v>1071</v>
      </c>
      <c r="C615" s="187" t="s">
        <v>1072</v>
      </c>
      <c r="D615" s="245">
        <v>44823</v>
      </c>
      <c r="E615" s="26">
        <v>45196</v>
      </c>
      <c r="F615" s="246">
        <f>E615+7</f>
        <v>45203</v>
      </c>
      <c r="G615" s="246" t="s">
        <v>364</v>
      </c>
      <c r="H615" s="237">
        <v>500</v>
      </c>
      <c r="I615" s="15" t="s">
        <v>1073</v>
      </c>
      <c r="J615" s="1" t="s">
        <v>894</v>
      </c>
      <c r="K615" s="1" t="s">
        <v>31</v>
      </c>
      <c r="L615" s="1"/>
      <c r="M615" s="1" t="s">
        <v>32</v>
      </c>
      <c r="O615" s="1" t="s">
        <v>3968</v>
      </c>
      <c r="P615" s="1" t="s">
        <v>3969</v>
      </c>
      <c r="Q615" s="129" t="s">
        <v>3970</v>
      </c>
      <c r="R615" s="31">
        <v>95663</v>
      </c>
      <c r="V615" s="4" t="s">
        <v>443</v>
      </c>
      <c r="W615" s="4" t="s">
        <v>37</v>
      </c>
      <c r="X615" s="4" t="s">
        <v>616</v>
      </c>
      <c r="Y615" s="235" t="s">
        <v>617</v>
      </c>
      <c r="Z615" s="168"/>
      <c r="AA615" s="119"/>
      <c r="AB615" s="119"/>
      <c r="AC615" s="119"/>
      <c r="AD615" s="119"/>
      <c r="AE615" s="119"/>
      <c r="AF615" s="119"/>
      <c r="AG615" s="119"/>
      <c r="AH615" s="119"/>
      <c r="AI615" s="119"/>
      <c r="AJ615" s="119"/>
      <c r="AK615" s="119"/>
      <c r="AL615" s="119"/>
    </row>
    <row r="616" spans="1:38" s="4" customFormat="1" ht="15" customHeight="1">
      <c r="A616" s="164" t="s">
        <v>812</v>
      </c>
      <c r="B616" s="29" t="s">
        <v>2254</v>
      </c>
      <c r="C616" s="4" t="s">
        <v>3971</v>
      </c>
      <c r="D616" s="2">
        <v>44812</v>
      </c>
      <c r="E616" s="26">
        <v>45182</v>
      </c>
      <c r="F616" s="2">
        <f t="shared" ref="F616:F618" si="49">E616+14</f>
        <v>45196</v>
      </c>
      <c r="G616" s="2"/>
      <c r="H616" s="41">
        <v>2202</v>
      </c>
      <c r="I616" s="15" t="s">
        <v>888</v>
      </c>
      <c r="J616" s="1" t="s">
        <v>434</v>
      </c>
      <c r="K616" s="1" t="s">
        <v>31</v>
      </c>
      <c r="L616" s="1">
        <v>85043</v>
      </c>
      <c r="M616" s="1" t="s">
        <v>32</v>
      </c>
      <c r="O616" s="1" t="s">
        <v>3972</v>
      </c>
      <c r="P616" s="1" t="s">
        <v>3973</v>
      </c>
      <c r="Q616" s="87" t="s">
        <v>3974</v>
      </c>
      <c r="R616" s="31">
        <v>95156</v>
      </c>
      <c r="V616" s="4" t="s">
        <v>443</v>
      </c>
      <c r="W616" s="4" t="s">
        <v>37</v>
      </c>
      <c r="X616" s="4" t="s">
        <v>616</v>
      </c>
      <c r="Y616" s="241" t="s">
        <v>617</v>
      </c>
      <c r="Z616" s="167" t="s">
        <v>364</v>
      </c>
    </row>
    <row r="617" spans="1:38" s="4" customFormat="1" ht="17.25" customHeight="1">
      <c r="A617" s="163" t="s">
        <v>25</v>
      </c>
      <c r="B617" s="29" t="s">
        <v>323</v>
      </c>
      <c r="C617" s="4" t="s">
        <v>3975</v>
      </c>
      <c r="D617" s="2"/>
      <c r="E617" s="26">
        <v>45183</v>
      </c>
      <c r="F617" s="2">
        <f t="shared" si="49"/>
        <v>45197</v>
      </c>
      <c r="G617" s="2"/>
      <c r="H617" s="41">
        <v>5501</v>
      </c>
      <c r="I617" s="15" t="s">
        <v>1625</v>
      </c>
      <c r="J617" s="1" t="s">
        <v>1510</v>
      </c>
      <c r="K617" s="1" t="s">
        <v>31</v>
      </c>
      <c r="L617" s="1">
        <v>85008</v>
      </c>
      <c r="M617" s="1" t="s">
        <v>76</v>
      </c>
      <c r="O617" s="1" t="s">
        <v>3976</v>
      </c>
      <c r="P617" s="1" t="s">
        <v>3977</v>
      </c>
      <c r="Q617" s="87" t="s">
        <v>3978</v>
      </c>
      <c r="R617" s="31">
        <v>91040</v>
      </c>
      <c r="V617" s="4" t="s">
        <v>36</v>
      </c>
      <c r="W617" s="4" t="s">
        <v>37</v>
      </c>
      <c r="X617" s="1" t="s">
        <v>59</v>
      </c>
      <c r="Y617" s="167" t="s">
        <v>39</v>
      </c>
      <c r="Z617" s="168"/>
    </row>
    <row r="618" spans="1:38" s="119" customFormat="1" ht="19.5" customHeight="1">
      <c r="A618" s="163" t="s">
        <v>25</v>
      </c>
      <c r="B618" s="29" t="s">
        <v>3979</v>
      </c>
      <c r="C618" s="4" t="s">
        <v>3980</v>
      </c>
      <c r="D618" s="130"/>
      <c r="E618" s="26">
        <v>45184</v>
      </c>
      <c r="F618" s="2">
        <f t="shared" si="49"/>
        <v>45198</v>
      </c>
      <c r="G618" s="2"/>
      <c r="H618" s="41">
        <v>910</v>
      </c>
      <c r="I618" s="15" t="s">
        <v>3981</v>
      </c>
      <c r="J618" s="1" t="s">
        <v>415</v>
      </c>
      <c r="K618" s="1" t="s">
        <v>31</v>
      </c>
      <c r="L618" s="1">
        <v>85281</v>
      </c>
      <c r="M618" s="1" t="s">
        <v>32</v>
      </c>
      <c r="N618" s="4"/>
      <c r="O618" s="1" t="s">
        <v>3982</v>
      </c>
      <c r="P618" s="1" t="s">
        <v>3983</v>
      </c>
      <c r="Q618" s="87" t="s">
        <v>3984</v>
      </c>
      <c r="R618" s="31"/>
      <c r="S618" s="4"/>
      <c r="T618" s="4"/>
      <c r="U618" s="4"/>
      <c r="V618" s="4" t="s">
        <v>36</v>
      </c>
      <c r="W618" s="4" t="s">
        <v>37</v>
      </c>
      <c r="X618" s="1" t="s">
        <v>59</v>
      </c>
      <c r="Y618" s="167" t="s">
        <v>39</v>
      </c>
      <c r="Z618" s="4"/>
      <c r="AA618" s="4"/>
      <c r="AB618" s="4"/>
      <c r="AC618" s="4"/>
      <c r="AD618" s="4"/>
      <c r="AE618" s="4"/>
      <c r="AF618" s="4"/>
      <c r="AG618" s="4"/>
      <c r="AH618" s="4"/>
      <c r="AI618" s="4"/>
      <c r="AJ618" s="4"/>
      <c r="AK618" s="4"/>
      <c r="AL618" s="4"/>
    </row>
    <row r="619" spans="1:38" s="4" customFormat="1" ht="17.25" customHeight="1">
      <c r="A619" s="163" t="s">
        <v>25</v>
      </c>
      <c r="B619" s="29" t="s">
        <v>139</v>
      </c>
      <c r="C619" s="4" t="s">
        <v>3985</v>
      </c>
      <c r="D619" s="130"/>
      <c r="E619" s="26">
        <v>45204</v>
      </c>
      <c r="F619" s="2">
        <f>E619+14</f>
        <v>45218</v>
      </c>
      <c r="G619" s="2"/>
      <c r="H619" s="1">
        <v>7111</v>
      </c>
      <c r="I619" s="15" t="s">
        <v>3986</v>
      </c>
      <c r="J619" s="1" t="s">
        <v>63</v>
      </c>
      <c r="K619" s="1" t="s">
        <v>31</v>
      </c>
      <c r="L619" s="1">
        <v>85212</v>
      </c>
      <c r="M619" s="1" t="s">
        <v>32</v>
      </c>
      <c r="O619" s="1" t="s">
        <v>3987</v>
      </c>
      <c r="P619" s="1" t="s">
        <v>3988</v>
      </c>
      <c r="Q619" s="87" t="s">
        <v>3989</v>
      </c>
      <c r="R619" s="31">
        <v>94971</v>
      </c>
      <c r="V619" s="4" t="s">
        <v>36</v>
      </c>
      <c r="W619" s="4" t="s">
        <v>37</v>
      </c>
      <c r="X619" s="1" t="s">
        <v>59</v>
      </c>
      <c r="Y619" s="167" t="s">
        <v>39</v>
      </c>
      <c r="Z619" s="168"/>
    </row>
    <row r="620" spans="1:38" s="4" customFormat="1" ht="15" customHeight="1">
      <c r="A620" s="163" t="s">
        <v>25</v>
      </c>
      <c r="B620" s="29" t="s">
        <v>2992</v>
      </c>
      <c r="C620" s="4" t="s">
        <v>3990</v>
      </c>
      <c r="D620" s="2"/>
      <c r="E620" s="26">
        <v>45205</v>
      </c>
      <c r="F620" s="2">
        <f>E620+14</f>
        <v>45219</v>
      </c>
      <c r="G620" s="2"/>
      <c r="H620" s="41">
        <v>2050</v>
      </c>
      <c r="I620" s="15" t="s">
        <v>3991</v>
      </c>
      <c r="J620" s="1" t="s">
        <v>69</v>
      </c>
      <c r="K620" s="1" t="s">
        <v>31</v>
      </c>
      <c r="L620" s="1">
        <v>85224</v>
      </c>
      <c r="M620" s="1" t="s">
        <v>32</v>
      </c>
      <c r="O620" s="1" t="s">
        <v>3992</v>
      </c>
      <c r="P620" s="1" t="s">
        <v>3993</v>
      </c>
      <c r="Q620" s="87" t="s">
        <v>3994</v>
      </c>
      <c r="R620" s="31">
        <v>91246</v>
      </c>
      <c r="V620" s="4" t="s">
        <v>36</v>
      </c>
      <c r="W620" s="4" t="s">
        <v>37</v>
      </c>
      <c r="X620" s="1" t="s">
        <v>59</v>
      </c>
      <c r="Y620" s="167" t="s">
        <v>39</v>
      </c>
      <c r="Z620" s="168"/>
    </row>
    <row r="621" spans="1:38" s="4" customFormat="1" ht="15.75" customHeight="1">
      <c r="A621" s="163" t="s">
        <v>25</v>
      </c>
      <c r="B621" s="29" t="s">
        <v>139</v>
      </c>
      <c r="C621" s="4" t="s">
        <v>3995</v>
      </c>
      <c r="D621" s="130"/>
      <c r="E621" s="26">
        <v>45203</v>
      </c>
      <c r="F621" s="2">
        <f t="shared" ref="F621:F625" si="50">E621+14</f>
        <v>45217</v>
      </c>
      <c r="G621" s="2"/>
      <c r="H621" s="41">
        <v>1200</v>
      </c>
      <c r="I621" s="15" t="s">
        <v>3865</v>
      </c>
      <c r="J621" s="1" t="s">
        <v>434</v>
      </c>
      <c r="K621" s="1" t="s">
        <v>31</v>
      </c>
      <c r="L621" s="1">
        <v>85008</v>
      </c>
      <c r="M621" s="1" t="s">
        <v>32</v>
      </c>
      <c r="O621" s="1" t="s">
        <v>3996</v>
      </c>
      <c r="P621" s="1" t="s">
        <v>3867</v>
      </c>
      <c r="Q621" s="87" t="s">
        <v>3868</v>
      </c>
      <c r="R621" s="31">
        <v>94971</v>
      </c>
      <c r="V621" s="4" t="s">
        <v>36</v>
      </c>
      <c r="W621" s="4" t="s">
        <v>37</v>
      </c>
      <c r="X621" s="1" t="s">
        <v>59</v>
      </c>
      <c r="Y621" s="167" t="s">
        <v>39</v>
      </c>
    </row>
    <row r="622" spans="1:38" s="4" customFormat="1" ht="15.75" customHeight="1">
      <c r="A622" s="164" t="s">
        <v>812</v>
      </c>
      <c r="B622" s="29" t="s">
        <v>478</v>
      </c>
      <c r="C622" s="4" t="s">
        <v>3997</v>
      </c>
      <c r="D622" s="130"/>
      <c r="E622" s="26">
        <v>45197</v>
      </c>
      <c r="F622" s="2">
        <f t="shared" si="50"/>
        <v>45211</v>
      </c>
      <c r="G622" s="2"/>
      <c r="H622" s="41">
        <v>14770</v>
      </c>
      <c r="I622" s="15" t="s">
        <v>3998</v>
      </c>
      <c r="J622" s="1" t="s">
        <v>837</v>
      </c>
      <c r="K622" s="1" t="s">
        <v>31</v>
      </c>
      <c r="L622" s="1">
        <v>85374</v>
      </c>
      <c r="M622" s="1" t="s">
        <v>32</v>
      </c>
      <c r="O622" s="1" t="s">
        <v>3999</v>
      </c>
      <c r="P622" s="1" t="s">
        <v>4000</v>
      </c>
      <c r="Q622" s="87" t="s">
        <v>4001</v>
      </c>
      <c r="R622" s="31">
        <v>94806</v>
      </c>
      <c r="V622" s="4" t="s">
        <v>443</v>
      </c>
      <c r="W622" s="4" t="s">
        <v>37</v>
      </c>
      <c r="X622" s="4" t="s">
        <v>616</v>
      </c>
      <c r="Y622" s="235" t="s">
        <v>617</v>
      </c>
      <c r="Z622" s="167" t="s">
        <v>364</v>
      </c>
    </row>
    <row r="623" spans="1:38" s="4" customFormat="1" ht="15" customHeight="1">
      <c r="A623" s="163" t="s">
        <v>25</v>
      </c>
      <c r="B623" s="29" t="s">
        <v>2254</v>
      </c>
      <c r="C623" s="4" t="s">
        <v>4002</v>
      </c>
      <c r="D623" s="130"/>
      <c r="E623" s="26">
        <v>45201</v>
      </c>
      <c r="F623" s="2">
        <f t="shared" si="50"/>
        <v>45215</v>
      </c>
      <c r="G623" s="2"/>
      <c r="H623" s="41">
        <v>44460</v>
      </c>
      <c r="I623" s="15" t="s">
        <v>4003</v>
      </c>
      <c r="J623" s="1" t="s">
        <v>45</v>
      </c>
      <c r="K623" s="1" t="s">
        <v>31</v>
      </c>
      <c r="L623" s="1">
        <v>85139</v>
      </c>
      <c r="M623" s="1" t="s">
        <v>32</v>
      </c>
      <c r="O623" s="1" t="s">
        <v>2257</v>
      </c>
      <c r="P623" s="25" t="s">
        <v>4004</v>
      </c>
      <c r="Q623" s="98" t="s">
        <v>2259</v>
      </c>
      <c r="R623" s="31">
        <v>95135</v>
      </c>
      <c r="V623" s="4" t="s">
        <v>443</v>
      </c>
      <c r="W623" s="4" t="s">
        <v>37</v>
      </c>
      <c r="X623" s="1" t="s">
        <v>59</v>
      </c>
      <c r="Y623" s="167" t="s">
        <v>39</v>
      </c>
      <c r="Z623" s="168"/>
    </row>
    <row r="624" spans="1:38" s="4" customFormat="1" ht="15" customHeight="1">
      <c r="A624" s="163" t="s">
        <v>25</v>
      </c>
      <c r="B624" s="29" t="s">
        <v>4005</v>
      </c>
      <c r="C624" s="4" t="s">
        <v>4006</v>
      </c>
      <c r="D624" s="130"/>
      <c r="E624" s="26">
        <v>45201</v>
      </c>
      <c r="F624" s="2">
        <f t="shared" si="50"/>
        <v>45215</v>
      </c>
      <c r="G624" s="2"/>
      <c r="H624" s="41">
        <v>2014</v>
      </c>
      <c r="I624" s="15" t="s">
        <v>4007</v>
      </c>
      <c r="J624" s="1" t="s">
        <v>298</v>
      </c>
      <c r="K624" s="1" t="s">
        <v>31</v>
      </c>
      <c r="L624" s="1"/>
      <c r="M624" s="1" t="s">
        <v>32</v>
      </c>
      <c r="O624" s="1" t="s">
        <v>4008</v>
      </c>
      <c r="P624" s="1" t="s">
        <v>4009</v>
      </c>
      <c r="Q624" s="87" t="s">
        <v>4010</v>
      </c>
      <c r="R624" s="31">
        <v>97423</v>
      </c>
      <c r="V624" s="4" t="s">
        <v>36</v>
      </c>
      <c r="W624" s="4" t="s">
        <v>37</v>
      </c>
      <c r="X624" s="1" t="s">
        <v>59</v>
      </c>
      <c r="Y624" s="167" t="s">
        <v>39</v>
      </c>
    </row>
    <row r="625" spans="1:26" s="4" customFormat="1">
      <c r="A625" s="164" t="s">
        <v>812</v>
      </c>
      <c r="B625" s="29" t="s">
        <v>1213</v>
      </c>
      <c r="C625" s="4" t="s">
        <v>4011</v>
      </c>
      <c r="D625" s="130"/>
      <c r="E625" s="26">
        <v>45202</v>
      </c>
      <c r="F625" s="2">
        <f t="shared" si="50"/>
        <v>45216</v>
      </c>
      <c r="G625" s="2"/>
      <c r="H625" s="41"/>
      <c r="I625" s="15" t="s">
        <v>3791</v>
      </c>
      <c r="J625" s="1" t="s">
        <v>831</v>
      </c>
      <c r="K625" s="1" t="s">
        <v>31</v>
      </c>
      <c r="L625" s="1">
        <v>85396</v>
      </c>
      <c r="M625" s="1" t="s">
        <v>32</v>
      </c>
      <c r="O625" s="1" t="s">
        <v>3238</v>
      </c>
      <c r="P625" s="1" t="s">
        <v>3239</v>
      </c>
      <c r="Q625" s="228" t="s">
        <v>3792</v>
      </c>
      <c r="R625" s="31">
        <v>96449</v>
      </c>
      <c r="V625" s="4" t="s">
        <v>443</v>
      </c>
      <c r="W625" s="4" t="s">
        <v>37</v>
      </c>
      <c r="X625" s="4" t="s">
        <v>616</v>
      </c>
      <c r="Y625" s="241" t="s">
        <v>617</v>
      </c>
      <c r="Z625" s="167" t="s">
        <v>364</v>
      </c>
    </row>
    <row r="626" spans="1:26" s="4" customFormat="1" ht="15" customHeight="1">
      <c r="A626" s="163" t="s">
        <v>25</v>
      </c>
      <c r="B626" s="248" t="s">
        <v>4012</v>
      </c>
      <c r="C626" s="248" t="s">
        <v>4013</v>
      </c>
      <c r="D626" s="249"/>
      <c r="E626" s="26">
        <v>45215</v>
      </c>
      <c r="F626" s="249">
        <f>E626+7</f>
        <v>45222</v>
      </c>
      <c r="G626" s="2"/>
      <c r="H626" s="1">
        <v>41535</v>
      </c>
      <c r="I626" s="15" t="s">
        <v>4014</v>
      </c>
      <c r="J626" s="1" t="s">
        <v>45</v>
      </c>
      <c r="K626" s="1" t="s">
        <v>31</v>
      </c>
      <c r="L626" s="1">
        <v>85138</v>
      </c>
      <c r="M626" s="1" t="s">
        <v>32</v>
      </c>
      <c r="N626" s="1" t="s">
        <v>1227</v>
      </c>
      <c r="O626" s="1" t="s">
        <v>364</v>
      </c>
      <c r="P626" s="1" t="s">
        <v>364</v>
      </c>
      <c r="Q626" s="87" t="s">
        <v>4015</v>
      </c>
      <c r="R626" s="1">
        <v>74816</v>
      </c>
      <c r="V626" s="4" t="s">
        <v>443</v>
      </c>
      <c r="W626" s="4" t="s">
        <v>37</v>
      </c>
      <c r="X626" s="1" t="s">
        <v>59</v>
      </c>
      <c r="Y626" s="167" t="s">
        <v>39</v>
      </c>
      <c r="Z626" s="168"/>
    </row>
    <row r="627" spans="1:26" s="4" customFormat="1" ht="15" customHeight="1">
      <c r="A627" s="163" t="s">
        <v>25</v>
      </c>
      <c r="B627" s="29" t="s">
        <v>4012</v>
      </c>
      <c r="C627" s="29" t="s">
        <v>4016</v>
      </c>
      <c r="D627" s="2"/>
      <c r="E627" s="26">
        <v>45215</v>
      </c>
      <c r="F627" s="2">
        <f>E627+14</f>
        <v>45229</v>
      </c>
      <c r="G627" s="2"/>
      <c r="H627" s="1">
        <v>41535</v>
      </c>
      <c r="I627" s="15" t="s">
        <v>4014</v>
      </c>
      <c r="J627" s="1" t="s">
        <v>45</v>
      </c>
      <c r="K627" s="1" t="s">
        <v>31</v>
      </c>
      <c r="L627" s="1">
        <v>85138</v>
      </c>
      <c r="M627" s="1" t="s">
        <v>32</v>
      </c>
      <c r="N627" s="1" t="s">
        <v>1227</v>
      </c>
      <c r="O627" s="1" t="s">
        <v>364</v>
      </c>
      <c r="P627" s="1" t="s">
        <v>364</v>
      </c>
      <c r="Q627" s="98" t="s">
        <v>4015</v>
      </c>
      <c r="R627" s="1">
        <v>74816</v>
      </c>
      <c r="V627" s="4" t="s">
        <v>443</v>
      </c>
      <c r="W627" s="4" t="s">
        <v>37</v>
      </c>
      <c r="X627" s="1" t="s">
        <v>59</v>
      </c>
      <c r="Y627" s="167" t="s">
        <v>39</v>
      </c>
      <c r="Z627" s="168"/>
    </row>
    <row r="628" spans="1:26" s="4" customFormat="1">
      <c r="A628" s="164" t="s">
        <v>812</v>
      </c>
      <c r="B628" s="29" t="s">
        <v>478</v>
      </c>
      <c r="C628" s="4" t="s">
        <v>4017</v>
      </c>
      <c r="D628" s="130"/>
      <c r="E628" s="26">
        <v>45218</v>
      </c>
      <c r="F628" s="2">
        <f>E628+14</f>
        <v>45232</v>
      </c>
      <c r="G628" s="2"/>
      <c r="H628" s="41">
        <v>7009</v>
      </c>
      <c r="I628" s="15" t="s">
        <v>4018</v>
      </c>
      <c r="J628" s="1" t="s">
        <v>434</v>
      </c>
      <c r="K628" s="1" t="s">
        <v>31</v>
      </c>
      <c r="L628" s="1">
        <v>85042</v>
      </c>
      <c r="M628" s="1" t="s">
        <v>32</v>
      </c>
      <c r="O628" s="1" t="s">
        <v>4019</v>
      </c>
      <c r="P628" s="1" t="s">
        <v>4020</v>
      </c>
      <c r="Q628" s="87" t="s">
        <v>4021</v>
      </c>
      <c r="R628" s="31">
        <v>95168</v>
      </c>
      <c r="V628" s="4" t="s">
        <v>443</v>
      </c>
      <c r="W628" s="4" t="s">
        <v>37</v>
      </c>
      <c r="X628" s="4" t="s">
        <v>616</v>
      </c>
      <c r="Y628" s="235" t="s">
        <v>617</v>
      </c>
      <c r="Z628" s="167" t="s">
        <v>364</v>
      </c>
    </row>
    <row r="629" spans="1:26" s="4" customFormat="1">
      <c r="A629" s="163" t="s">
        <v>25</v>
      </c>
      <c r="B629" s="29" t="s">
        <v>139</v>
      </c>
      <c r="C629" s="4" t="s">
        <v>4022</v>
      </c>
      <c r="D629" s="130"/>
      <c r="E629" s="26">
        <v>45217</v>
      </c>
      <c r="F629" s="2">
        <f t="shared" ref="F629:F637" si="51">E629+14</f>
        <v>45231</v>
      </c>
      <c r="G629" s="2"/>
      <c r="H629" s="41">
        <v>1200</v>
      </c>
      <c r="I629" s="15" t="s">
        <v>3865</v>
      </c>
      <c r="J629" s="1" t="s">
        <v>434</v>
      </c>
      <c r="K629" s="1" t="s">
        <v>31</v>
      </c>
      <c r="L629" s="1">
        <v>85008</v>
      </c>
      <c r="M629" s="1" t="s">
        <v>32</v>
      </c>
      <c r="O629" s="1" t="s">
        <v>3996</v>
      </c>
      <c r="P629" s="1" t="s">
        <v>3867</v>
      </c>
      <c r="Q629" s="87" t="s">
        <v>3868</v>
      </c>
      <c r="R629" s="31">
        <v>94971</v>
      </c>
      <c r="V629" s="4" t="s">
        <v>36</v>
      </c>
      <c r="W629" s="4" t="s">
        <v>37</v>
      </c>
      <c r="X629" s="1" t="s">
        <v>59</v>
      </c>
      <c r="Y629" s="167" t="s">
        <v>39</v>
      </c>
    </row>
    <row r="630" spans="1:26" s="4" customFormat="1" ht="15" customHeight="1">
      <c r="A630" s="163" t="s">
        <v>25</v>
      </c>
      <c r="B630" s="29" t="s">
        <v>2254</v>
      </c>
      <c r="C630" s="4" t="s">
        <v>4002</v>
      </c>
      <c r="D630" s="130"/>
      <c r="E630" s="26">
        <v>45215</v>
      </c>
      <c r="F630" s="2">
        <f t="shared" si="51"/>
        <v>45229</v>
      </c>
      <c r="G630" s="2"/>
      <c r="H630" s="41">
        <v>44460</v>
      </c>
      <c r="I630" s="15" t="s">
        <v>4003</v>
      </c>
      <c r="J630" s="1" t="s">
        <v>45</v>
      </c>
      <c r="K630" s="1" t="s">
        <v>31</v>
      </c>
      <c r="L630" s="1">
        <v>85139</v>
      </c>
      <c r="M630" s="1" t="s">
        <v>32</v>
      </c>
      <c r="O630" s="1" t="s">
        <v>2257</v>
      </c>
      <c r="P630" s="25" t="s">
        <v>4004</v>
      </c>
      <c r="Q630" s="98" t="s">
        <v>2259</v>
      </c>
      <c r="R630" s="31">
        <v>95135</v>
      </c>
      <c r="V630" s="4" t="s">
        <v>443</v>
      </c>
      <c r="W630" s="4" t="s">
        <v>37</v>
      </c>
      <c r="X630" s="1" t="s">
        <v>59</v>
      </c>
      <c r="Y630" s="167" t="s">
        <v>39</v>
      </c>
      <c r="Z630" s="168"/>
    </row>
    <row r="631" spans="1:26" s="4" customFormat="1" ht="17.25" customHeight="1">
      <c r="A631" s="163" t="s">
        <v>25</v>
      </c>
      <c r="B631" s="29" t="s">
        <v>139</v>
      </c>
      <c r="C631" s="4" t="s">
        <v>4023</v>
      </c>
      <c r="D631" s="2">
        <v>44816</v>
      </c>
      <c r="E631" s="26">
        <v>45216</v>
      </c>
      <c r="F631" s="2">
        <f t="shared" si="51"/>
        <v>45230</v>
      </c>
      <c r="G631" s="2"/>
      <c r="H631" s="41">
        <v>7250</v>
      </c>
      <c r="I631" s="15" t="s">
        <v>1977</v>
      </c>
      <c r="J631" s="1" t="s">
        <v>63</v>
      </c>
      <c r="K631" s="1" t="s">
        <v>31</v>
      </c>
      <c r="L631" s="1">
        <v>85212</v>
      </c>
      <c r="M631" s="1" t="s">
        <v>32</v>
      </c>
      <c r="O631" s="1" t="s">
        <v>4024</v>
      </c>
      <c r="P631" s="1" t="s">
        <v>4025</v>
      </c>
      <c r="Q631" s="87" t="s">
        <v>4026</v>
      </c>
      <c r="R631" s="31">
        <v>95812</v>
      </c>
      <c r="V631" s="4" t="s">
        <v>36</v>
      </c>
      <c r="W631" s="4" t="s">
        <v>37</v>
      </c>
      <c r="X631" s="1" t="s">
        <v>59</v>
      </c>
      <c r="Y631" s="167" t="s">
        <v>39</v>
      </c>
      <c r="Z631" s="168"/>
    </row>
    <row r="632" spans="1:26" s="4" customFormat="1">
      <c r="A632" s="164" t="s">
        <v>812</v>
      </c>
      <c r="B632" s="29" t="s">
        <v>4027</v>
      </c>
      <c r="C632" s="4" t="s">
        <v>4028</v>
      </c>
      <c r="D632" s="2"/>
      <c r="E632" s="26">
        <v>45217</v>
      </c>
      <c r="F632" s="2">
        <f t="shared" si="51"/>
        <v>45231</v>
      </c>
      <c r="G632" s="2"/>
      <c r="H632" s="41" t="s">
        <v>379</v>
      </c>
      <c r="I632" s="15" t="s">
        <v>4029</v>
      </c>
      <c r="J632" s="1" t="s">
        <v>822</v>
      </c>
      <c r="K632" s="1" t="s">
        <v>31</v>
      </c>
      <c r="L632" s="1"/>
      <c r="M632" s="1" t="s">
        <v>32</v>
      </c>
      <c r="O632" s="1" t="s">
        <v>4030</v>
      </c>
      <c r="P632" s="1" t="s">
        <v>4031</v>
      </c>
      <c r="Q632" s="87" t="s">
        <v>4032</v>
      </c>
      <c r="R632" s="174"/>
      <c r="V632" s="4" t="s">
        <v>443</v>
      </c>
      <c r="W632" s="4" t="s">
        <v>37</v>
      </c>
      <c r="X632" s="4" t="s">
        <v>616</v>
      </c>
      <c r="Y632" s="235" t="s">
        <v>617</v>
      </c>
      <c r="Z632" s="167" t="s">
        <v>364</v>
      </c>
    </row>
    <row r="633" spans="1:26" s="4" customFormat="1" ht="14.25" customHeight="1">
      <c r="A633" s="163" t="s">
        <v>25</v>
      </c>
      <c r="B633" s="29" t="s">
        <v>168</v>
      </c>
      <c r="C633" s="4" t="s">
        <v>4033</v>
      </c>
      <c r="D633" s="91"/>
      <c r="E633" s="2">
        <v>45233</v>
      </c>
      <c r="F633" s="2">
        <f t="shared" si="51"/>
        <v>45247</v>
      </c>
      <c r="G633" s="26"/>
      <c r="H633" s="41">
        <v>4559</v>
      </c>
      <c r="I633" s="15" t="s">
        <v>1856</v>
      </c>
      <c r="J633" s="1" t="s">
        <v>49</v>
      </c>
      <c r="K633" s="1" t="s">
        <v>31</v>
      </c>
      <c r="L633" s="1">
        <v>85296</v>
      </c>
      <c r="M633" s="1" t="s">
        <v>32</v>
      </c>
      <c r="O633" s="1" t="s">
        <v>4034</v>
      </c>
      <c r="P633" s="1" t="s">
        <v>4035</v>
      </c>
      <c r="Q633" s="99" t="s">
        <v>4036</v>
      </c>
      <c r="R633" s="31">
        <v>92356</v>
      </c>
      <c r="V633" s="4" t="s">
        <v>36</v>
      </c>
      <c r="W633" s="4" t="s">
        <v>37</v>
      </c>
      <c r="X633" s="1" t="s">
        <v>59</v>
      </c>
      <c r="Y633" s="167" t="s">
        <v>39</v>
      </c>
      <c r="Z633" s="168"/>
    </row>
    <row r="634" spans="1:26" s="4" customFormat="1" ht="15" customHeight="1">
      <c r="A634" s="258" t="s">
        <v>812</v>
      </c>
      <c r="B634" s="29" t="s">
        <v>1281</v>
      </c>
      <c r="C634" s="4" t="s">
        <v>4037</v>
      </c>
      <c r="D634" s="130"/>
      <c r="E634" s="2">
        <v>45226</v>
      </c>
      <c r="F634" s="2">
        <f t="shared" si="51"/>
        <v>45240</v>
      </c>
      <c r="G634" s="2"/>
      <c r="H634" s="41">
        <v>1440</v>
      </c>
      <c r="I634" s="15" t="s">
        <v>4038</v>
      </c>
      <c r="J634" s="1" t="s">
        <v>1566</v>
      </c>
      <c r="K634" s="1" t="s">
        <v>31</v>
      </c>
      <c r="L634" s="1">
        <v>85705</v>
      </c>
      <c r="M634" s="1" t="s">
        <v>32</v>
      </c>
      <c r="O634" s="1" t="s">
        <v>4039</v>
      </c>
      <c r="P634" s="1" t="s">
        <v>4040</v>
      </c>
      <c r="Q634" s="87" t="s">
        <v>4041</v>
      </c>
      <c r="R634" s="174"/>
      <c r="V634" s="4" t="s">
        <v>443</v>
      </c>
      <c r="W634" s="4" t="s">
        <v>37</v>
      </c>
      <c r="X634" s="4" t="s">
        <v>616</v>
      </c>
      <c r="Y634" s="235" t="s">
        <v>617</v>
      </c>
    </row>
    <row r="635" spans="1:26" s="4" customFormat="1" ht="16.5" customHeight="1">
      <c r="A635" s="164" t="s">
        <v>812</v>
      </c>
      <c r="B635" s="29" t="s">
        <v>2513</v>
      </c>
      <c r="C635" s="4" t="s">
        <v>4042</v>
      </c>
      <c r="D635" s="2"/>
      <c r="E635" s="2">
        <v>45229</v>
      </c>
      <c r="F635" s="60">
        <f t="shared" si="51"/>
        <v>45243</v>
      </c>
      <c r="G635" s="2"/>
      <c r="H635" s="41">
        <v>2625</v>
      </c>
      <c r="I635" s="15" t="s">
        <v>2129</v>
      </c>
      <c r="J635" s="1" t="s">
        <v>434</v>
      </c>
      <c r="K635" s="1" t="s">
        <v>31</v>
      </c>
      <c r="L635" s="1">
        <v>85032</v>
      </c>
      <c r="M635" s="1" t="s">
        <v>32</v>
      </c>
      <c r="N635" s="1" t="s">
        <v>4043</v>
      </c>
      <c r="O635" s="1" t="s">
        <v>4044</v>
      </c>
      <c r="P635" s="1" t="s">
        <v>4045</v>
      </c>
      <c r="Q635" s="256" t="s">
        <v>4046</v>
      </c>
      <c r="R635" s="31">
        <v>90668</v>
      </c>
      <c r="V635" s="4" t="s">
        <v>443</v>
      </c>
      <c r="W635" s="4" t="s">
        <v>37</v>
      </c>
      <c r="X635" s="4" t="s">
        <v>616</v>
      </c>
      <c r="Y635" s="235" t="s">
        <v>617</v>
      </c>
      <c r="Z635" s="167" t="s">
        <v>364</v>
      </c>
    </row>
    <row r="636" spans="1:26" s="4" customFormat="1">
      <c r="A636" s="164" t="s">
        <v>812</v>
      </c>
      <c r="B636" s="29" t="s">
        <v>1570</v>
      </c>
      <c r="C636" s="4" t="s">
        <v>4047</v>
      </c>
      <c r="D636" s="2"/>
      <c r="E636" s="2">
        <v>45225</v>
      </c>
      <c r="F636" s="2">
        <f t="shared" si="51"/>
        <v>45239</v>
      </c>
      <c r="G636" s="2"/>
      <c r="H636" s="41"/>
      <c r="I636" s="15" t="s">
        <v>4048</v>
      </c>
      <c r="J636" s="1" t="s">
        <v>837</v>
      </c>
      <c r="K636" s="1" t="s">
        <v>31</v>
      </c>
      <c r="L636" s="1"/>
      <c r="M636" s="1" t="s">
        <v>32</v>
      </c>
      <c r="O636" s="1" t="s">
        <v>1573</v>
      </c>
      <c r="P636" s="1" t="s">
        <v>1577</v>
      </c>
      <c r="Q636" s="184" t="s">
        <v>4049</v>
      </c>
      <c r="R636" s="31">
        <v>91185</v>
      </c>
      <c r="V636" s="4" t="s">
        <v>443</v>
      </c>
      <c r="W636" s="4" t="s">
        <v>37</v>
      </c>
      <c r="X636" s="4" t="s">
        <v>616</v>
      </c>
      <c r="Y636" s="235" t="s">
        <v>617</v>
      </c>
      <c r="Z636" s="167" t="s">
        <v>364</v>
      </c>
    </row>
    <row r="637" spans="1:26" s="4" customFormat="1" ht="17.25" customHeight="1">
      <c r="A637" s="164" t="s">
        <v>812</v>
      </c>
      <c r="B637" s="118" t="s">
        <v>3582</v>
      </c>
      <c r="C637" s="119" t="s">
        <v>4050</v>
      </c>
      <c r="D637" s="2">
        <v>44748</v>
      </c>
      <c r="E637" s="2">
        <v>45231</v>
      </c>
      <c r="F637" s="2">
        <f t="shared" si="51"/>
        <v>45245</v>
      </c>
      <c r="G637" s="2"/>
      <c r="H637" s="41">
        <v>8700</v>
      </c>
      <c r="I637" s="15" t="s">
        <v>2023</v>
      </c>
      <c r="J637" s="1" t="s">
        <v>4051</v>
      </c>
      <c r="K637" s="1" t="s">
        <v>31</v>
      </c>
      <c r="L637" s="1">
        <v>85345</v>
      </c>
      <c r="M637" s="1" t="s">
        <v>32</v>
      </c>
      <c r="O637" s="1" t="s">
        <v>4052</v>
      </c>
      <c r="P637" s="1" t="s">
        <v>4053</v>
      </c>
      <c r="Q637" s="87" t="s">
        <v>4054</v>
      </c>
      <c r="R637" s="178">
        <v>95107</v>
      </c>
      <c r="V637" s="4" t="s">
        <v>443</v>
      </c>
      <c r="W637" s="4" t="s">
        <v>37</v>
      </c>
      <c r="X637" s="4" t="s">
        <v>616</v>
      </c>
      <c r="Y637" s="235" t="s">
        <v>617</v>
      </c>
      <c r="Z637" s="167" t="s">
        <v>364</v>
      </c>
    </row>
    <row r="638" spans="1:26" s="4" customFormat="1" ht="15" customHeight="1">
      <c r="A638" s="164" t="s">
        <v>812</v>
      </c>
      <c r="B638" s="29" t="s">
        <v>412</v>
      </c>
      <c r="C638" s="4" t="s">
        <v>4055</v>
      </c>
      <c r="D638" s="2"/>
      <c r="E638" s="2">
        <v>45217</v>
      </c>
      <c r="F638" s="2">
        <f>E638+28</f>
        <v>45245</v>
      </c>
      <c r="G638" s="26"/>
      <c r="H638" s="1" t="s">
        <v>4056</v>
      </c>
      <c r="I638" s="65" t="s">
        <v>4057</v>
      </c>
      <c r="J638" s="1" t="s">
        <v>837</v>
      </c>
      <c r="K638" s="1" t="s">
        <v>31</v>
      </c>
      <c r="L638" s="1"/>
      <c r="M638" s="1" t="s">
        <v>32</v>
      </c>
      <c r="O638" s="1" t="s">
        <v>4058</v>
      </c>
      <c r="P638" s="73" t="s">
        <v>4059</v>
      </c>
      <c r="Q638" s="255" t="s">
        <v>4060</v>
      </c>
      <c r="R638" s="31">
        <v>93175</v>
      </c>
      <c r="S638" s="187"/>
      <c r="T638" s="187"/>
      <c r="U638" s="187"/>
      <c r="V638" s="4" t="s">
        <v>443</v>
      </c>
      <c r="W638" s="4" t="s">
        <v>37</v>
      </c>
      <c r="X638" s="4" t="s">
        <v>616</v>
      </c>
      <c r="Y638" s="235" t="s">
        <v>617</v>
      </c>
      <c r="Z638" s="167" t="s">
        <v>364</v>
      </c>
    </row>
    <row r="639" spans="1:26" s="4" customFormat="1" ht="17.25" customHeight="1">
      <c r="A639" s="163" t="s">
        <v>25</v>
      </c>
      <c r="B639" s="29" t="s">
        <v>139</v>
      </c>
      <c r="C639" s="4" t="s">
        <v>4061</v>
      </c>
      <c r="D639" s="130"/>
      <c r="E639" s="2">
        <v>45244</v>
      </c>
      <c r="F639" s="2">
        <f t="shared" ref="F639:F643" si="52">E639+14</f>
        <v>45258</v>
      </c>
      <c r="G639" s="2"/>
      <c r="H639" s="41">
        <v>6927</v>
      </c>
      <c r="I639" s="15" t="s">
        <v>62</v>
      </c>
      <c r="J639" s="1" t="s">
        <v>63</v>
      </c>
      <c r="K639" s="1" t="s">
        <v>31</v>
      </c>
      <c r="L639" s="1">
        <v>85242</v>
      </c>
      <c r="M639" s="1" t="s">
        <v>32</v>
      </c>
      <c r="O639" s="1" t="s">
        <v>4062</v>
      </c>
      <c r="P639" s="1" t="s">
        <v>4063</v>
      </c>
      <c r="Q639" s="87" t="s">
        <v>4064</v>
      </c>
      <c r="R639" s="124">
        <v>97167</v>
      </c>
      <c r="V639" s="4" t="s">
        <v>36</v>
      </c>
      <c r="W639" s="4" t="s">
        <v>37</v>
      </c>
      <c r="X639" s="1" t="s">
        <v>59</v>
      </c>
      <c r="Y639" s="167" t="s">
        <v>39</v>
      </c>
    </row>
    <row r="640" spans="1:26" s="4" customFormat="1">
      <c r="A640" s="164" t="s">
        <v>812</v>
      </c>
      <c r="B640" s="70" t="s">
        <v>139</v>
      </c>
      <c r="C640" s="56" t="s">
        <v>4065</v>
      </c>
      <c r="D640" s="60"/>
      <c r="E640" s="2">
        <v>45252</v>
      </c>
      <c r="F640" s="2">
        <f t="shared" si="52"/>
        <v>45266</v>
      </c>
      <c r="G640" s="2"/>
      <c r="H640" s="54"/>
      <c r="I640" s="80" t="s">
        <v>4066</v>
      </c>
      <c r="J640" s="55" t="s">
        <v>434</v>
      </c>
      <c r="K640" s="55" t="s">
        <v>31</v>
      </c>
      <c r="L640" s="55" t="s">
        <v>1390</v>
      </c>
      <c r="M640" s="55"/>
      <c r="N640" s="56"/>
      <c r="O640" s="55" t="s">
        <v>4067</v>
      </c>
      <c r="P640" s="55" t="s">
        <v>4068</v>
      </c>
      <c r="Q640" s="89" t="s">
        <v>4069</v>
      </c>
      <c r="R640" s="57">
        <v>96353</v>
      </c>
      <c r="V640" s="4" t="s">
        <v>443</v>
      </c>
      <c r="W640" s="4" t="s">
        <v>37</v>
      </c>
      <c r="X640" s="4" t="s">
        <v>616</v>
      </c>
      <c r="Y640" s="235" t="s">
        <v>617</v>
      </c>
      <c r="Z640" s="167" t="s">
        <v>364</v>
      </c>
    </row>
    <row r="641" spans="1:26" s="4" customFormat="1" ht="15" customHeight="1">
      <c r="A641" s="164" t="s">
        <v>812</v>
      </c>
      <c r="B641" s="29" t="s">
        <v>276</v>
      </c>
      <c r="C641" s="4" t="s">
        <v>4070</v>
      </c>
      <c r="D641" s="130"/>
      <c r="E641" s="2">
        <v>45252</v>
      </c>
      <c r="F641" s="2">
        <f t="shared" si="52"/>
        <v>45266</v>
      </c>
      <c r="G641" s="2"/>
      <c r="H641" s="41" t="s">
        <v>379</v>
      </c>
      <c r="I641" s="15" t="s">
        <v>4071</v>
      </c>
      <c r="J641" s="1" t="s">
        <v>894</v>
      </c>
      <c r="K641" s="1" t="s">
        <v>31</v>
      </c>
      <c r="L641" s="1">
        <v>85353</v>
      </c>
      <c r="M641" s="1" t="s">
        <v>32</v>
      </c>
      <c r="O641" s="1" t="s">
        <v>4072</v>
      </c>
      <c r="P641" s="1" t="s">
        <v>4073</v>
      </c>
      <c r="Q641" s="87" t="s">
        <v>4074</v>
      </c>
      <c r="R641" s="31">
        <v>95798</v>
      </c>
      <c r="V641" s="4" t="s">
        <v>443</v>
      </c>
      <c r="W641" s="4" t="s">
        <v>37</v>
      </c>
      <c r="X641" s="4" t="s">
        <v>616</v>
      </c>
      <c r="Y641" s="235" t="s">
        <v>617</v>
      </c>
      <c r="Z641" s="167" t="s">
        <v>364</v>
      </c>
    </row>
    <row r="642" spans="1:26" s="4" customFormat="1" ht="16.5" customHeight="1">
      <c r="A642" s="163" t="s">
        <v>25</v>
      </c>
      <c r="B642" s="29" t="s">
        <v>4075</v>
      </c>
      <c r="C642" s="4" t="s">
        <v>4076</v>
      </c>
      <c r="D642" s="130"/>
      <c r="E642" s="2">
        <v>45251</v>
      </c>
      <c r="F642" s="2">
        <f t="shared" si="52"/>
        <v>45265</v>
      </c>
      <c r="G642" s="2"/>
      <c r="H642" s="41" t="s">
        <v>43</v>
      </c>
      <c r="I642" s="15" t="s">
        <v>4077</v>
      </c>
      <c r="J642" s="1" t="s">
        <v>129</v>
      </c>
      <c r="K642" s="1" t="s">
        <v>31</v>
      </c>
      <c r="L642" s="1">
        <v>85142</v>
      </c>
      <c r="M642" s="1" t="s">
        <v>32</v>
      </c>
      <c r="O642" s="1" t="s">
        <v>4078</v>
      </c>
      <c r="P642" s="1" t="s">
        <v>4079</v>
      </c>
      <c r="Q642" s="87" t="s">
        <v>4080</v>
      </c>
      <c r="R642" s="124">
        <v>94014</v>
      </c>
      <c r="V642" s="4" t="s">
        <v>36</v>
      </c>
      <c r="W642" s="4" t="s">
        <v>37</v>
      </c>
      <c r="X642" s="1" t="s">
        <v>59</v>
      </c>
      <c r="Y642" s="167" t="s">
        <v>39</v>
      </c>
      <c r="Z642" s="168"/>
    </row>
    <row r="643" spans="1:26" s="4" customFormat="1" ht="15" customHeight="1">
      <c r="A643" s="163" t="s">
        <v>25</v>
      </c>
      <c r="B643" s="29" t="s">
        <v>4081</v>
      </c>
      <c r="C643" s="4" t="s">
        <v>4082</v>
      </c>
      <c r="D643" s="130"/>
      <c r="E643" s="2">
        <v>45257</v>
      </c>
      <c r="F643" s="2">
        <f t="shared" si="52"/>
        <v>45271</v>
      </c>
      <c r="G643" s="2"/>
      <c r="H643" s="41">
        <v>445</v>
      </c>
      <c r="I643" s="15" t="s">
        <v>4083</v>
      </c>
      <c r="J643" s="1" t="s">
        <v>298</v>
      </c>
      <c r="K643" s="1" t="s">
        <v>31</v>
      </c>
      <c r="L643" s="1">
        <v>85119</v>
      </c>
      <c r="M643" s="1" t="s">
        <v>32</v>
      </c>
      <c r="O643" s="1" t="s">
        <v>4084</v>
      </c>
      <c r="P643" s="1" t="s">
        <v>4085</v>
      </c>
      <c r="Q643" s="87" t="s">
        <v>4086</v>
      </c>
      <c r="R643" s="254">
        <v>94254</v>
      </c>
      <c r="V643" s="4" t="s">
        <v>36</v>
      </c>
      <c r="W643" s="4" t="s">
        <v>37</v>
      </c>
      <c r="X643" s="1" t="s">
        <v>59</v>
      </c>
      <c r="Y643" s="167" t="s">
        <v>39</v>
      </c>
    </row>
    <row r="644" spans="1:26" s="4" customFormat="1" ht="15.75" customHeight="1">
      <c r="A644" s="164" t="s">
        <v>812</v>
      </c>
      <c r="B644" s="70" t="s">
        <v>2001</v>
      </c>
      <c r="C644" s="56" t="s">
        <v>4087</v>
      </c>
      <c r="D644" s="60"/>
      <c r="E644" s="26">
        <v>45285</v>
      </c>
      <c r="F644" s="60">
        <f>E644+28</f>
        <v>45313</v>
      </c>
      <c r="G644" s="60"/>
      <c r="H644" s="54"/>
      <c r="I644" s="80" t="s">
        <v>4088</v>
      </c>
      <c r="J644" s="55" t="s">
        <v>831</v>
      </c>
      <c r="K644" s="55" t="s">
        <v>31</v>
      </c>
      <c r="L644" s="55"/>
      <c r="M644" s="55" t="s">
        <v>32</v>
      </c>
      <c r="N644" s="56"/>
      <c r="O644" s="55" t="s">
        <v>2004</v>
      </c>
      <c r="P644" s="55" t="s">
        <v>2009</v>
      </c>
      <c r="Q644" s="240" t="s">
        <v>4089</v>
      </c>
      <c r="R644" s="175"/>
      <c r="V644" s="4" t="s">
        <v>443</v>
      </c>
      <c r="W644" s="4" t="s">
        <v>37</v>
      </c>
      <c r="X644" s="4" t="s">
        <v>616</v>
      </c>
      <c r="Y644" s="241" t="s">
        <v>617</v>
      </c>
      <c r="Z644" s="167" t="s">
        <v>364</v>
      </c>
    </row>
    <row r="645" spans="1:26" s="4" customFormat="1" ht="15" customHeight="1">
      <c r="A645" s="258" t="s">
        <v>812</v>
      </c>
      <c r="B645" s="29" t="s">
        <v>1915</v>
      </c>
      <c r="C645" s="4" t="s">
        <v>4090</v>
      </c>
      <c r="D645" s="130"/>
      <c r="E645" s="26">
        <v>45282</v>
      </c>
      <c r="F645" s="2">
        <f>E645+14</f>
        <v>45296</v>
      </c>
      <c r="G645" s="2"/>
      <c r="H645" s="41">
        <v>1502</v>
      </c>
      <c r="I645" s="15" t="s">
        <v>4091</v>
      </c>
      <c r="J645" s="1" t="s">
        <v>916</v>
      </c>
      <c r="K645" s="1" t="s">
        <v>31</v>
      </c>
      <c r="L645" s="1">
        <v>85719</v>
      </c>
      <c r="M645" s="1" t="s">
        <v>32</v>
      </c>
      <c r="O645" s="1" t="s">
        <v>4092</v>
      </c>
      <c r="P645" s="1" t="s">
        <v>4093</v>
      </c>
      <c r="Q645" s="87" t="s">
        <v>4094</v>
      </c>
      <c r="R645" s="31">
        <v>94784</v>
      </c>
      <c r="V645" s="4" t="s">
        <v>443</v>
      </c>
      <c r="W645" s="4" t="s">
        <v>37</v>
      </c>
      <c r="X645" s="4" t="s">
        <v>616</v>
      </c>
      <c r="Y645" s="235" t="s">
        <v>617</v>
      </c>
    </row>
    <row r="646" spans="1:26" s="4" customFormat="1" ht="15" customHeight="1">
      <c r="A646" s="163" t="s">
        <v>25</v>
      </c>
      <c r="B646" s="29" t="s">
        <v>4095</v>
      </c>
      <c r="C646" s="4" t="s">
        <v>4096</v>
      </c>
      <c r="D646" s="130"/>
      <c r="E646" s="26">
        <v>45286</v>
      </c>
      <c r="F646" s="2">
        <f t="shared" ref="F646:F647" si="53">E646+14</f>
        <v>45300</v>
      </c>
      <c r="G646" s="2"/>
      <c r="H646" s="41">
        <v>6000</v>
      </c>
      <c r="I646" s="15" t="s">
        <v>4097</v>
      </c>
      <c r="J646" s="1" t="s">
        <v>398</v>
      </c>
      <c r="K646" s="1" t="s">
        <v>31</v>
      </c>
      <c r="L646" s="1">
        <v>85251</v>
      </c>
      <c r="M646" s="1" t="s">
        <v>32</v>
      </c>
      <c r="O646" s="1" t="s">
        <v>4098</v>
      </c>
      <c r="P646" s="1" t="s">
        <v>4099</v>
      </c>
      <c r="Q646" s="87" t="s">
        <v>4100</v>
      </c>
      <c r="R646" s="31"/>
      <c r="V646" s="4" t="s">
        <v>36</v>
      </c>
      <c r="W646" s="4" t="s">
        <v>37</v>
      </c>
      <c r="X646" s="1" t="s">
        <v>59</v>
      </c>
      <c r="Y646" s="167" t="s">
        <v>39</v>
      </c>
    </row>
    <row r="647" spans="1:26" s="4" customFormat="1" ht="16.5" customHeight="1">
      <c r="A647" s="163" t="s">
        <v>25</v>
      </c>
      <c r="B647" s="70" t="s">
        <v>478</v>
      </c>
      <c r="C647" s="4" t="s">
        <v>4101</v>
      </c>
      <c r="D647" s="2"/>
      <c r="E647" s="26">
        <v>45296</v>
      </c>
      <c r="F647" s="2">
        <f t="shared" si="53"/>
        <v>45310</v>
      </c>
      <c r="G647" s="2"/>
      <c r="H647" s="41">
        <v>1025</v>
      </c>
      <c r="I647" s="15" t="s">
        <v>4102</v>
      </c>
      <c r="J647" s="1" t="s">
        <v>415</v>
      </c>
      <c r="K647" s="1" t="s">
        <v>31</v>
      </c>
      <c r="L647" s="1">
        <v>85281</v>
      </c>
      <c r="M647" s="1" t="s">
        <v>32</v>
      </c>
      <c r="O647" s="1" t="s">
        <v>884</v>
      </c>
      <c r="P647" s="1" t="s">
        <v>885</v>
      </c>
      <c r="Q647" s="87" t="s">
        <v>4103</v>
      </c>
      <c r="R647" s="31">
        <v>92462</v>
      </c>
      <c r="V647" s="4" t="s">
        <v>36</v>
      </c>
      <c r="W647" s="4" t="s">
        <v>37</v>
      </c>
      <c r="X647" s="1" t="s">
        <v>59</v>
      </c>
      <c r="Y647" s="167" t="s">
        <v>39</v>
      </c>
      <c r="Z647" s="168"/>
    </row>
    <row r="648" spans="1:26" s="4" customFormat="1" ht="15" customHeight="1">
      <c r="A648" s="164" t="s">
        <v>812</v>
      </c>
      <c r="B648" s="29" t="s">
        <v>168</v>
      </c>
      <c r="C648" s="4" t="s">
        <v>4104</v>
      </c>
      <c r="D648" s="130"/>
      <c r="E648" s="26">
        <v>45285</v>
      </c>
      <c r="F648" s="2">
        <f>E648+14</f>
        <v>45299</v>
      </c>
      <c r="G648" s="2"/>
      <c r="H648" s="41" t="s">
        <v>528</v>
      </c>
      <c r="I648" s="15" t="s">
        <v>4105</v>
      </c>
      <c r="J648" s="1" t="s">
        <v>844</v>
      </c>
      <c r="K648" s="1" t="s">
        <v>31</v>
      </c>
      <c r="L648" s="1">
        <v>85338</v>
      </c>
      <c r="M648" s="1" t="s">
        <v>32</v>
      </c>
      <c r="O648" s="1" t="s">
        <v>969</v>
      </c>
      <c r="P648" s="1" t="s">
        <v>970</v>
      </c>
      <c r="Q648" s="99" t="s">
        <v>971</v>
      </c>
      <c r="R648" s="31">
        <v>95765</v>
      </c>
      <c r="V648" s="4" t="s">
        <v>443</v>
      </c>
      <c r="W648" s="4" t="s">
        <v>37</v>
      </c>
      <c r="X648" s="4" t="s">
        <v>616</v>
      </c>
      <c r="Y648" s="235" t="s">
        <v>617</v>
      </c>
    </row>
    <row r="649" spans="1:26" s="4" customFormat="1" ht="18" customHeight="1">
      <c r="A649" s="163" t="s">
        <v>25</v>
      </c>
      <c r="B649" s="29" t="s">
        <v>2233</v>
      </c>
      <c r="C649" s="4" t="s">
        <v>4106</v>
      </c>
      <c r="D649" s="130"/>
      <c r="E649" s="26">
        <v>45289</v>
      </c>
      <c r="F649" s="2">
        <f t="shared" ref="F649:F658" si="54">E649+14</f>
        <v>45303</v>
      </c>
      <c r="G649" s="2"/>
      <c r="H649" s="41">
        <v>3646</v>
      </c>
      <c r="I649" s="15" t="s">
        <v>4107</v>
      </c>
      <c r="J649" s="1" t="s">
        <v>63</v>
      </c>
      <c r="K649" s="1" t="s">
        <v>31</v>
      </c>
      <c r="L649" s="1">
        <v>85212</v>
      </c>
      <c r="M649" s="1" t="s">
        <v>32</v>
      </c>
      <c r="O649" s="1" t="s">
        <v>4108</v>
      </c>
      <c r="P649" s="1" t="s">
        <v>4109</v>
      </c>
      <c r="Q649" s="87" t="s">
        <v>4110</v>
      </c>
      <c r="R649" s="31">
        <v>94217</v>
      </c>
      <c r="V649" s="4" t="s">
        <v>36</v>
      </c>
      <c r="W649" s="4" t="s">
        <v>37</v>
      </c>
      <c r="X649" s="1" t="s">
        <v>59</v>
      </c>
      <c r="Y649" s="167" t="s">
        <v>39</v>
      </c>
    </row>
    <row r="650" spans="1:26" s="4" customFormat="1" ht="15" customHeight="1">
      <c r="A650" s="163" t="s">
        <v>25</v>
      </c>
      <c r="B650" s="15" t="s">
        <v>989</v>
      </c>
      <c r="C650" s="29" t="s">
        <v>4111</v>
      </c>
      <c r="D650" s="1"/>
      <c r="E650" s="26">
        <v>45295</v>
      </c>
      <c r="F650" s="2">
        <f t="shared" si="54"/>
        <v>45309</v>
      </c>
      <c r="G650" s="15"/>
      <c r="H650" s="1"/>
      <c r="I650" s="4" t="s">
        <v>4112</v>
      </c>
      <c r="J650" s="1" t="s">
        <v>398</v>
      </c>
      <c r="K650" s="1" t="s">
        <v>31</v>
      </c>
      <c r="L650" s="1">
        <v>85260</v>
      </c>
      <c r="M650" s="1" t="s">
        <v>32</v>
      </c>
      <c r="O650" s="1" t="s">
        <v>2535</v>
      </c>
      <c r="P650" s="1" t="s">
        <v>2536</v>
      </c>
      <c r="Q650" s="87" t="s">
        <v>4113</v>
      </c>
      <c r="R650" s="1">
        <v>91849</v>
      </c>
      <c r="V650" s="4" t="s">
        <v>36</v>
      </c>
      <c r="W650" s="4" t="s">
        <v>37</v>
      </c>
      <c r="X650" s="1" t="s">
        <v>59</v>
      </c>
      <c r="Y650" s="167" t="s">
        <v>39</v>
      </c>
      <c r="Z650" s="168"/>
    </row>
    <row r="651" spans="1:26" s="4" customFormat="1" ht="15" customHeight="1">
      <c r="A651" s="163" t="s">
        <v>25</v>
      </c>
      <c r="B651" s="70" t="s">
        <v>2658</v>
      </c>
      <c r="C651" s="56" t="s">
        <v>4114</v>
      </c>
      <c r="D651" s="60">
        <v>44817</v>
      </c>
      <c r="E651" s="26">
        <v>45293</v>
      </c>
      <c r="F651" s="60">
        <f t="shared" si="54"/>
        <v>45307</v>
      </c>
      <c r="G651" s="60"/>
      <c r="H651" s="76">
        <v>149</v>
      </c>
      <c r="I651" s="80" t="s">
        <v>4115</v>
      </c>
      <c r="J651" s="55" t="s">
        <v>63</v>
      </c>
      <c r="K651" s="55" t="s">
        <v>31</v>
      </c>
      <c r="L651" s="55" t="s">
        <v>4116</v>
      </c>
      <c r="M651" s="55" t="s">
        <v>32</v>
      </c>
      <c r="N651" s="56"/>
      <c r="O651" s="55" t="s">
        <v>4117</v>
      </c>
      <c r="P651" s="55" t="s">
        <v>4118</v>
      </c>
      <c r="Q651" s="89" t="s">
        <v>4119</v>
      </c>
      <c r="R651" s="57">
        <v>95641</v>
      </c>
      <c r="S651" s="1"/>
      <c r="T651" s="1"/>
      <c r="U651" s="1"/>
      <c r="V651" s="4" t="s">
        <v>36</v>
      </c>
      <c r="W651" s="4" t="s">
        <v>37</v>
      </c>
      <c r="X651" s="1" t="s">
        <v>59</v>
      </c>
      <c r="Y651" s="167" t="s">
        <v>39</v>
      </c>
      <c r="Z651" s="168"/>
    </row>
    <row r="652" spans="1:26" s="4" customFormat="1" ht="17.25" customHeight="1">
      <c r="A652" s="164" t="s">
        <v>812</v>
      </c>
      <c r="B652" s="118" t="s">
        <v>1096</v>
      </c>
      <c r="C652" s="119" t="s">
        <v>4120</v>
      </c>
      <c r="D652" s="2">
        <v>44749</v>
      </c>
      <c r="E652" s="26">
        <v>45295</v>
      </c>
      <c r="F652" s="2">
        <f t="shared" si="54"/>
        <v>45309</v>
      </c>
      <c r="G652" s="2"/>
      <c r="H652" s="41">
        <v>15700</v>
      </c>
      <c r="I652" s="15" t="s">
        <v>944</v>
      </c>
      <c r="J652" s="1" t="s">
        <v>1348</v>
      </c>
      <c r="K652" s="1" t="s">
        <v>31</v>
      </c>
      <c r="L652" s="1">
        <v>85340</v>
      </c>
      <c r="M652" s="1" t="s">
        <v>32</v>
      </c>
      <c r="O652" s="1" t="s">
        <v>4121</v>
      </c>
      <c r="P652" s="1" t="s">
        <v>2775</v>
      </c>
      <c r="Q652" s="87" t="s">
        <v>4122</v>
      </c>
      <c r="R652" s="31">
        <v>94929</v>
      </c>
      <c r="V652" s="4" t="s">
        <v>443</v>
      </c>
      <c r="W652" s="4" t="s">
        <v>37</v>
      </c>
      <c r="X652" s="4" t="s">
        <v>616</v>
      </c>
      <c r="Y652" s="235" t="s">
        <v>617</v>
      </c>
      <c r="Z652" s="167" t="s">
        <v>364</v>
      </c>
    </row>
    <row r="653" spans="1:26" s="4" customFormat="1" ht="15" customHeight="1">
      <c r="A653" s="164" t="s">
        <v>812</v>
      </c>
      <c r="B653" s="15" t="s">
        <v>87</v>
      </c>
      <c r="C653" s="29" t="s">
        <v>4123</v>
      </c>
      <c r="D653" s="2"/>
      <c r="E653" s="26">
        <v>45294</v>
      </c>
      <c r="F653" s="2">
        <f t="shared" si="54"/>
        <v>45308</v>
      </c>
      <c r="G653" s="2"/>
      <c r="H653" s="1" t="s">
        <v>184</v>
      </c>
      <c r="I653" s="15" t="s">
        <v>4124</v>
      </c>
      <c r="J653" s="1" t="s">
        <v>822</v>
      </c>
      <c r="K653" s="1" t="s">
        <v>31</v>
      </c>
      <c r="L653" s="1"/>
      <c r="M653" s="1" t="s">
        <v>32</v>
      </c>
      <c r="O653" s="1" t="s">
        <v>4125</v>
      </c>
      <c r="P653" s="1" t="s">
        <v>4126</v>
      </c>
      <c r="Q653" s="129" t="s">
        <v>4127</v>
      </c>
      <c r="R653" s="1">
        <v>101059</v>
      </c>
      <c r="V653" s="4" t="s">
        <v>443</v>
      </c>
      <c r="W653" s="4" t="s">
        <v>37</v>
      </c>
      <c r="X653" s="4" t="s">
        <v>616</v>
      </c>
      <c r="Y653" s="241" t="s">
        <v>617</v>
      </c>
      <c r="Z653" s="168"/>
    </row>
    <row r="654" spans="1:26" s="4" customFormat="1" ht="15" customHeight="1">
      <c r="A654" s="164" t="s">
        <v>812</v>
      </c>
      <c r="B654" s="118" t="s">
        <v>150</v>
      </c>
      <c r="C654" s="119" t="s">
        <v>4128</v>
      </c>
      <c r="D654" s="2">
        <v>44741</v>
      </c>
      <c r="E654" s="26">
        <v>45293</v>
      </c>
      <c r="F654" s="2">
        <f t="shared" si="54"/>
        <v>45307</v>
      </c>
      <c r="G654" s="2"/>
      <c r="H654" s="41" t="s">
        <v>4129</v>
      </c>
      <c r="I654" s="15" t="s">
        <v>4130</v>
      </c>
      <c r="J654" s="1" t="s">
        <v>873</v>
      </c>
      <c r="K654" s="1" t="s">
        <v>31</v>
      </c>
      <c r="L654" s="1">
        <v>85323</v>
      </c>
      <c r="M654" s="1" t="s">
        <v>32</v>
      </c>
      <c r="O654" s="1" t="s">
        <v>4131</v>
      </c>
      <c r="P654" s="1" t="s">
        <v>4132</v>
      </c>
      <c r="Q654" s="184" t="s">
        <v>4133</v>
      </c>
      <c r="R654" s="31">
        <v>94473</v>
      </c>
      <c r="V654" s="4" t="s">
        <v>443</v>
      </c>
      <c r="W654" s="4" t="s">
        <v>37</v>
      </c>
      <c r="X654" s="4" t="s">
        <v>616</v>
      </c>
      <c r="Y654" s="235" t="s">
        <v>617</v>
      </c>
      <c r="Z654" s="167" t="s">
        <v>364</v>
      </c>
    </row>
    <row r="655" spans="1:26" s="4" customFormat="1" ht="18" customHeight="1">
      <c r="A655" s="163" t="s">
        <v>25</v>
      </c>
      <c r="B655" s="15" t="s">
        <v>4134</v>
      </c>
      <c r="C655" s="29" t="s">
        <v>4135</v>
      </c>
      <c r="E655" s="26">
        <v>45301</v>
      </c>
      <c r="F655" s="2">
        <f t="shared" si="54"/>
        <v>45315</v>
      </c>
      <c r="G655" s="15"/>
      <c r="H655" s="1">
        <v>225</v>
      </c>
      <c r="I655" s="4" t="s">
        <v>4136</v>
      </c>
      <c r="J655" s="1" t="s">
        <v>63</v>
      </c>
      <c r="K655" s="1" t="s">
        <v>31</v>
      </c>
      <c r="L655" s="1">
        <v>85202</v>
      </c>
      <c r="M655" s="1" t="s">
        <v>32</v>
      </c>
      <c r="O655" s="1" t="s">
        <v>4137</v>
      </c>
      <c r="P655" s="1" t="s">
        <v>4138</v>
      </c>
      <c r="Q655" s="87" t="s">
        <v>4139</v>
      </c>
      <c r="R655" s="1">
        <v>97994</v>
      </c>
      <c r="V655" s="4" t="s">
        <v>36</v>
      </c>
      <c r="W655" s="4" t="s">
        <v>37</v>
      </c>
      <c r="X655" s="1" t="s">
        <v>59</v>
      </c>
      <c r="Y655" s="167" t="s">
        <v>39</v>
      </c>
    </row>
    <row r="656" spans="1:26" s="4" customFormat="1">
      <c r="A656" s="163" t="s">
        <v>25</v>
      </c>
      <c r="B656" s="29" t="s">
        <v>4140</v>
      </c>
      <c r="C656" s="4" t="s">
        <v>4141</v>
      </c>
      <c r="D656" s="130"/>
      <c r="E656" s="26">
        <v>45301</v>
      </c>
      <c r="F656" s="2">
        <f t="shared" si="54"/>
        <v>45315</v>
      </c>
      <c r="G656" s="2"/>
      <c r="H656" s="41">
        <v>1310</v>
      </c>
      <c r="I656" s="15" t="s">
        <v>4142</v>
      </c>
      <c r="J656" s="1" t="s">
        <v>63</v>
      </c>
      <c r="K656" s="1" t="s">
        <v>31</v>
      </c>
      <c r="L656" s="1">
        <v>85203</v>
      </c>
      <c r="M656" s="1" t="s">
        <v>32</v>
      </c>
      <c r="O656" s="1" t="s">
        <v>4143</v>
      </c>
      <c r="P656" s="1" t="s">
        <v>4144</v>
      </c>
      <c r="Q656" s="87" t="s">
        <v>4145</v>
      </c>
      <c r="R656" s="31">
        <v>95841</v>
      </c>
      <c r="V656" s="4" t="s">
        <v>36</v>
      </c>
      <c r="W656" s="4" t="s">
        <v>37</v>
      </c>
      <c r="X656" s="1" t="s">
        <v>59</v>
      </c>
      <c r="Y656" s="167" t="s">
        <v>39</v>
      </c>
    </row>
    <row r="657" spans="1:38" s="4" customFormat="1" ht="19.5" customHeight="1">
      <c r="A657" s="163" t="s">
        <v>25</v>
      </c>
      <c r="B657" s="70" t="s">
        <v>139</v>
      </c>
      <c r="C657" t="s">
        <v>4146</v>
      </c>
      <c r="D657" s="2"/>
      <c r="E657" s="26">
        <v>45302</v>
      </c>
      <c r="F657" s="2">
        <f t="shared" si="54"/>
        <v>45316</v>
      </c>
      <c r="G657" s="2"/>
      <c r="H657" s="41">
        <v>10650</v>
      </c>
      <c r="I657" s="15" t="s">
        <v>1733</v>
      </c>
      <c r="J657" s="1" t="s">
        <v>63</v>
      </c>
      <c r="K657" s="1" t="s">
        <v>31</v>
      </c>
      <c r="L657" s="1">
        <v>85212</v>
      </c>
      <c r="M657" s="1" t="s">
        <v>32</v>
      </c>
      <c r="O657" s="1" t="s">
        <v>4147</v>
      </c>
      <c r="P657" s="1" t="s">
        <v>4148</v>
      </c>
      <c r="Q657" s="87" t="s">
        <v>4149</v>
      </c>
      <c r="R657" s="31">
        <v>95368</v>
      </c>
      <c r="V657" s="4" t="s">
        <v>36</v>
      </c>
      <c r="W657" s="4" t="s">
        <v>37</v>
      </c>
      <c r="X657" s="1" t="s">
        <v>59</v>
      </c>
      <c r="Y657" s="167" t="s">
        <v>39</v>
      </c>
      <c r="Z657" s="168"/>
    </row>
    <row r="658" spans="1:38" s="4" customFormat="1" ht="18" customHeight="1">
      <c r="A658" s="163" t="s">
        <v>25</v>
      </c>
      <c r="B658" s="29" t="s">
        <v>4150</v>
      </c>
      <c r="C658" s="4" t="s">
        <v>4151</v>
      </c>
      <c r="D658" s="130"/>
      <c r="E658" s="26">
        <v>45308</v>
      </c>
      <c r="F658" s="2">
        <f t="shared" si="54"/>
        <v>45322</v>
      </c>
      <c r="G658" s="2"/>
      <c r="H658" s="41">
        <v>3901</v>
      </c>
      <c r="I658" s="15" t="s">
        <v>4152</v>
      </c>
      <c r="J658" s="1" t="s">
        <v>83</v>
      </c>
      <c r="K658" s="1" t="s">
        <v>31</v>
      </c>
      <c r="L658" s="1"/>
      <c r="M658" s="1" t="s">
        <v>32</v>
      </c>
      <c r="O658" s="1" t="s">
        <v>4153</v>
      </c>
      <c r="P658" s="1" t="s">
        <v>4154</v>
      </c>
      <c r="Q658" s="87" t="s">
        <v>4155</v>
      </c>
      <c r="R658" s="31">
        <v>99110</v>
      </c>
      <c r="V658" s="4" t="s">
        <v>36</v>
      </c>
      <c r="W658" s="4" t="s">
        <v>37</v>
      </c>
      <c r="X658" s="1" t="s">
        <v>59</v>
      </c>
      <c r="Y658" s="167" t="s">
        <v>39</v>
      </c>
    </row>
    <row r="659" spans="1:38" s="4" customFormat="1" ht="18" customHeight="1">
      <c r="A659" s="164" t="s">
        <v>812</v>
      </c>
      <c r="B659" s="29" t="s">
        <v>1213</v>
      </c>
      <c r="C659" s="4" t="s">
        <v>4156</v>
      </c>
      <c r="D659" s="2">
        <v>45139</v>
      </c>
      <c r="E659" s="2">
        <v>45313</v>
      </c>
      <c r="F659" s="2">
        <f>E659+14</f>
        <v>45327</v>
      </c>
      <c r="G659" s="2"/>
      <c r="H659" s="41" t="s">
        <v>364</v>
      </c>
      <c r="I659" s="15" t="s">
        <v>4157</v>
      </c>
      <c r="J659" s="1" t="s">
        <v>831</v>
      </c>
      <c r="K659" s="1" t="s">
        <v>31</v>
      </c>
      <c r="L659" s="1">
        <v>85326</v>
      </c>
      <c r="M659" s="1" t="s">
        <v>32</v>
      </c>
      <c r="O659" s="1" t="s">
        <v>4158</v>
      </c>
      <c r="P659" s="1" t="s">
        <v>4159</v>
      </c>
      <c r="Q659" s="228" t="s">
        <v>4160</v>
      </c>
      <c r="R659" s="31">
        <v>99368</v>
      </c>
      <c r="V659" s="4" t="s">
        <v>443</v>
      </c>
      <c r="W659" s="4" t="s">
        <v>37</v>
      </c>
      <c r="X659" s="4" t="s">
        <v>616</v>
      </c>
      <c r="Y659" s="241" t="s">
        <v>617</v>
      </c>
      <c r="Z659" s="167" t="s">
        <v>364</v>
      </c>
    </row>
    <row r="660" spans="1:38" s="4" customFormat="1" ht="18" customHeight="1">
      <c r="A660" s="164" t="s">
        <v>812</v>
      </c>
      <c r="B660" s="29" t="s">
        <v>150</v>
      </c>
      <c r="C660" s="4" t="s">
        <v>4161</v>
      </c>
      <c r="D660" s="130"/>
      <c r="E660" s="2">
        <v>45313</v>
      </c>
      <c r="F660" s="2">
        <f>E660+14</f>
        <v>45327</v>
      </c>
      <c r="G660" s="2"/>
      <c r="H660" s="41" t="s">
        <v>43</v>
      </c>
      <c r="I660" s="15" t="s">
        <v>4162</v>
      </c>
      <c r="J660" s="1" t="s">
        <v>844</v>
      </c>
      <c r="K660" s="1" t="s">
        <v>31</v>
      </c>
      <c r="L660" s="1"/>
      <c r="M660" s="1"/>
      <c r="O660" s="1" t="s">
        <v>4163</v>
      </c>
      <c r="P660" s="1" t="s">
        <v>1795</v>
      </c>
      <c r="Q660" s="87" t="s">
        <v>4164</v>
      </c>
      <c r="R660" s="178">
        <v>96372</v>
      </c>
      <c r="V660" s="4" t="s">
        <v>443</v>
      </c>
      <c r="W660" s="4" t="s">
        <v>37</v>
      </c>
      <c r="X660" s="4" t="s">
        <v>616</v>
      </c>
      <c r="Y660" s="235" t="s">
        <v>617</v>
      </c>
      <c r="Z660" s="167" t="s">
        <v>364</v>
      </c>
    </row>
    <row r="661" spans="1:38" s="4" customFormat="1">
      <c r="A661" s="164" t="s">
        <v>812</v>
      </c>
      <c r="B661" s="29" t="s">
        <v>1128</v>
      </c>
      <c r="C661" s="4" t="s">
        <v>4165</v>
      </c>
      <c r="D661" s="130"/>
      <c r="E661" s="2">
        <v>45315</v>
      </c>
      <c r="F661" s="2">
        <f>E661+14</f>
        <v>45329</v>
      </c>
      <c r="G661" s="2"/>
      <c r="H661" s="41" t="s">
        <v>528</v>
      </c>
      <c r="I661" s="15" t="s">
        <v>4166</v>
      </c>
      <c r="J661" s="1" t="s">
        <v>822</v>
      </c>
      <c r="K661" s="1" t="s">
        <v>31</v>
      </c>
      <c r="L661" s="1">
        <v>85305</v>
      </c>
      <c r="M661" s="1" t="s">
        <v>32</v>
      </c>
      <c r="O661" s="1" t="s">
        <v>2908</v>
      </c>
      <c r="P661" s="1" t="s">
        <v>4167</v>
      </c>
      <c r="Q661" s="87" t="s">
        <v>4168</v>
      </c>
      <c r="R661" s="31">
        <v>98074</v>
      </c>
      <c r="V661" s="4" t="s">
        <v>443</v>
      </c>
      <c r="W661" s="4" t="s">
        <v>37</v>
      </c>
      <c r="X661" s="4" t="s">
        <v>616</v>
      </c>
      <c r="Y661" s="235" t="s">
        <v>617</v>
      </c>
    </row>
    <row r="662" spans="1:38" s="119" customFormat="1" ht="17.25" customHeight="1">
      <c r="A662" s="163" t="s">
        <v>25</v>
      </c>
      <c r="B662" s="29" t="s">
        <v>559</v>
      </c>
      <c r="C662" s="4" t="s">
        <v>4169</v>
      </c>
      <c r="D662" s="130"/>
      <c r="E662" s="2">
        <v>45317</v>
      </c>
      <c r="F662" s="2">
        <f t="shared" ref="F662:F663" si="55">E662+14</f>
        <v>45331</v>
      </c>
      <c r="G662" s="2"/>
      <c r="H662" s="41">
        <v>2655</v>
      </c>
      <c r="I662" s="15" t="s">
        <v>4170</v>
      </c>
      <c r="J662" s="1" t="s">
        <v>63</v>
      </c>
      <c r="K662" s="1" t="s">
        <v>31</v>
      </c>
      <c r="L662" s="1">
        <v>85215</v>
      </c>
      <c r="M662" s="1" t="s">
        <v>32</v>
      </c>
      <c r="N662" s="4"/>
      <c r="O662" s="1" t="s">
        <v>4171</v>
      </c>
      <c r="P662" s="1" t="s">
        <v>4172</v>
      </c>
      <c r="Q662" s="87" t="s">
        <v>4173</v>
      </c>
      <c r="R662" s="31">
        <v>99492</v>
      </c>
      <c r="S662" s="4"/>
      <c r="T662" s="4"/>
      <c r="U662" s="4"/>
      <c r="V662" s="4" t="s">
        <v>36</v>
      </c>
      <c r="W662" s="4" t="s">
        <v>37</v>
      </c>
      <c r="X662" s="1" t="s">
        <v>59</v>
      </c>
      <c r="Y662" s="167" t="s">
        <v>39</v>
      </c>
      <c r="Z662" s="4"/>
      <c r="AA662" s="4"/>
      <c r="AB662" s="4"/>
      <c r="AC662" s="4"/>
      <c r="AD662" s="4"/>
      <c r="AE662" s="4"/>
      <c r="AF662" s="4"/>
      <c r="AG662" s="4"/>
      <c r="AH662" s="4"/>
      <c r="AI662" s="4"/>
      <c r="AJ662" s="4"/>
      <c r="AK662" s="4"/>
      <c r="AL662" s="4"/>
    </row>
    <row r="663" spans="1:38" s="4" customFormat="1" ht="15" customHeight="1">
      <c r="A663" s="163" t="s">
        <v>25</v>
      </c>
      <c r="B663" s="29" t="s">
        <v>1040</v>
      </c>
      <c r="C663" s="4" t="s">
        <v>4174</v>
      </c>
      <c r="D663" s="130"/>
      <c r="E663" s="2">
        <v>45317</v>
      </c>
      <c r="F663" s="2">
        <f t="shared" si="55"/>
        <v>45331</v>
      </c>
      <c r="G663" s="2"/>
      <c r="H663" s="41"/>
      <c r="I663" s="15" t="s">
        <v>4175</v>
      </c>
      <c r="J663" s="1" t="s">
        <v>3398</v>
      </c>
      <c r="K663" s="1" t="s">
        <v>31</v>
      </c>
      <c r="L663" s="1"/>
      <c r="M663" s="1" t="s">
        <v>32</v>
      </c>
      <c r="O663" s="1" t="s">
        <v>4176</v>
      </c>
      <c r="P663" s="1" t="s">
        <v>4177</v>
      </c>
      <c r="Q663" s="87" t="s">
        <v>4178</v>
      </c>
      <c r="R663" s="31">
        <v>89047</v>
      </c>
      <c r="V663" s="4" t="s">
        <v>36</v>
      </c>
      <c r="W663" s="4" t="s">
        <v>37</v>
      </c>
      <c r="X663" s="1" t="s">
        <v>59</v>
      </c>
      <c r="Y663" s="167" t="s">
        <v>39</v>
      </c>
      <c r="Z663" s="168"/>
    </row>
    <row r="664" spans="1:38" s="4" customFormat="1" ht="15.75" customHeight="1">
      <c r="A664" s="163" t="s">
        <v>25</v>
      </c>
      <c r="B664" s="15" t="s">
        <v>258</v>
      </c>
      <c r="C664" s="4" t="s">
        <v>4179</v>
      </c>
      <c r="D664" s="130"/>
      <c r="E664" s="2">
        <v>45338</v>
      </c>
      <c r="F664" s="2">
        <f>E664+28</f>
        <v>45366</v>
      </c>
      <c r="G664" s="2"/>
      <c r="H664" s="41">
        <v>651</v>
      </c>
      <c r="I664" s="15" t="s">
        <v>4180</v>
      </c>
      <c r="J664" s="1" t="s">
        <v>415</v>
      </c>
      <c r="K664" s="1" t="s">
        <v>31</v>
      </c>
      <c r="L664" s="1">
        <v>85281</v>
      </c>
      <c r="M664" s="1" t="s">
        <v>32</v>
      </c>
      <c r="O664" s="1" t="s">
        <v>2527</v>
      </c>
      <c r="P664" s="1" t="s">
        <v>2528</v>
      </c>
      <c r="Q664" s="87" t="s">
        <v>4181</v>
      </c>
      <c r="R664" s="124" t="s">
        <v>35</v>
      </c>
      <c r="V664" s="4" t="s">
        <v>36</v>
      </c>
      <c r="W664" s="4" t="s">
        <v>37</v>
      </c>
      <c r="X664" s="1" t="s">
        <v>59</v>
      </c>
      <c r="Y664" s="167" t="s">
        <v>39</v>
      </c>
      <c r="Z664" s="168"/>
    </row>
    <row r="665" spans="1:38" s="4" customFormat="1" ht="15" customHeight="1">
      <c r="A665" s="163" t="s">
        <v>25</v>
      </c>
      <c r="B665" s="29" t="s">
        <v>4182</v>
      </c>
      <c r="C665" s="4" t="s">
        <v>4183</v>
      </c>
      <c r="D665" s="130"/>
      <c r="E665" s="2">
        <v>45327</v>
      </c>
      <c r="F665" s="2">
        <f t="shared" ref="F665:F671" si="56">E665+14</f>
        <v>45341</v>
      </c>
      <c r="G665" s="2"/>
      <c r="H665" s="41">
        <v>4374</v>
      </c>
      <c r="I665" s="15" t="s">
        <v>4184</v>
      </c>
      <c r="J665" s="1" t="s">
        <v>2478</v>
      </c>
      <c r="K665" s="1" t="s">
        <v>31</v>
      </c>
      <c r="L665" s="1">
        <v>85132</v>
      </c>
      <c r="M665" s="1" t="s">
        <v>32</v>
      </c>
      <c r="O665" s="1" t="s">
        <v>4185</v>
      </c>
      <c r="P665" s="1" t="s">
        <v>4186</v>
      </c>
      <c r="Q665" s="87" t="s">
        <v>4187</v>
      </c>
      <c r="R665" s="31">
        <v>97196</v>
      </c>
      <c r="V665" s="4" t="s">
        <v>36</v>
      </c>
      <c r="W665" s="4" t="s">
        <v>37</v>
      </c>
      <c r="X665" s="1" t="s">
        <v>59</v>
      </c>
      <c r="Y665" s="167" t="s">
        <v>39</v>
      </c>
    </row>
    <row r="666" spans="1:38" s="4" customFormat="1" ht="18" customHeight="1">
      <c r="A666" s="163" t="s">
        <v>25</v>
      </c>
      <c r="B666" s="70" t="s">
        <v>4188</v>
      </c>
      <c r="C666" s="4" t="s">
        <v>4189</v>
      </c>
      <c r="D666" s="130"/>
      <c r="E666" s="2">
        <v>45327</v>
      </c>
      <c r="F666" s="2">
        <f t="shared" si="56"/>
        <v>45341</v>
      </c>
      <c r="G666" s="2"/>
      <c r="H666" s="41">
        <v>3561</v>
      </c>
      <c r="I666" s="15" t="s">
        <v>4190</v>
      </c>
      <c r="J666" s="1" t="s">
        <v>2478</v>
      </c>
      <c r="K666" s="1" t="s">
        <v>31</v>
      </c>
      <c r="L666" s="1">
        <v>85132</v>
      </c>
      <c r="M666" s="1" t="s">
        <v>32</v>
      </c>
      <c r="O666" s="1" t="s">
        <v>4191</v>
      </c>
      <c r="P666" s="1" t="s">
        <v>4192</v>
      </c>
      <c r="Q666" s="98" t="s">
        <v>4193</v>
      </c>
      <c r="R666" s="124">
        <v>100607</v>
      </c>
      <c r="V666" s="4" t="s">
        <v>36</v>
      </c>
      <c r="W666" s="4" t="s">
        <v>37</v>
      </c>
      <c r="X666" s="1" t="s">
        <v>59</v>
      </c>
      <c r="Y666" s="167" t="s">
        <v>39</v>
      </c>
    </row>
    <row r="667" spans="1:38" s="4" customFormat="1" ht="15" customHeight="1">
      <c r="A667" s="163" t="s">
        <v>25</v>
      </c>
      <c r="B667" s="15" t="s">
        <v>3730</v>
      </c>
      <c r="C667" s="65" t="s">
        <v>4194</v>
      </c>
      <c r="D667" s="2"/>
      <c r="E667" s="2">
        <v>45330</v>
      </c>
      <c r="F667" s="2">
        <f t="shared" si="56"/>
        <v>45344</v>
      </c>
      <c r="G667" s="2"/>
      <c r="H667" s="1">
        <v>7047</v>
      </c>
      <c r="I667" s="15" t="s">
        <v>1443</v>
      </c>
      <c r="J667" s="1" t="s">
        <v>398</v>
      </c>
      <c r="K667" s="1" t="s">
        <v>31</v>
      </c>
      <c r="L667" s="1">
        <v>85257</v>
      </c>
      <c r="M667" s="1" t="s">
        <v>32</v>
      </c>
      <c r="O667" s="1" t="s">
        <v>364</v>
      </c>
      <c r="P667" s="1" t="s">
        <v>4195</v>
      </c>
      <c r="Q667" s="87" t="s">
        <v>4196</v>
      </c>
      <c r="R667" s="1">
        <v>79060</v>
      </c>
      <c r="V667" s="4" t="s">
        <v>36</v>
      </c>
      <c r="W667" s="4" t="s">
        <v>37</v>
      </c>
      <c r="X667" s="1" t="s">
        <v>59</v>
      </c>
      <c r="Y667" s="167" t="s">
        <v>39</v>
      </c>
      <c r="Z667" s="168"/>
    </row>
    <row r="668" spans="1:38" s="4" customFormat="1" ht="19.5" customHeight="1">
      <c r="A668" s="163" t="s">
        <v>25</v>
      </c>
      <c r="B668" s="15" t="s">
        <v>4197</v>
      </c>
      <c r="C668" s="29" t="s">
        <v>4198</v>
      </c>
      <c r="E668" s="2">
        <v>45330</v>
      </c>
      <c r="F668" s="2">
        <f t="shared" si="56"/>
        <v>45344</v>
      </c>
      <c r="G668" s="15"/>
      <c r="H668" s="1">
        <v>1235</v>
      </c>
      <c r="I668" s="4" t="s">
        <v>4199</v>
      </c>
      <c r="J668" s="1" t="s">
        <v>415</v>
      </c>
      <c r="K668" s="1" t="s">
        <v>31</v>
      </c>
      <c r="L668" s="1">
        <v>85281</v>
      </c>
      <c r="M668" s="1" t="s">
        <v>32</v>
      </c>
      <c r="O668" s="1" t="s">
        <v>4200</v>
      </c>
      <c r="P668" s="1" t="s">
        <v>4201</v>
      </c>
      <c r="Q668" s="87" t="s">
        <v>4202</v>
      </c>
      <c r="R668" s="1">
        <v>97358</v>
      </c>
      <c r="V668" s="4" t="s">
        <v>36</v>
      </c>
      <c r="W668" s="4" t="s">
        <v>37</v>
      </c>
      <c r="X668" s="1" t="s">
        <v>59</v>
      </c>
      <c r="Y668" s="167" t="s">
        <v>39</v>
      </c>
    </row>
    <row r="669" spans="1:38" s="4" customFormat="1" ht="15" customHeight="1">
      <c r="A669" s="163" t="s">
        <v>25</v>
      </c>
      <c r="B669" s="118" t="s">
        <v>226</v>
      </c>
      <c r="C669" s="4" t="s">
        <v>4203</v>
      </c>
      <c r="D669" s="130"/>
      <c r="E669" s="2">
        <v>45330</v>
      </c>
      <c r="F669" s="2">
        <f t="shared" si="56"/>
        <v>45344</v>
      </c>
      <c r="G669" s="2"/>
      <c r="H669" s="41">
        <v>3821</v>
      </c>
      <c r="I669" s="15" t="s">
        <v>196</v>
      </c>
      <c r="J669" s="1" t="s">
        <v>580</v>
      </c>
      <c r="K669" s="1" t="s">
        <v>31</v>
      </c>
      <c r="L669" s="1">
        <v>85212</v>
      </c>
      <c r="M669" s="1" t="s">
        <v>32</v>
      </c>
      <c r="O669" s="1" t="s">
        <v>4204</v>
      </c>
      <c r="P669" s="1" t="s">
        <v>4205</v>
      </c>
      <c r="Q669" s="98" t="s">
        <v>4206</v>
      </c>
      <c r="R669" s="31">
        <v>95819</v>
      </c>
      <c r="V669" s="4" t="s">
        <v>36</v>
      </c>
      <c r="W669" s="4" t="s">
        <v>37</v>
      </c>
      <c r="X669" s="4" t="s">
        <v>38</v>
      </c>
      <c r="Y669" s="235" t="s">
        <v>39</v>
      </c>
    </row>
    <row r="670" spans="1:38" s="4" customFormat="1" ht="15.75" customHeight="1">
      <c r="A670" s="163" t="s">
        <v>25</v>
      </c>
      <c r="B670" s="29" t="s">
        <v>2496</v>
      </c>
      <c r="C670" s="4" t="s">
        <v>4207</v>
      </c>
      <c r="D670" s="2"/>
      <c r="E670" s="2">
        <v>45328</v>
      </c>
      <c r="F670" s="2">
        <f t="shared" si="56"/>
        <v>45342</v>
      </c>
      <c r="G670" s="2"/>
      <c r="H670" s="41">
        <v>13220</v>
      </c>
      <c r="I670" s="15" t="s">
        <v>420</v>
      </c>
      <c r="J670" s="1" t="s">
        <v>3398</v>
      </c>
      <c r="K670" s="1" t="s">
        <v>31</v>
      </c>
      <c r="L670" s="1"/>
      <c r="M670" s="1" t="s">
        <v>32</v>
      </c>
      <c r="O670" s="1"/>
      <c r="P670" s="1"/>
      <c r="Q670" s="87" t="s">
        <v>4208</v>
      </c>
      <c r="R670" s="174"/>
      <c r="S670" s="53"/>
      <c r="T670" s="53"/>
      <c r="V670" s="4" t="s">
        <v>36</v>
      </c>
      <c r="W670" s="4" t="s">
        <v>37</v>
      </c>
      <c r="X670" s="1" t="s">
        <v>59</v>
      </c>
      <c r="Y670" s="167" t="s">
        <v>39</v>
      </c>
      <c r="Z670" s="167" t="s">
        <v>364</v>
      </c>
    </row>
    <row r="671" spans="1:38" s="4" customFormat="1" ht="15" customHeight="1">
      <c r="A671" s="163" t="s">
        <v>25</v>
      </c>
      <c r="B671" s="29" t="s">
        <v>4209</v>
      </c>
      <c r="C671" s="4" t="s">
        <v>4210</v>
      </c>
      <c r="D671" s="130"/>
      <c r="E671" s="2">
        <v>45334</v>
      </c>
      <c r="F671" s="2">
        <f t="shared" si="56"/>
        <v>45348</v>
      </c>
      <c r="G671" s="2"/>
      <c r="H671" s="41">
        <v>7421</v>
      </c>
      <c r="I671" s="15" t="s">
        <v>4211</v>
      </c>
      <c r="J671" s="1" t="s">
        <v>63</v>
      </c>
      <c r="K671" s="1" t="s">
        <v>31</v>
      </c>
      <c r="L671" s="1">
        <v>85212</v>
      </c>
      <c r="M671" s="1" t="s">
        <v>32</v>
      </c>
      <c r="O671" s="1" t="s">
        <v>4212</v>
      </c>
      <c r="P671" s="1" t="s">
        <v>4213</v>
      </c>
      <c r="Q671" s="87" t="s">
        <v>4214</v>
      </c>
      <c r="R671" s="31">
        <v>96959</v>
      </c>
      <c r="V671" s="4" t="s">
        <v>36</v>
      </c>
      <c r="W671" s="4" t="s">
        <v>37</v>
      </c>
      <c r="X671" s="1" t="s">
        <v>59</v>
      </c>
      <c r="Y671" s="167" t="s">
        <v>39</v>
      </c>
      <c r="Z671" s="168"/>
    </row>
    <row r="672" spans="1:38" s="4" customFormat="1" ht="15.75" customHeight="1">
      <c r="A672" s="164" t="s">
        <v>812</v>
      </c>
      <c r="B672" s="242" t="s">
        <v>323</v>
      </c>
      <c r="C672" s="187" t="s">
        <v>4215</v>
      </c>
      <c r="D672" s="243"/>
      <c r="E672" s="2">
        <v>45343</v>
      </c>
      <c r="F672" s="244">
        <f>E672+7</f>
        <v>45350</v>
      </c>
      <c r="G672" s="244" t="s">
        <v>364</v>
      </c>
      <c r="H672" s="41">
        <v>1919</v>
      </c>
      <c r="I672" s="15" t="s">
        <v>2516</v>
      </c>
      <c r="J672" s="1" t="s">
        <v>434</v>
      </c>
      <c r="K672" s="1" t="s">
        <v>31</v>
      </c>
      <c r="L672" s="1"/>
      <c r="M672" s="1" t="s">
        <v>32</v>
      </c>
      <c r="O672" s="1" t="s">
        <v>2814</v>
      </c>
      <c r="P672" s="41" t="s">
        <v>2815</v>
      </c>
      <c r="Q672" s="129" t="s">
        <v>4216</v>
      </c>
      <c r="R672" s="31">
        <v>94625</v>
      </c>
      <c r="V672" s="4" t="s">
        <v>443</v>
      </c>
      <c r="W672" s="4" t="s">
        <v>37</v>
      </c>
      <c r="X672" s="4" t="s">
        <v>616</v>
      </c>
      <c r="Y672" s="235" t="s">
        <v>617</v>
      </c>
      <c r="Z672" s="168"/>
    </row>
    <row r="673" spans="1:38" s="4" customFormat="1" ht="15" customHeight="1">
      <c r="A673" s="163" t="s">
        <v>25</v>
      </c>
      <c r="B673" s="29" t="s">
        <v>4217</v>
      </c>
      <c r="C673" s="4" t="s">
        <v>4218</v>
      </c>
      <c r="D673" s="130"/>
      <c r="E673" s="2">
        <v>45341</v>
      </c>
      <c r="F673" s="2">
        <f t="shared" ref="F673:F676" si="57">E673+14</f>
        <v>45355</v>
      </c>
      <c r="G673" s="2"/>
      <c r="H673" s="41">
        <v>4117</v>
      </c>
      <c r="I673" s="15" t="s">
        <v>4219</v>
      </c>
      <c r="J673" s="1" t="s">
        <v>427</v>
      </c>
      <c r="K673" s="1" t="s">
        <v>31</v>
      </c>
      <c r="L673" s="1">
        <v>85253</v>
      </c>
      <c r="M673" s="1" t="s">
        <v>32</v>
      </c>
      <c r="O673" s="1" t="s">
        <v>4220</v>
      </c>
      <c r="P673" s="1" t="s">
        <v>4221</v>
      </c>
      <c r="Q673" s="262" t="s">
        <v>4222</v>
      </c>
      <c r="R673" s="31">
        <v>97189</v>
      </c>
      <c r="V673" s="4" t="s">
        <v>443</v>
      </c>
      <c r="W673" s="4" t="s">
        <v>37</v>
      </c>
      <c r="X673" s="4" t="s">
        <v>616</v>
      </c>
      <c r="Y673" s="235" t="s">
        <v>39</v>
      </c>
      <c r="Z673" s="167"/>
    </row>
    <row r="674" spans="1:38" s="4" customFormat="1" ht="15" customHeight="1">
      <c r="A674" s="164" t="s">
        <v>812</v>
      </c>
      <c r="B674" s="15" t="s">
        <v>4223</v>
      </c>
      <c r="C674" s="29" t="s">
        <v>4224</v>
      </c>
      <c r="D674" s="2"/>
      <c r="E674" s="2">
        <v>45337</v>
      </c>
      <c r="F674" s="2">
        <f t="shared" si="57"/>
        <v>45351</v>
      </c>
      <c r="G674" s="2"/>
      <c r="H674" s="1">
        <v>12103</v>
      </c>
      <c r="I674" s="15" t="s">
        <v>2546</v>
      </c>
      <c r="J674" s="1" t="s">
        <v>851</v>
      </c>
      <c r="K674" s="1" t="s">
        <v>31</v>
      </c>
      <c r="L674" s="1">
        <v>85383</v>
      </c>
      <c r="M674" s="1" t="s">
        <v>32</v>
      </c>
      <c r="O674" s="1" t="s">
        <v>4225</v>
      </c>
      <c r="P674" s="1" t="s">
        <v>4226</v>
      </c>
      <c r="Q674" s="129" t="s">
        <v>4227</v>
      </c>
      <c r="R674" s="179" t="s">
        <v>4228</v>
      </c>
      <c r="V674" s="4" t="s">
        <v>443</v>
      </c>
      <c r="W674" s="4" t="s">
        <v>37</v>
      </c>
      <c r="X674" s="4" t="s">
        <v>616</v>
      </c>
      <c r="Y674" s="241" t="s">
        <v>617</v>
      </c>
      <c r="Z674" s="168"/>
    </row>
    <row r="675" spans="1:38" s="4" customFormat="1" ht="17.25" customHeight="1">
      <c r="A675" s="164" t="s">
        <v>812</v>
      </c>
      <c r="B675" s="70" t="s">
        <v>4229</v>
      </c>
      <c r="C675" s="56" t="s">
        <v>4230</v>
      </c>
      <c r="D675" s="60"/>
      <c r="E675" s="2">
        <v>45336</v>
      </c>
      <c r="F675" s="2">
        <f t="shared" si="57"/>
        <v>45350</v>
      </c>
      <c r="G675" s="2"/>
      <c r="H675" s="41">
        <v>3000</v>
      </c>
      <c r="I675" s="80" t="s">
        <v>4231</v>
      </c>
      <c r="J675" s="55" t="s">
        <v>434</v>
      </c>
      <c r="K675" s="55" t="s">
        <v>31</v>
      </c>
      <c r="L675" s="1">
        <v>85043</v>
      </c>
      <c r="M675" s="55" t="s">
        <v>32</v>
      </c>
      <c r="N675" s="56"/>
      <c r="O675" s="55" t="s">
        <v>4232</v>
      </c>
      <c r="P675" s="55" t="s">
        <v>4233</v>
      </c>
      <c r="Q675" s="89" t="s">
        <v>4234</v>
      </c>
      <c r="R675" s="259">
        <v>100812</v>
      </c>
      <c r="V675" s="4" t="s">
        <v>443</v>
      </c>
      <c r="W675" s="4" t="s">
        <v>37</v>
      </c>
      <c r="X675" s="4" t="s">
        <v>616</v>
      </c>
      <c r="Y675" s="235" t="s">
        <v>617</v>
      </c>
      <c r="Z675" s="167" t="s">
        <v>364</v>
      </c>
    </row>
    <row r="676" spans="1:38" s="4" customFormat="1" ht="15" customHeight="1">
      <c r="A676" s="163" t="s">
        <v>25</v>
      </c>
      <c r="B676" s="29" t="s">
        <v>258</v>
      </c>
      <c r="C676" s="4" t="s">
        <v>4235</v>
      </c>
      <c r="D676" s="130"/>
      <c r="E676" s="2">
        <v>45343</v>
      </c>
      <c r="F676" s="2">
        <f t="shared" si="57"/>
        <v>45357</v>
      </c>
      <c r="G676" s="2"/>
      <c r="H676" s="41">
        <v>2160</v>
      </c>
      <c r="I676" s="15" t="s">
        <v>4236</v>
      </c>
      <c r="J676" s="1" t="s">
        <v>3520</v>
      </c>
      <c r="K676" s="1" t="s">
        <v>31</v>
      </c>
      <c r="L676" s="1"/>
      <c r="M676" s="1" t="s">
        <v>32</v>
      </c>
      <c r="O676" s="1" t="s">
        <v>4237</v>
      </c>
      <c r="P676" s="1" t="s">
        <v>4238</v>
      </c>
      <c r="Q676" s="87" t="s">
        <v>4239</v>
      </c>
      <c r="R676" s="31">
        <v>92414</v>
      </c>
      <c r="V676" s="4" t="s">
        <v>36</v>
      </c>
      <c r="W676" s="4" t="s">
        <v>37</v>
      </c>
      <c r="X676" s="1" t="s">
        <v>59</v>
      </c>
      <c r="Y676" s="167" t="s">
        <v>39</v>
      </c>
      <c r="Z676" s="168"/>
    </row>
    <row r="677" spans="1:38" s="4" customFormat="1" ht="20.25" customHeight="1">
      <c r="A677" s="164" t="s">
        <v>812</v>
      </c>
      <c r="B677" s="70" t="s">
        <v>4240</v>
      </c>
      <c r="C677" s="56" t="s">
        <v>4241</v>
      </c>
      <c r="D677" s="60"/>
      <c r="E677" s="2">
        <v>45334</v>
      </c>
      <c r="F677" s="2">
        <f>E677+28</f>
        <v>45362</v>
      </c>
      <c r="G677" s="2"/>
      <c r="H677" s="54" t="s">
        <v>3938</v>
      </c>
      <c r="I677" s="80" t="s">
        <v>2926</v>
      </c>
      <c r="J677" s="55" t="s">
        <v>434</v>
      </c>
      <c r="K677" s="55" t="s">
        <v>31</v>
      </c>
      <c r="L677" s="55"/>
      <c r="M677" s="55"/>
      <c r="N677" s="56"/>
      <c r="O677" s="55"/>
      <c r="P677" s="55"/>
      <c r="Q677" s="89" t="s">
        <v>4242</v>
      </c>
      <c r="R677" s="259">
        <v>100773</v>
      </c>
      <c r="V677" s="4" t="s">
        <v>443</v>
      </c>
      <c r="W677" s="4" t="s">
        <v>37</v>
      </c>
      <c r="X677" s="4" t="s">
        <v>616</v>
      </c>
      <c r="Y677" s="235" t="s">
        <v>617</v>
      </c>
      <c r="Z677" s="167" t="s">
        <v>364</v>
      </c>
    </row>
    <row r="678" spans="1:38" s="4" customFormat="1" ht="15.75" customHeight="1">
      <c r="A678" s="163" t="s">
        <v>25</v>
      </c>
      <c r="B678" s="118" t="s">
        <v>226</v>
      </c>
      <c r="C678" s="119" t="s">
        <v>4243</v>
      </c>
      <c r="D678" s="2">
        <v>44727</v>
      </c>
      <c r="E678" s="2">
        <v>45349</v>
      </c>
      <c r="F678" s="2">
        <f t="shared" ref="F678:F679" si="58">E678+14</f>
        <v>45363</v>
      </c>
      <c r="G678" s="2"/>
      <c r="H678" s="41" t="s">
        <v>379</v>
      </c>
      <c r="I678" s="15" t="s">
        <v>4244</v>
      </c>
      <c r="J678" s="1" t="s">
        <v>63</v>
      </c>
      <c r="K678" s="1" t="s">
        <v>31</v>
      </c>
      <c r="L678" s="1">
        <v>85212</v>
      </c>
      <c r="M678" s="1" t="s">
        <v>32</v>
      </c>
      <c r="O678" s="1" t="s">
        <v>4245</v>
      </c>
      <c r="P678" s="1" t="s">
        <v>4246</v>
      </c>
      <c r="Q678" s="87" t="s">
        <v>4247</v>
      </c>
      <c r="R678" s="31">
        <v>94022</v>
      </c>
      <c r="V678" s="4" t="s">
        <v>36</v>
      </c>
      <c r="W678" s="4" t="s">
        <v>37</v>
      </c>
      <c r="X678" s="1" t="s">
        <v>59</v>
      </c>
      <c r="Y678" s="167" t="s">
        <v>39</v>
      </c>
      <c r="Z678" s="168"/>
    </row>
    <row r="679" spans="1:38" s="4" customFormat="1" ht="21" customHeight="1">
      <c r="A679" s="163" t="s">
        <v>25</v>
      </c>
      <c r="B679" s="29" t="s">
        <v>4248</v>
      </c>
      <c r="C679" s="4" t="s">
        <v>4249</v>
      </c>
      <c r="D679" s="130"/>
      <c r="E679" s="2">
        <v>45351</v>
      </c>
      <c r="F679" s="60">
        <f t="shared" si="58"/>
        <v>45365</v>
      </c>
      <c r="G679" s="2"/>
      <c r="H679" s="41">
        <v>1103</v>
      </c>
      <c r="I679" s="15" t="s">
        <v>4250</v>
      </c>
      <c r="J679" s="1" t="s">
        <v>63</v>
      </c>
      <c r="K679" s="1" t="s">
        <v>31</v>
      </c>
      <c r="L679" s="1">
        <v>85208</v>
      </c>
      <c r="M679" s="1" t="s">
        <v>32</v>
      </c>
      <c r="O679" s="1" t="s">
        <v>4251</v>
      </c>
      <c r="P679" s="1" t="s">
        <v>4252</v>
      </c>
      <c r="Q679" s="87" t="s">
        <v>4253</v>
      </c>
      <c r="R679" s="31">
        <v>96258</v>
      </c>
      <c r="V679" s="4" t="s">
        <v>36</v>
      </c>
      <c r="W679" s="4" t="s">
        <v>37</v>
      </c>
      <c r="X679" s="1" t="s">
        <v>59</v>
      </c>
      <c r="Y679" s="167" t="s">
        <v>39</v>
      </c>
    </row>
    <row r="680" spans="1:38" s="4" customFormat="1" ht="16.5" customHeight="1">
      <c r="A680" s="164" t="s">
        <v>812</v>
      </c>
      <c r="B680" s="29" t="s">
        <v>4254</v>
      </c>
      <c r="C680" s="4" t="s">
        <v>4255</v>
      </c>
      <c r="D680" s="130"/>
      <c r="E680" s="2">
        <v>45351</v>
      </c>
      <c r="F680" s="2">
        <f>E680+14</f>
        <v>45365</v>
      </c>
      <c r="G680" s="2"/>
      <c r="H680" s="41">
        <v>14560</v>
      </c>
      <c r="I680" s="15" t="s">
        <v>2457</v>
      </c>
      <c r="J680" s="1" t="s">
        <v>837</v>
      </c>
      <c r="K680" s="1" t="s">
        <v>31</v>
      </c>
      <c r="L680" s="1">
        <v>85379</v>
      </c>
      <c r="M680" s="1" t="s">
        <v>32</v>
      </c>
      <c r="O680" s="1" t="s">
        <v>4256</v>
      </c>
      <c r="P680" s="1" t="s">
        <v>4257</v>
      </c>
      <c r="Q680" s="255" t="s">
        <v>4258</v>
      </c>
      <c r="R680" s="31">
        <v>92818</v>
      </c>
      <c r="V680" s="4" t="s">
        <v>443</v>
      </c>
      <c r="W680" s="4" t="s">
        <v>37</v>
      </c>
      <c r="X680" s="4" t="s">
        <v>616</v>
      </c>
      <c r="Y680" s="235" t="s">
        <v>617</v>
      </c>
      <c r="Z680" s="167" t="s">
        <v>364</v>
      </c>
    </row>
    <row r="681" spans="1:38" s="4" customFormat="1" ht="16.5" customHeight="1">
      <c r="A681" s="164" t="s">
        <v>812</v>
      </c>
      <c r="B681" s="29" t="s">
        <v>526</v>
      </c>
      <c r="C681" s="4" t="s">
        <v>4259</v>
      </c>
      <c r="D681" s="2"/>
      <c r="E681" s="2">
        <v>45351</v>
      </c>
      <c r="F681" s="2">
        <f t="shared" ref="F681" si="59">E681+14</f>
        <v>45365</v>
      </c>
      <c r="G681" s="2"/>
      <c r="H681" s="41" t="s">
        <v>43</v>
      </c>
      <c r="I681" s="15" t="s">
        <v>4260</v>
      </c>
      <c r="J681" s="1" t="s">
        <v>837</v>
      </c>
      <c r="K681" s="1" t="s">
        <v>31</v>
      </c>
      <c r="L681" s="1"/>
      <c r="M681" s="1" t="s">
        <v>32</v>
      </c>
      <c r="O681" s="1" t="s">
        <v>4261</v>
      </c>
      <c r="P681" s="1" t="s">
        <v>4262</v>
      </c>
      <c r="Q681" s="87" t="s">
        <v>4263</v>
      </c>
      <c r="R681" s="178" t="s">
        <v>314</v>
      </c>
      <c r="S681" s="1"/>
      <c r="T681" s="1"/>
      <c r="U681" s="1"/>
      <c r="V681" s="4" t="s">
        <v>443</v>
      </c>
      <c r="W681" s="4" t="s">
        <v>37</v>
      </c>
      <c r="X681" s="4" t="s">
        <v>616</v>
      </c>
      <c r="Y681" s="235" t="s">
        <v>617</v>
      </c>
      <c r="Z681" s="167" t="s">
        <v>364</v>
      </c>
    </row>
    <row r="682" spans="1:38" s="4" customFormat="1" ht="17.25" customHeight="1">
      <c r="A682" s="164" t="s">
        <v>812</v>
      </c>
      <c r="B682" s="15" t="s">
        <v>989</v>
      </c>
      <c r="C682" s="29" t="s">
        <v>4264</v>
      </c>
      <c r="D682" s="1"/>
      <c r="E682" s="2">
        <v>45356</v>
      </c>
      <c r="F682" s="2">
        <f>E682+28</f>
        <v>45384</v>
      </c>
      <c r="G682" s="2"/>
      <c r="H682" s="1" t="s">
        <v>528</v>
      </c>
      <c r="I682" s="15" t="s">
        <v>4265</v>
      </c>
      <c r="J682" s="1" t="s">
        <v>434</v>
      </c>
      <c r="K682" s="1" t="s">
        <v>31</v>
      </c>
      <c r="L682" s="1">
        <v>85054</v>
      </c>
      <c r="M682" s="1" t="s">
        <v>32</v>
      </c>
      <c r="N682" s="4" t="s">
        <v>4266</v>
      </c>
      <c r="O682" s="1" t="s">
        <v>556</v>
      </c>
      <c r="P682" s="1" t="s">
        <v>557</v>
      </c>
      <c r="Q682" s="129" t="s">
        <v>4267</v>
      </c>
      <c r="R682" s="1">
        <v>90774</v>
      </c>
      <c r="V682" s="4" t="s">
        <v>443</v>
      </c>
      <c r="W682" s="4" t="s">
        <v>37</v>
      </c>
      <c r="X682" s="4" t="s">
        <v>616</v>
      </c>
      <c r="Y682" s="241" t="s">
        <v>617</v>
      </c>
      <c r="Z682" s="167" t="s">
        <v>364</v>
      </c>
    </row>
    <row r="683" spans="1:38" s="4" customFormat="1" ht="15.75" customHeight="1">
      <c r="A683" s="164" t="s">
        <v>812</v>
      </c>
      <c r="B683" s="29" t="s">
        <v>478</v>
      </c>
      <c r="C683" s="4" t="s">
        <v>4268</v>
      </c>
      <c r="D683" s="130"/>
      <c r="E683" s="2">
        <v>45357</v>
      </c>
      <c r="F683" s="2">
        <f t="shared" ref="F683:F684" si="60">E683+14</f>
        <v>45371</v>
      </c>
      <c r="G683" s="2"/>
      <c r="H683" s="41" t="s">
        <v>379</v>
      </c>
      <c r="I683" s="15" t="s">
        <v>4269</v>
      </c>
      <c r="J683" s="1" t="s">
        <v>851</v>
      </c>
      <c r="K683" s="1" t="s">
        <v>31</v>
      </c>
      <c r="L683" s="1"/>
      <c r="M683" s="1" t="s">
        <v>32</v>
      </c>
      <c r="O683" s="1" t="s">
        <v>4270</v>
      </c>
      <c r="P683" s="1" t="s">
        <v>4271</v>
      </c>
      <c r="Q683" s="184" t="s">
        <v>4272</v>
      </c>
      <c r="R683" s="31">
        <v>93344</v>
      </c>
      <c r="V683" s="4" t="s">
        <v>443</v>
      </c>
      <c r="W683" s="4" t="s">
        <v>37</v>
      </c>
      <c r="X683" s="4" t="s">
        <v>616</v>
      </c>
      <c r="Y683" s="235" t="s">
        <v>617</v>
      </c>
      <c r="Z683" s="167" t="s">
        <v>364</v>
      </c>
    </row>
    <row r="684" spans="1:38" s="4" customFormat="1">
      <c r="A684" s="164" t="s">
        <v>812</v>
      </c>
      <c r="B684" s="29" t="s">
        <v>792</v>
      </c>
      <c r="C684" s="4" t="s">
        <v>4273</v>
      </c>
      <c r="D684" s="2"/>
      <c r="E684" s="2">
        <v>45357</v>
      </c>
      <c r="F684" s="2">
        <f t="shared" si="60"/>
        <v>45371</v>
      </c>
      <c r="G684" s="2"/>
      <c r="H684" s="41">
        <v>9802</v>
      </c>
      <c r="I684" s="15" t="s">
        <v>4274</v>
      </c>
      <c r="J684" s="1" t="s">
        <v>1510</v>
      </c>
      <c r="K684" s="1" t="s">
        <v>31</v>
      </c>
      <c r="L684" s="1">
        <v>85037</v>
      </c>
      <c r="M684" s="1" t="s">
        <v>32</v>
      </c>
      <c r="O684" s="1" t="s">
        <v>803</v>
      </c>
      <c r="P684" s="1" t="s">
        <v>804</v>
      </c>
      <c r="Q684" s="87" t="s">
        <v>4275</v>
      </c>
      <c r="R684" s="31">
        <v>90684</v>
      </c>
      <c r="V684" s="4" t="s">
        <v>443</v>
      </c>
      <c r="W684" s="4" t="s">
        <v>37</v>
      </c>
      <c r="X684" s="4" t="s">
        <v>616</v>
      </c>
      <c r="Y684" s="235" t="s">
        <v>617</v>
      </c>
      <c r="Z684" s="167" t="s">
        <v>364</v>
      </c>
      <c r="AA684" s="119"/>
      <c r="AB684" s="119"/>
      <c r="AC684" s="119"/>
      <c r="AD684" s="119"/>
      <c r="AE684" s="119"/>
      <c r="AF684" s="119"/>
      <c r="AG684" s="119"/>
      <c r="AH684" s="119"/>
      <c r="AI684" s="119"/>
      <c r="AJ684" s="119"/>
      <c r="AK684" s="119"/>
      <c r="AL684" s="119"/>
    </row>
    <row r="685" spans="1:38" s="4" customFormat="1" ht="17.25" customHeight="1">
      <c r="A685" s="164" t="s">
        <v>812</v>
      </c>
      <c r="B685" s="29" t="s">
        <v>2593</v>
      </c>
      <c r="C685" s="4" t="s">
        <v>4276</v>
      </c>
      <c r="D685" s="130"/>
      <c r="E685" s="2">
        <v>45348</v>
      </c>
      <c r="F685" s="2">
        <f>E685+28</f>
        <v>45376</v>
      </c>
      <c r="G685" s="2"/>
      <c r="H685" s="41">
        <v>145</v>
      </c>
      <c r="I685" s="15" t="s">
        <v>4277</v>
      </c>
      <c r="J685" s="1" t="s">
        <v>434</v>
      </c>
      <c r="K685" s="1" t="s">
        <v>31</v>
      </c>
      <c r="L685" s="1">
        <v>85024</v>
      </c>
      <c r="M685" s="1" t="s">
        <v>32</v>
      </c>
      <c r="O685" s="1" t="s">
        <v>4278</v>
      </c>
      <c r="P685" s="1" t="s">
        <v>4279</v>
      </c>
      <c r="Q685" s="129" t="s">
        <v>4280</v>
      </c>
      <c r="R685" s="31">
        <v>95127</v>
      </c>
      <c r="V685" s="4" t="s">
        <v>443</v>
      </c>
      <c r="W685" s="4" t="s">
        <v>37</v>
      </c>
      <c r="X685" s="4" t="s">
        <v>616</v>
      </c>
      <c r="Y685" s="241" t="s">
        <v>617</v>
      </c>
      <c r="Z685" s="167" t="s">
        <v>364</v>
      </c>
    </row>
    <row r="686" spans="1:38" s="4" customFormat="1">
      <c r="A686" s="164" t="s">
        <v>812</v>
      </c>
      <c r="B686" s="29" t="s">
        <v>559</v>
      </c>
      <c r="C686" s="4" t="s">
        <v>4281</v>
      </c>
      <c r="D686" s="130"/>
      <c r="E686" s="2">
        <v>45348</v>
      </c>
      <c r="F686" s="2">
        <f>E686+28</f>
        <v>45376</v>
      </c>
      <c r="G686" s="2"/>
      <c r="H686" s="41">
        <v>24032</v>
      </c>
      <c r="I686" s="15" t="s">
        <v>3337</v>
      </c>
      <c r="J686" s="1" t="s">
        <v>434</v>
      </c>
      <c r="K686" s="1" t="s">
        <v>31</v>
      </c>
      <c r="L686" s="1"/>
      <c r="M686" s="1" t="s">
        <v>32</v>
      </c>
      <c r="O686" s="1" t="s">
        <v>2054</v>
      </c>
      <c r="P686" s="1" t="s">
        <v>2055</v>
      </c>
      <c r="Q686" s="129" t="s">
        <v>4282</v>
      </c>
      <c r="R686" s="31">
        <v>85882</v>
      </c>
      <c r="V686" s="4" t="s">
        <v>443</v>
      </c>
      <c r="W686" s="4" t="s">
        <v>37</v>
      </c>
      <c r="X686" s="4" t="s">
        <v>616</v>
      </c>
      <c r="Y686" s="241" t="s">
        <v>617</v>
      </c>
      <c r="Z686" s="168"/>
    </row>
    <row r="687" spans="1:38" s="4" customFormat="1">
      <c r="A687" s="164" t="s">
        <v>812</v>
      </c>
      <c r="B687" s="15" t="s">
        <v>4283</v>
      </c>
      <c r="C687" s="29" t="s">
        <v>4284</v>
      </c>
      <c r="D687" s="1"/>
      <c r="E687" s="2">
        <v>45371</v>
      </c>
      <c r="F687" s="2">
        <f t="shared" ref="F687:F694" si="61">E687+14</f>
        <v>45385</v>
      </c>
      <c r="G687" s="15"/>
      <c r="H687" s="1">
        <v>9600</v>
      </c>
      <c r="I687" s="4" t="s">
        <v>4285</v>
      </c>
      <c r="J687" s="1" t="s">
        <v>1348</v>
      </c>
      <c r="K687" s="1" t="s">
        <v>31</v>
      </c>
      <c r="L687" s="1">
        <v>85305</v>
      </c>
      <c r="M687" s="1" t="s">
        <v>32</v>
      </c>
      <c r="O687" s="1" t="s">
        <v>4286</v>
      </c>
      <c r="P687" s="1" t="s">
        <v>4287</v>
      </c>
      <c r="Q687" s="87" t="s">
        <v>4288</v>
      </c>
      <c r="R687" s="1">
        <v>93382</v>
      </c>
      <c r="V687" s="4" t="s">
        <v>443</v>
      </c>
      <c r="W687" s="4" t="s">
        <v>37</v>
      </c>
      <c r="X687" s="4" t="s">
        <v>616</v>
      </c>
      <c r="Y687" s="235" t="s">
        <v>617</v>
      </c>
      <c r="Z687" s="167" t="s">
        <v>364</v>
      </c>
    </row>
    <row r="688" spans="1:38" s="4" customFormat="1">
      <c r="A688" s="164" t="s">
        <v>812</v>
      </c>
      <c r="B688" s="29" t="s">
        <v>2992</v>
      </c>
      <c r="C688" s="4" t="s">
        <v>4289</v>
      </c>
      <c r="D688" s="130"/>
      <c r="E688" s="2">
        <v>45362</v>
      </c>
      <c r="F688" s="2">
        <f t="shared" si="61"/>
        <v>45376</v>
      </c>
      <c r="G688" s="2"/>
      <c r="H688" s="41" t="s">
        <v>379</v>
      </c>
      <c r="I688" s="15" t="s">
        <v>4290</v>
      </c>
      <c r="J688" s="1" t="s">
        <v>1348</v>
      </c>
      <c r="K688" s="1" t="s">
        <v>31</v>
      </c>
      <c r="L688" s="1">
        <v>85308</v>
      </c>
      <c r="M688" s="1" t="s">
        <v>32</v>
      </c>
      <c r="O688" s="1" t="s">
        <v>4291</v>
      </c>
      <c r="P688" s="1" t="s">
        <v>4292</v>
      </c>
      <c r="Q688" s="87" t="s">
        <v>4293</v>
      </c>
      <c r="R688" s="31">
        <v>93343</v>
      </c>
      <c r="V688" s="4" t="s">
        <v>443</v>
      </c>
      <c r="W688" s="4" t="s">
        <v>37</v>
      </c>
      <c r="X688" s="4" t="s">
        <v>616</v>
      </c>
      <c r="Y688" s="235" t="s">
        <v>617</v>
      </c>
      <c r="Z688" s="167" t="s">
        <v>364</v>
      </c>
    </row>
    <row r="689" spans="1:38" s="4" customFormat="1">
      <c r="A689" s="164" t="s">
        <v>812</v>
      </c>
      <c r="B689" s="29" t="s">
        <v>412</v>
      </c>
      <c r="C689" s="4" t="s">
        <v>4294</v>
      </c>
      <c r="D689" s="2"/>
      <c r="E689" s="2">
        <v>45363</v>
      </c>
      <c r="F689" s="2">
        <f t="shared" si="61"/>
        <v>45377</v>
      </c>
      <c r="G689" s="26"/>
      <c r="H689" s="1" t="s">
        <v>528</v>
      </c>
      <c r="I689" s="65" t="s">
        <v>4295</v>
      </c>
      <c r="J689" s="1" t="s">
        <v>873</v>
      </c>
      <c r="K689" s="1" t="s">
        <v>31</v>
      </c>
      <c r="L689" s="1">
        <v>85392</v>
      </c>
      <c r="M689" s="1" t="s">
        <v>32</v>
      </c>
      <c r="O689" s="1" t="s">
        <v>4296</v>
      </c>
      <c r="P689" s="73" t="s">
        <v>4297</v>
      </c>
      <c r="Q689" s="129" t="s">
        <v>4298</v>
      </c>
      <c r="R689" s="31">
        <v>97922</v>
      </c>
      <c r="S689" s="187"/>
      <c r="T689" s="187"/>
      <c r="U689" s="187"/>
      <c r="V689" s="4" t="s">
        <v>443</v>
      </c>
      <c r="W689" s="4" t="s">
        <v>37</v>
      </c>
      <c r="X689" s="4" t="s">
        <v>616</v>
      </c>
      <c r="Y689" s="235" t="s">
        <v>617</v>
      </c>
      <c r="Z689" s="167" t="s">
        <v>364</v>
      </c>
    </row>
    <row r="690" spans="1:38" s="4" customFormat="1" ht="20.25" customHeight="1">
      <c r="A690" s="164" t="s">
        <v>812</v>
      </c>
      <c r="B690" s="118" t="s">
        <v>2444</v>
      </c>
      <c r="C690" s="119" t="s">
        <v>4299</v>
      </c>
      <c r="D690" s="2">
        <v>44825</v>
      </c>
      <c r="E690" s="2">
        <v>45363</v>
      </c>
      <c r="F690" s="2">
        <f t="shared" si="61"/>
        <v>45377</v>
      </c>
      <c r="G690" s="2"/>
      <c r="H690" s="41">
        <v>48</v>
      </c>
      <c r="I690" s="15" t="s">
        <v>878</v>
      </c>
      <c r="J690" s="1" t="s">
        <v>844</v>
      </c>
      <c r="K690" s="1" t="s">
        <v>31</v>
      </c>
      <c r="L690" s="1"/>
      <c r="M690" s="1" t="s">
        <v>32</v>
      </c>
      <c r="O690" s="1" t="s">
        <v>4300</v>
      </c>
      <c r="P690" s="1" t="s">
        <v>4301</v>
      </c>
      <c r="Q690" s="129" t="s">
        <v>4302</v>
      </c>
      <c r="R690" s="31">
        <v>95826</v>
      </c>
      <c r="V690" s="4" t="s">
        <v>36</v>
      </c>
      <c r="W690" s="4" t="s">
        <v>37</v>
      </c>
      <c r="X690" s="4" t="s">
        <v>616</v>
      </c>
      <c r="Y690" s="235" t="s">
        <v>617</v>
      </c>
      <c r="Z690" s="167" t="s">
        <v>364</v>
      </c>
    </row>
    <row r="691" spans="1:38" s="4" customFormat="1" ht="18" customHeight="1">
      <c r="A691" s="164" t="s">
        <v>812</v>
      </c>
      <c r="B691" s="118" t="s">
        <v>2444</v>
      </c>
      <c r="C691" s="119" t="s">
        <v>4303</v>
      </c>
      <c r="D691" s="2"/>
      <c r="E691" s="2">
        <v>45363</v>
      </c>
      <c r="F691" s="2">
        <f t="shared" si="61"/>
        <v>45377</v>
      </c>
      <c r="G691" s="2"/>
      <c r="H691" s="41"/>
      <c r="I691" s="15" t="s">
        <v>4304</v>
      </c>
      <c r="J691" s="1" t="s">
        <v>844</v>
      </c>
      <c r="K691" s="1" t="s">
        <v>31</v>
      </c>
      <c r="L691" s="1"/>
      <c r="M691" s="1" t="s">
        <v>32</v>
      </c>
      <c r="O691" s="1" t="s">
        <v>4300</v>
      </c>
      <c r="P691" s="1" t="s">
        <v>4301</v>
      </c>
      <c r="Q691" s="255" t="s">
        <v>4305</v>
      </c>
      <c r="R691" s="31">
        <v>100164</v>
      </c>
      <c r="V691" s="4" t="s">
        <v>36</v>
      </c>
      <c r="W691" s="4" t="s">
        <v>37</v>
      </c>
      <c r="X691" s="4" t="s">
        <v>616</v>
      </c>
      <c r="Y691" s="235" t="s">
        <v>617</v>
      </c>
      <c r="Z691" s="167" t="s">
        <v>364</v>
      </c>
    </row>
    <row r="692" spans="1:38" s="4" customFormat="1" ht="18.75" customHeight="1">
      <c r="A692" s="163" t="s">
        <v>25</v>
      </c>
      <c r="B692" s="118" t="s">
        <v>3245</v>
      </c>
      <c r="C692" s="4" t="s">
        <v>4306</v>
      </c>
      <c r="D692" s="130"/>
      <c r="E692" s="2">
        <v>45369</v>
      </c>
      <c r="F692" s="2">
        <f t="shared" si="61"/>
        <v>45383</v>
      </c>
      <c r="G692" s="2"/>
      <c r="H692" s="41">
        <v>1150</v>
      </c>
      <c r="I692" s="15" t="s">
        <v>4307</v>
      </c>
      <c r="J692" s="1" t="s">
        <v>30</v>
      </c>
      <c r="K692" s="1" t="s">
        <v>31</v>
      </c>
      <c r="L692" s="1">
        <v>85122</v>
      </c>
      <c r="M692" s="1" t="s">
        <v>32</v>
      </c>
      <c r="O692" s="1" t="s">
        <v>4308</v>
      </c>
      <c r="P692" s="1" t="s">
        <v>4309</v>
      </c>
      <c r="Q692" s="98" t="s">
        <v>4310</v>
      </c>
      <c r="R692" s="31">
        <v>97960</v>
      </c>
      <c r="V692" s="4" t="s">
        <v>36</v>
      </c>
      <c r="W692" s="4" t="s">
        <v>37</v>
      </c>
      <c r="X692" s="1" t="s">
        <v>59</v>
      </c>
      <c r="Y692" s="167" t="s">
        <v>39</v>
      </c>
    </row>
    <row r="693" spans="1:38" s="4" customFormat="1" ht="18" customHeight="1">
      <c r="A693" s="163" t="s">
        <v>25</v>
      </c>
      <c r="B693" s="29" t="s">
        <v>150</v>
      </c>
      <c r="C693" s="4" t="s">
        <v>4311</v>
      </c>
      <c r="D693" s="130"/>
      <c r="E693" s="2">
        <v>45369</v>
      </c>
      <c r="F693" s="2">
        <f t="shared" si="61"/>
        <v>45383</v>
      </c>
      <c r="G693" s="2"/>
      <c r="H693" s="41" t="s">
        <v>184</v>
      </c>
      <c r="I693" s="15" t="s">
        <v>4312</v>
      </c>
      <c r="J693" s="1" t="s">
        <v>153</v>
      </c>
      <c r="K693" s="1" t="s">
        <v>31</v>
      </c>
      <c r="L693" s="1"/>
      <c r="M693" s="1" t="s">
        <v>32</v>
      </c>
      <c r="O693" s="229" t="s">
        <v>4313</v>
      </c>
      <c r="P693" s="1" t="s">
        <v>4314</v>
      </c>
      <c r="Q693" s="87" t="s">
        <v>4315</v>
      </c>
      <c r="R693" s="124" t="s">
        <v>4316</v>
      </c>
      <c r="V693" s="4" t="s">
        <v>36</v>
      </c>
      <c r="W693" s="4" t="s">
        <v>37</v>
      </c>
      <c r="X693" s="1" t="s">
        <v>59</v>
      </c>
      <c r="Y693" s="167" t="s">
        <v>39</v>
      </c>
    </row>
    <row r="694" spans="1:38" s="4" customFormat="1" ht="15" customHeight="1">
      <c r="A694" s="163" t="s">
        <v>25</v>
      </c>
      <c r="B694" s="15" t="s">
        <v>951</v>
      </c>
      <c r="C694" s="29" t="s">
        <v>4317</v>
      </c>
      <c r="D694" s="1"/>
      <c r="E694" s="2">
        <v>45369</v>
      </c>
      <c r="F694" s="2">
        <f t="shared" si="61"/>
        <v>45383</v>
      </c>
      <c r="G694" s="15" t="s">
        <v>4318</v>
      </c>
      <c r="H694" s="1">
        <v>333</v>
      </c>
      <c r="I694" s="15" t="s">
        <v>4319</v>
      </c>
      <c r="J694" s="1" t="s">
        <v>69</v>
      </c>
      <c r="K694" s="1" t="s">
        <v>31</v>
      </c>
      <c r="L694" s="1">
        <v>85225</v>
      </c>
      <c r="M694" s="1" t="s">
        <v>32</v>
      </c>
      <c r="O694" s="1" t="s">
        <v>954</v>
      </c>
      <c r="P694" s="1" t="s">
        <v>955</v>
      </c>
      <c r="Q694" s="87" t="s">
        <v>4320</v>
      </c>
      <c r="R694" s="1">
        <v>91081</v>
      </c>
      <c r="V694" s="4" t="s">
        <v>36</v>
      </c>
      <c r="W694" s="4" t="s">
        <v>37</v>
      </c>
      <c r="X694" s="1" t="s">
        <v>59</v>
      </c>
      <c r="Y694" s="167" t="s">
        <v>39</v>
      </c>
      <c r="Z694" s="168"/>
    </row>
    <row r="695" spans="1:38" s="4" customFormat="1" ht="15" customHeight="1">
      <c r="A695" s="163" t="s">
        <v>25</v>
      </c>
      <c r="B695" s="29" t="s">
        <v>1281</v>
      </c>
      <c r="C695" s="4" t="s">
        <v>4321</v>
      </c>
      <c r="D695" s="130"/>
      <c r="E695" s="2">
        <v>45377</v>
      </c>
      <c r="F695" s="2">
        <f>E695+14</f>
        <v>45391</v>
      </c>
      <c r="G695" s="2"/>
      <c r="H695" s="41">
        <v>3322</v>
      </c>
      <c r="I695" s="15" t="s">
        <v>89</v>
      </c>
      <c r="J695" s="1" t="s">
        <v>63</v>
      </c>
      <c r="K695" s="1" t="s">
        <v>31</v>
      </c>
      <c r="L695" s="1">
        <v>85212</v>
      </c>
      <c r="M695" s="1" t="s">
        <v>32</v>
      </c>
      <c r="O695" s="1" t="s">
        <v>4322</v>
      </c>
      <c r="P695" s="1" t="s">
        <v>4323</v>
      </c>
      <c r="Q695" s="87" t="s">
        <v>4324</v>
      </c>
      <c r="R695" s="31">
        <v>97012</v>
      </c>
      <c r="V695" s="4" t="s">
        <v>36</v>
      </c>
      <c r="W695" s="4" t="s">
        <v>37</v>
      </c>
      <c r="X695" s="1" t="s">
        <v>59</v>
      </c>
      <c r="Y695" s="167" t="s">
        <v>39</v>
      </c>
    </row>
    <row r="696" spans="1:38" s="4" customFormat="1">
      <c r="A696" s="164" t="s">
        <v>812</v>
      </c>
      <c r="B696" s="233" t="s">
        <v>792</v>
      </c>
      <c r="C696" s="118" t="s">
        <v>4325</v>
      </c>
      <c r="D696" s="232"/>
      <c r="E696" s="2">
        <v>45379</v>
      </c>
      <c r="F696" s="2">
        <f t="shared" ref="F696:F697" si="62">E696+14</f>
        <v>45393</v>
      </c>
      <c r="G696" s="233"/>
      <c r="H696" s="179" t="s">
        <v>379</v>
      </c>
      <c r="I696" s="119" t="s">
        <v>4326</v>
      </c>
      <c r="J696" s="179" t="s">
        <v>837</v>
      </c>
      <c r="K696" s="179" t="s">
        <v>31</v>
      </c>
      <c r="L696" s="179"/>
      <c r="M696" s="179" t="s">
        <v>32</v>
      </c>
      <c r="N696" s="119"/>
      <c r="O696" s="179" t="s">
        <v>4327</v>
      </c>
      <c r="P696" s="179" t="s">
        <v>4328</v>
      </c>
      <c r="Q696" s="184" t="s">
        <v>4329</v>
      </c>
      <c r="R696" s="179">
        <v>91205</v>
      </c>
      <c r="S696" s="119"/>
      <c r="T696" s="119"/>
      <c r="U696" s="119"/>
      <c r="V696" s="119" t="s">
        <v>443</v>
      </c>
      <c r="W696" s="119" t="s">
        <v>37</v>
      </c>
      <c r="X696" s="119" t="s">
        <v>616</v>
      </c>
      <c r="Y696" s="235" t="s">
        <v>617</v>
      </c>
      <c r="Z696" s="167" t="s">
        <v>364</v>
      </c>
      <c r="AA696" s="119"/>
      <c r="AB696" s="119"/>
      <c r="AC696" s="119"/>
      <c r="AD696" s="119"/>
      <c r="AE696" s="119"/>
      <c r="AF696" s="119"/>
      <c r="AG696" s="119"/>
      <c r="AH696" s="119"/>
      <c r="AI696" s="119"/>
      <c r="AJ696" s="119"/>
      <c r="AK696" s="119"/>
      <c r="AL696" s="119"/>
    </row>
    <row r="697" spans="1:38" s="4" customFormat="1" ht="23.25" customHeight="1">
      <c r="A697" s="163" t="s">
        <v>25</v>
      </c>
      <c r="B697" s="68" t="s">
        <v>2496</v>
      </c>
      <c r="C697" s="47" t="s">
        <v>4330</v>
      </c>
      <c r="D697" s="58"/>
      <c r="E697" s="2">
        <v>45384</v>
      </c>
      <c r="F697" s="2">
        <f t="shared" si="62"/>
        <v>45398</v>
      </c>
      <c r="G697" s="2"/>
      <c r="H697" s="66">
        <v>7111</v>
      </c>
      <c r="I697" s="48" t="s">
        <v>4331</v>
      </c>
      <c r="J697" s="46" t="s">
        <v>398</v>
      </c>
      <c r="K697" s="46" t="s">
        <v>31</v>
      </c>
      <c r="L697" s="46" t="s">
        <v>1955</v>
      </c>
      <c r="M697" s="46" t="s">
        <v>32</v>
      </c>
      <c r="N697" s="47"/>
      <c r="O697" s="46" t="s">
        <v>4332</v>
      </c>
      <c r="P697" s="46" t="s">
        <v>4333</v>
      </c>
      <c r="Q697" s="96" t="s">
        <v>4334</v>
      </c>
      <c r="R697" s="50">
        <v>80778</v>
      </c>
      <c r="V697" s="4" t="s">
        <v>36</v>
      </c>
      <c r="W697" s="4" t="s">
        <v>37</v>
      </c>
      <c r="X697" s="1" t="s">
        <v>59</v>
      </c>
      <c r="Y697" s="167" t="s">
        <v>39</v>
      </c>
      <c r="Z697" s="167" t="s">
        <v>364</v>
      </c>
    </row>
    <row r="698" spans="1:38" s="4" customFormat="1" ht="16.5" customHeight="1">
      <c r="A698" s="163" t="s">
        <v>25</v>
      </c>
      <c r="B698" s="70" t="s">
        <v>792</v>
      </c>
      <c r="C698" s="4" t="s">
        <v>4335</v>
      </c>
      <c r="D698" s="130"/>
      <c r="E698" s="2">
        <v>45390</v>
      </c>
      <c r="F698" s="2">
        <f>E698+14</f>
        <v>45404</v>
      </c>
      <c r="G698" s="2"/>
      <c r="H698" s="41">
        <v>1225</v>
      </c>
      <c r="I698" s="15" t="s">
        <v>4336</v>
      </c>
      <c r="J698" s="1" t="s">
        <v>49</v>
      </c>
      <c r="K698" s="1" t="s">
        <v>31</v>
      </c>
      <c r="L698" s="1">
        <v>85233</v>
      </c>
      <c r="M698" s="1" t="s">
        <v>32</v>
      </c>
      <c r="O698" s="1" t="s">
        <v>3263</v>
      </c>
      <c r="P698" s="1" t="s">
        <v>4337</v>
      </c>
      <c r="Q698" s="1"/>
      <c r="R698" s="31"/>
      <c r="V698" s="4" t="s">
        <v>36</v>
      </c>
      <c r="W698" s="4" t="s">
        <v>37</v>
      </c>
      <c r="X698" s="1" t="s">
        <v>59</v>
      </c>
      <c r="Y698" s="167" t="s">
        <v>39</v>
      </c>
    </row>
    <row r="699" spans="1:38" s="4" customFormat="1" ht="21.75" customHeight="1">
      <c r="A699" s="164" t="s">
        <v>812</v>
      </c>
      <c r="B699" s="118" t="s">
        <v>150</v>
      </c>
      <c r="C699" s="119" t="s">
        <v>4338</v>
      </c>
      <c r="D699" s="2"/>
      <c r="E699" s="2">
        <v>45392</v>
      </c>
      <c r="F699" s="2">
        <f t="shared" ref="F699:F701" si="63">E699+14</f>
        <v>45406</v>
      </c>
      <c r="G699" s="2"/>
      <c r="H699" s="41">
        <v>7402</v>
      </c>
      <c r="I699" s="15" t="s">
        <v>4339</v>
      </c>
      <c r="J699" s="1" t="s">
        <v>434</v>
      </c>
      <c r="K699" s="1" t="s">
        <v>31</v>
      </c>
      <c r="L699" s="1">
        <v>85033</v>
      </c>
      <c r="M699" s="1" t="s">
        <v>32</v>
      </c>
      <c r="O699" s="1" t="s">
        <v>1818</v>
      </c>
      <c r="P699" s="1" t="s">
        <v>3822</v>
      </c>
      <c r="Q699" s="184" t="s">
        <v>4340</v>
      </c>
      <c r="R699" s="31">
        <v>100503</v>
      </c>
      <c r="V699" s="4" t="s">
        <v>443</v>
      </c>
      <c r="W699" s="4" t="s">
        <v>37</v>
      </c>
      <c r="X699" s="4" t="s">
        <v>616</v>
      </c>
      <c r="Y699" s="235" t="s">
        <v>617</v>
      </c>
      <c r="Z699" s="167" t="s">
        <v>364</v>
      </c>
    </row>
    <row r="700" spans="1:38" s="4" customFormat="1" ht="18" customHeight="1">
      <c r="A700" s="163" t="s">
        <v>25</v>
      </c>
      <c r="B700" s="29" t="s">
        <v>478</v>
      </c>
      <c r="C700" s="65" t="s">
        <v>4341</v>
      </c>
      <c r="D700" s="2"/>
      <c r="E700" s="2">
        <v>45391</v>
      </c>
      <c r="F700" s="2">
        <f t="shared" si="63"/>
        <v>45405</v>
      </c>
      <c r="G700" s="2"/>
      <c r="H700" s="1">
        <v>1601</v>
      </c>
      <c r="I700" s="15" t="s">
        <v>4342</v>
      </c>
      <c r="J700" s="1" t="s">
        <v>63</v>
      </c>
      <c r="K700" s="1" t="s">
        <v>31</v>
      </c>
      <c r="L700" s="1">
        <v>85202</v>
      </c>
      <c r="M700" s="1" t="s">
        <v>32</v>
      </c>
      <c r="O700" s="1" t="s">
        <v>4343</v>
      </c>
      <c r="P700" s="1" t="s">
        <v>4344</v>
      </c>
      <c r="Q700" s="87" t="s">
        <v>4345</v>
      </c>
      <c r="R700" s="1">
        <v>99103</v>
      </c>
      <c r="S700" s="1"/>
      <c r="T700" s="1"/>
      <c r="U700" s="1"/>
      <c r="V700" s="4" t="s">
        <v>36</v>
      </c>
      <c r="W700" s="4" t="s">
        <v>37</v>
      </c>
      <c r="X700" s="1" t="s">
        <v>59</v>
      </c>
      <c r="Y700" s="167" t="s">
        <v>39</v>
      </c>
      <c r="Z700" s="168"/>
    </row>
    <row r="701" spans="1:38" s="4" customFormat="1" ht="20.25" customHeight="1">
      <c r="A701" s="164" t="s">
        <v>812</v>
      </c>
      <c r="B701" s="29" t="s">
        <v>2068</v>
      </c>
      <c r="C701" s="4" t="s">
        <v>4346</v>
      </c>
      <c r="D701" s="2"/>
      <c r="E701" s="2">
        <v>45399</v>
      </c>
      <c r="F701" s="2">
        <f t="shared" si="63"/>
        <v>45413</v>
      </c>
      <c r="G701" s="2"/>
      <c r="H701" s="41" t="s">
        <v>528</v>
      </c>
      <c r="I701" s="15" t="s">
        <v>4347</v>
      </c>
      <c r="J701" s="1" t="s">
        <v>844</v>
      </c>
      <c r="K701" s="1" t="s">
        <v>31</v>
      </c>
      <c r="L701" s="1">
        <v>85395</v>
      </c>
      <c r="M701" s="1" t="s">
        <v>32</v>
      </c>
      <c r="O701" s="1" t="s">
        <v>4348</v>
      </c>
      <c r="P701" s="1" t="s">
        <v>4349</v>
      </c>
      <c r="Q701" s="87" t="s">
        <v>4350</v>
      </c>
      <c r="R701" s="31">
        <v>96991</v>
      </c>
      <c r="V701" s="4" t="s">
        <v>443</v>
      </c>
      <c r="W701" s="4" t="s">
        <v>37</v>
      </c>
      <c r="X701" s="4" t="s">
        <v>616</v>
      </c>
      <c r="Y701" s="235" t="s">
        <v>617</v>
      </c>
      <c r="Z701" s="167" t="s">
        <v>364</v>
      </c>
    </row>
    <row r="702" spans="1:38" s="4" customFormat="1" ht="20.25" customHeight="1">
      <c r="A702" s="164" t="s">
        <v>812</v>
      </c>
      <c r="B702" s="29" t="s">
        <v>2233</v>
      </c>
      <c r="C702" s="4" t="s">
        <v>4351</v>
      </c>
      <c r="D702" s="130"/>
      <c r="E702" s="2">
        <v>45399</v>
      </c>
      <c r="F702" s="2">
        <f>E702+14</f>
        <v>45413</v>
      </c>
      <c r="G702" s="2"/>
      <c r="H702" s="41" t="s">
        <v>43</v>
      </c>
      <c r="I702" s="15" t="s">
        <v>4352</v>
      </c>
      <c r="J702" s="1" t="s">
        <v>844</v>
      </c>
      <c r="K702" s="1" t="s">
        <v>31</v>
      </c>
      <c r="L702" s="1"/>
      <c r="M702" s="1" t="s">
        <v>32</v>
      </c>
      <c r="O702" s="1" t="s">
        <v>4353</v>
      </c>
      <c r="P702" s="1" t="s">
        <v>4354</v>
      </c>
      <c r="Q702" s="129" t="s">
        <v>4355</v>
      </c>
      <c r="R702" s="31">
        <v>94102</v>
      </c>
      <c r="V702" s="4" t="s">
        <v>443</v>
      </c>
      <c r="W702" s="4" t="s">
        <v>37</v>
      </c>
      <c r="X702" s="4" t="s">
        <v>616</v>
      </c>
      <c r="Y702" s="241" t="s">
        <v>617</v>
      </c>
      <c r="Z702" s="168"/>
    </row>
    <row r="703" spans="1:38" s="4" customFormat="1">
      <c r="A703" s="164" t="s">
        <v>812</v>
      </c>
      <c r="B703" s="29" t="s">
        <v>4356</v>
      </c>
      <c r="C703" s="260" t="s">
        <v>4357</v>
      </c>
      <c r="D703" s="130"/>
      <c r="E703" s="2">
        <v>45407</v>
      </c>
      <c r="F703" s="2">
        <f t="shared" ref="F703:F704" si="64">E703+14</f>
        <v>45421</v>
      </c>
      <c r="G703" s="2"/>
      <c r="H703" s="41">
        <v>13770</v>
      </c>
      <c r="I703" s="15" t="s">
        <v>1286</v>
      </c>
      <c r="J703" s="1" t="s">
        <v>837</v>
      </c>
      <c r="K703" s="1" t="s">
        <v>31</v>
      </c>
      <c r="L703" s="1">
        <v>85374</v>
      </c>
      <c r="M703" s="1" t="s">
        <v>32</v>
      </c>
      <c r="O703" s="173"/>
      <c r="P703" s="173"/>
      <c r="Q703" s="263"/>
      <c r="R703" s="174"/>
      <c r="V703" s="4" t="s">
        <v>443</v>
      </c>
      <c r="W703" s="4" t="s">
        <v>37</v>
      </c>
      <c r="X703" s="4" t="s">
        <v>616</v>
      </c>
      <c r="Y703" s="235" t="s">
        <v>617</v>
      </c>
    </row>
    <row r="704" spans="1:38" s="4" customFormat="1">
      <c r="A704" s="164" t="s">
        <v>812</v>
      </c>
      <c r="B704" s="15" t="s">
        <v>1128</v>
      </c>
      <c r="C704" s="29" t="s">
        <v>4358</v>
      </c>
      <c r="D704" s="2"/>
      <c r="E704" s="2">
        <v>45413</v>
      </c>
      <c r="F704" s="2">
        <f t="shared" si="64"/>
        <v>45427</v>
      </c>
      <c r="G704" s="2"/>
      <c r="H704" s="1">
        <v>17608</v>
      </c>
      <c r="I704" s="15" t="s">
        <v>1260</v>
      </c>
      <c r="J704" s="1" t="s">
        <v>985</v>
      </c>
      <c r="K704" s="1" t="s">
        <v>31</v>
      </c>
      <c r="L704" s="1">
        <v>85355</v>
      </c>
      <c r="M704" s="1" t="s">
        <v>32</v>
      </c>
      <c r="O704" s="1" t="s">
        <v>4359</v>
      </c>
      <c r="P704" s="1" t="s">
        <v>4360</v>
      </c>
      <c r="Q704" s="129" t="s">
        <v>4361</v>
      </c>
      <c r="R704" s="1">
        <v>98854</v>
      </c>
      <c r="V704" s="4" t="s">
        <v>443</v>
      </c>
      <c r="W704" s="4" t="s">
        <v>37</v>
      </c>
      <c r="X704" s="4" t="s">
        <v>616</v>
      </c>
      <c r="Y704" s="241" t="s">
        <v>617</v>
      </c>
      <c r="Z704" s="168"/>
      <c r="AA704" s="119"/>
      <c r="AB704" s="119"/>
      <c r="AC704" s="119"/>
      <c r="AD704" s="119"/>
      <c r="AE704" s="119"/>
      <c r="AF704" s="119"/>
      <c r="AG704" s="119"/>
      <c r="AH704" s="119"/>
      <c r="AI704" s="119"/>
      <c r="AJ704" s="119"/>
      <c r="AK704" s="119"/>
      <c r="AL704" s="119"/>
    </row>
    <row r="705" spans="1:38" s="4" customFormat="1" ht="17.25" customHeight="1">
      <c r="A705" s="164" t="s">
        <v>812</v>
      </c>
      <c r="B705" s="29" t="s">
        <v>559</v>
      </c>
      <c r="C705" s="4" t="s">
        <v>4362</v>
      </c>
      <c r="D705" s="130"/>
      <c r="E705" s="2">
        <v>45411</v>
      </c>
      <c r="F705" s="60">
        <f>E705+14</f>
        <v>45425</v>
      </c>
      <c r="G705" s="2"/>
      <c r="H705" s="41">
        <v>815</v>
      </c>
      <c r="I705" s="15" t="s">
        <v>4363</v>
      </c>
      <c r="J705" s="1" t="s">
        <v>831</v>
      </c>
      <c r="K705" s="1" t="s">
        <v>31</v>
      </c>
      <c r="L705" s="1">
        <v>85326</v>
      </c>
      <c r="M705" s="1" t="s">
        <v>32</v>
      </c>
      <c r="O705" s="1" t="s">
        <v>4364</v>
      </c>
      <c r="P705" s="1" t="s">
        <v>4365</v>
      </c>
      <c r="Q705" s="87" t="s">
        <v>4366</v>
      </c>
      <c r="R705" s="125" t="s">
        <v>35</v>
      </c>
      <c r="V705" s="4" t="s">
        <v>443</v>
      </c>
      <c r="W705" s="4" t="s">
        <v>37</v>
      </c>
      <c r="X705" s="4" t="s">
        <v>616</v>
      </c>
      <c r="Y705" s="235" t="s">
        <v>617</v>
      </c>
    </row>
    <row r="706" spans="1:38" s="4" customFormat="1">
      <c r="A706" s="164" t="s">
        <v>812</v>
      </c>
      <c r="B706" s="29" t="s">
        <v>2068</v>
      </c>
      <c r="C706" s="4" t="s">
        <v>4367</v>
      </c>
      <c r="D706" s="130"/>
      <c r="E706" s="2">
        <v>45407</v>
      </c>
      <c r="F706" s="2">
        <f>E706+14</f>
        <v>45421</v>
      </c>
      <c r="G706" s="2"/>
      <c r="H706" s="41" t="s">
        <v>379</v>
      </c>
      <c r="I706" s="15" t="s">
        <v>4368</v>
      </c>
      <c r="J706" s="1" t="s">
        <v>985</v>
      </c>
      <c r="K706" s="1" t="s">
        <v>31</v>
      </c>
      <c r="L706" s="1">
        <v>85355</v>
      </c>
      <c r="M706" s="1" t="s">
        <v>32</v>
      </c>
      <c r="O706" s="1" t="s">
        <v>4369</v>
      </c>
      <c r="P706" s="1" t="s">
        <v>4370</v>
      </c>
      <c r="Q706" s="87" t="s">
        <v>4371</v>
      </c>
      <c r="R706" s="178">
        <v>96848</v>
      </c>
      <c r="V706" s="4" t="s">
        <v>443</v>
      </c>
      <c r="W706" s="4" t="s">
        <v>37</v>
      </c>
      <c r="X706" s="4" t="s">
        <v>616</v>
      </c>
      <c r="Y706" s="235" t="s">
        <v>617</v>
      </c>
    </row>
    <row r="707" spans="1:38" s="4" customFormat="1" ht="15" customHeight="1">
      <c r="A707" s="163" t="s">
        <v>25</v>
      </c>
      <c r="B707" s="15" t="s">
        <v>3730</v>
      </c>
      <c r="C707" s="4" t="s">
        <v>4372</v>
      </c>
      <c r="D707" s="130"/>
      <c r="E707" s="2">
        <v>45412</v>
      </c>
      <c r="F707" s="2">
        <f t="shared" ref="F707:F709" si="65">E707+14</f>
        <v>45426</v>
      </c>
      <c r="G707" s="2"/>
      <c r="H707" s="41">
        <v>3635</v>
      </c>
      <c r="I707" s="15" t="s">
        <v>4373</v>
      </c>
      <c r="J707" s="1" t="s">
        <v>49</v>
      </c>
      <c r="K707" s="1" t="s">
        <v>31</v>
      </c>
      <c r="L707" s="1">
        <v>85297</v>
      </c>
      <c r="M707" s="1" t="s">
        <v>32</v>
      </c>
      <c r="O707" s="1" t="s">
        <v>1142</v>
      </c>
      <c r="P707" s="1" t="s">
        <v>1143</v>
      </c>
      <c r="Q707" s="87" t="s">
        <v>4374</v>
      </c>
      <c r="R707" s="31">
        <v>98402</v>
      </c>
      <c r="V707" s="4" t="s">
        <v>36</v>
      </c>
      <c r="W707" s="4" t="s">
        <v>37</v>
      </c>
      <c r="X707" s="1" t="s">
        <v>59</v>
      </c>
      <c r="Y707" s="167" t="s">
        <v>39</v>
      </c>
      <c r="AA707" s="119"/>
      <c r="AB707" s="119"/>
      <c r="AC707" s="119"/>
      <c r="AD707" s="119"/>
      <c r="AE707" s="119"/>
      <c r="AF707" s="119"/>
      <c r="AG707" s="119"/>
      <c r="AH707" s="119"/>
      <c r="AI707" s="119"/>
      <c r="AJ707" s="119"/>
      <c r="AK707" s="119"/>
      <c r="AL707" s="119"/>
    </row>
    <row r="708" spans="1:38" s="4" customFormat="1" ht="17.25" customHeight="1">
      <c r="A708" s="163" t="s">
        <v>25</v>
      </c>
      <c r="B708" s="29" t="s">
        <v>4375</v>
      </c>
      <c r="C708" s="4" t="s">
        <v>4376</v>
      </c>
      <c r="D708" s="130"/>
      <c r="E708" s="2">
        <v>45412</v>
      </c>
      <c r="F708" s="2">
        <f t="shared" si="65"/>
        <v>45426</v>
      </c>
      <c r="G708" s="2"/>
      <c r="H708" s="41">
        <v>7733</v>
      </c>
      <c r="I708" s="15" t="s">
        <v>4377</v>
      </c>
      <c r="J708" s="1" t="s">
        <v>63</v>
      </c>
      <c r="K708" s="1" t="s">
        <v>31</v>
      </c>
      <c r="L708" s="1">
        <v>85212</v>
      </c>
      <c r="M708" s="1" t="s">
        <v>32</v>
      </c>
      <c r="O708" s="1" t="s">
        <v>4378</v>
      </c>
      <c r="P708" s="1" t="s">
        <v>4379</v>
      </c>
      <c r="Q708" s="87" t="s">
        <v>4380</v>
      </c>
      <c r="R708" s="174"/>
      <c r="V708" s="4" t="s">
        <v>36</v>
      </c>
      <c r="W708" s="4" t="s">
        <v>37</v>
      </c>
      <c r="X708" s="1" t="s">
        <v>59</v>
      </c>
      <c r="Y708" s="167" t="s">
        <v>39</v>
      </c>
    </row>
    <row r="709" spans="1:38" s="4" customFormat="1" ht="15" customHeight="1">
      <c r="A709" s="163" t="s">
        <v>25</v>
      </c>
      <c r="B709" s="29" t="s">
        <v>194</v>
      </c>
      <c r="C709" s="4" t="s">
        <v>4381</v>
      </c>
      <c r="D709" s="130"/>
      <c r="E709" s="2">
        <v>45415</v>
      </c>
      <c r="F709" s="2">
        <f t="shared" si="65"/>
        <v>45429</v>
      </c>
      <c r="G709" s="2"/>
      <c r="H709" s="41">
        <v>5100</v>
      </c>
      <c r="I709" s="15" t="s">
        <v>4382</v>
      </c>
      <c r="J709" s="1" t="s">
        <v>434</v>
      </c>
      <c r="K709" s="1" t="s">
        <v>31</v>
      </c>
      <c r="L709" s="1">
        <v>85208</v>
      </c>
      <c r="M709" s="1" t="s">
        <v>32</v>
      </c>
      <c r="O709" s="1" t="s">
        <v>4383</v>
      </c>
      <c r="P709" s="1" t="s">
        <v>4384</v>
      </c>
      <c r="Q709" s="1"/>
      <c r="R709" s="31">
        <v>100769</v>
      </c>
      <c r="V709" s="4" t="s">
        <v>36</v>
      </c>
      <c r="W709" s="4" t="s">
        <v>37</v>
      </c>
      <c r="X709" s="1" t="s">
        <v>59</v>
      </c>
      <c r="Y709" s="167" t="s">
        <v>39</v>
      </c>
    </row>
    <row r="710" spans="1:38" s="4" customFormat="1" ht="21" customHeight="1">
      <c r="A710" s="164" t="s">
        <v>812</v>
      </c>
      <c r="B710" s="261" t="s">
        <v>4385</v>
      </c>
      <c r="C710" s="4" t="s">
        <v>4386</v>
      </c>
      <c r="D710" s="130"/>
      <c r="E710" s="2">
        <v>45419</v>
      </c>
      <c r="F710" s="2">
        <f>E710+14</f>
        <v>45433</v>
      </c>
      <c r="G710" s="2"/>
      <c r="H710" s="41">
        <v>10815</v>
      </c>
      <c r="I710" s="15" t="s">
        <v>4387</v>
      </c>
      <c r="J710" s="1" t="s">
        <v>873</v>
      </c>
      <c r="K710" s="1" t="s">
        <v>31</v>
      </c>
      <c r="L710" s="1">
        <v>85392</v>
      </c>
      <c r="M710" s="1" t="s">
        <v>32</v>
      </c>
      <c r="O710" s="1" t="s">
        <v>4388</v>
      </c>
      <c r="P710" s="1" t="s">
        <v>4389</v>
      </c>
      <c r="Q710" s="228" t="s">
        <v>4390</v>
      </c>
      <c r="R710" s="31">
        <v>102094</v>
      </c>
      <c r="V710" s="4" t="s">
        <v>443</v>
      </c>
      <c r="W710" s="4" t="s">
        <v>37</v>
      </c>
      <c r="X710" s="4" t="s">
        <v>616</v>
      </c>
      <c r="Y710" s="241" t="s">
        <v>617</v>
      </c>
      <c r="Z710" s="167" t="s">
        <v>364</v>
      </c>
    </row>
    <row r="711" spans="1:38" s="4" customFormat="1">
      <c r="A711" s="164" t="s">
        <v>812</v>
      </c>
      <c r="B711" s="29" t="s">
        <v>4391</v>
      </c>
      <c r="C711" s="4" t="s">
        <v>4392</v>
      </c>
      <c r="D711" s="130"/>
      <c r="E711" s="2">
        <v>45419</v>
      </c>
      <c r="F711" s="2">
        <f t="shared" ref="F711:F713" si="66">E711+14</f>
        <v>45433</v>
      </c>
      <c r="G711" s="2"/>
      <c r="H711" s="41"/>
      <c r="I711" s="15" t="s">
        <v>4393</v>
      </c>
      <c r="J711" s="1" t="s">
        <v>844</v>
      </c>
      <c r="K711" s="1" t="s">
        <v>31</v>
      </c>
      <c r="L711" s="1">
        <v>85338</v>
      </c>
      <c r="M711" s="1" t="s">
        <v>32</v>
      </c>
      <c r="O711" s="1" t="s">
        <v>4394</v>
      </c>
      <c r="P711" s="1" t="s">
        <v>4395</v>
      </c>
      <c r="Q711" s="87" t="s">
        <v>4396</v>
      </c>
      <c r="R711" s="178">
        <v>101441</v>
      </c>
      <c r="V711" s="4" t="s">
        <v>443</v>
      </c>
      <c r="W711" s="4" t="s">
        <v>37</v>
      </c>
      <c r="X711" s="4" t="s">
        <v>616</v>
      </c>
      <c r="Y711" s="235" t="s">
        <v>617</v>
      </c>
    </row>
    <row r="712" spans="1:38" s="4" customFormat="1" ht="15" customHeight="1">
      <c r="A712" s="164" t="s">
        <v>812</v>
      </c>
      <c r="B712" s="29" t="s">
        <v>4397</v>
      </c>
      <c r="C712" s="4" t="s">
        <v>4398</v>
      </c>
      <c r="D712" s="2"/>
      <c r="E712" s="2">
        <v>45418</v>
      </c>
      <c r="F712" s="2">
        <f t="shared" si="66"/>
        <v>45432</v>
      </c>
      <c r="G712" s="2"/>
      <c r="H712" s="41">
        <v>17336</v>
      </c>
      <c r="I712" s="15" t="s">
        <v>4399</v>
      </c>
      <c r="J712" s="1" t="s">
        <v>851</v>
      </c>
      <c r="K712" s="1" t="s">
        <v>31</v>
      </c>
      <c r="L712" s="1">
        <v>85382</v>
      </c>
      <c r="M712" s="1" t="s">
        <v>32</v>
      </c>
      <c r="O712" s="179" t="s">
        <v>4400</v>
      </c>
      <c r="P712" s="179" t="s">
        <v>4401</v>
      </c>
      <c r="Q712" s="184" t="s">
        <v>4402</v>
      </c>
      <c r="R712" s="178">
        <v>98758</v>
      </c>
      <c r="V712" s="4" t="s">
        <v>443</v>
      </c>
      <c r="W712" s="4" t="s">
        <v>37</v>
      </c>
      <c r="X712" s="4" t="s">
        <v>616</v>
      </c>
      <c r="Y712" s="241" t="s">
        <v>617</v>
      </c>
      <c r="Z712" s="167" t="s">
        <v>364</v>
      </c>
    </row>
    <row r="713" spans="1:38" s="4" customFormat="1">
      <c r="A713" s="164" t="s">
        <v>812</v>
      </c>
      <c r="B713" s="29" t="s">
        <v>1084</v>
      </c>
      <c r="C713" s="4" t="s">
        <v>4403</v>
      </c>
      <c r="D713" s="257"/>
      <c r="E713" s="2">
        <v>45420</v>
      </c>
      <c r="F713" s="2">
        <f t="shared" si="66"/>
        <v>45434</v>
      </c>
      <c r="G713" s="2"/>
      <c r="H713" s="41">
        <v>8400</v>
      </c>
      <c r="I713" s="15" t="s">
        <v>4404</v>
      </c>
      <c r="J713" s="1" t="s">
        <v>894</v>
      </c>
      <c r="K713" s="1" t="s">
        <v>31</v>
      </c>
      <c r="L713" s="1">
        <v>85353</v>
      </c>
      <c r="M713" s="1" t="s">
        <v>32</v>
      </c>
      <c r="O713" s="1" t="s">
        <v>4405</v>
      </c>
      <c r="P713" s="1" t="s">
        <v>4406</v>
      </c>
      <c r="Q713" s="87" t="s">
        <v>4407</v>
      </c>
      <c r="R713" s="31">
        <v>100141</v>
      </c>
      <c r="V713" s="4" t="s">
        <v>443</v>
      </c>
      <c r="W713" s="4" t="s">
        <v>37</v>
      </c>
      <c r="X713" s="4" t="s">
        <v>616</v>
      </c>
      <c r="Y713" s="235" t="s">
        <v>617</v>
      </c>
      <c r="Z713" s="167" t="s">
        <v>364</v>
      </c>
    </row>
    <row r="714" spans="1:38" s="4" customFormat="1" ht="19.5" customHeight="1">
      <c r="A714" s="164" t="s">
        <v>812</v>
      </c>
      <c r="B714" s="29" t="s">
        <v>4408</v>
      </c>
      <c r="C714" s="56" t="s">
        <v>4409</v>
      </c>
      <c r="D714" s="60"/>
      <c r="E714" s="2">
        <v>45421</v>
      </c>
      <c r="F714" s="60">
        <f>E714+14</f>
        <v>45435</v>
      </c>
      <c r="G714" s="60"/>
      <c r="H714" s="41">
        <v>13280</v>
      </c>
      <c r="I714" s="15" t="s">
        <v>4410</v>
      </c>
      <c r="J714" s="1" t="s">
        <v>837</v>
      </c>
      <c r="K714" s="1" t="s">
        <v>31</v>
      </c>
      <c r="L714" s="1">
        <v>85379</v>
      </c>
      <c r="M714" s="1" t="s">
        <v>32</v>
      </c>
      <c r="O714" s="1" t="s">
        <v>4411</v>
      </c>
      <c r="P714" s="1" t="s">
        <v>4412</v>
      </c>
      <c r="Q714" s="129" t="s">
        <v>4413</v>
      </c>
      <c r="R714" s="31">
        <v>89355</v>
      </c>
      <c r="V714" s="4" t="s">
        <v>443</v>
      </c>
      <c r="W714" s="4" t="s">
        <v>37</v>
      </c>
      <c r="X714" s="4" t="s">
        <v>616</v>
      </c>
      <c r="Y714" s="241" t="s">
        <v>617</v>
      </c>
      <c r="Z714" s="167" t="s">
        <v>364</v>
      </c>
    </row>
    <row r="715" spans="1:38" s="4" customFormat="1" ht="18" customHeight="1">
      <c r="A715" s="164" t="s">
        <v>812</v>
      </c>
      <c r="B715" s="15" t="s">
        <v>4223</v>
      </c>
      <c r="C715" s="29" t="s">
        <v>4414</v>
      </c>
      <c r="D715" s="2"/>
      <c r="E715" s="2">
        <v>45421</v>
      </c>
      <c r="F715" s="2">
        <f t="shared" ref="F715:F716" si="67">E715+14</f>
        <v>45435</v>
      </c>
      <c r="G715" s="2"/>
      <c r="H715" s="1">
        <v>12103</v>
      </c>
      <c r="I715" s="15" t="s">
        <v>2546</v>
      </c>
      <c r="J715" s="1" t="s">
        <v>851</v>
      </c>
      <c r="K715" s="1" t="s">
        <v>31</v>
      </c>
      <c r="L715" s="1">
        <v>85383</v>
      </c>
      <c r="M715" s="1" t="s">
        <v>32</v>
      </c>
      <c r="O715" s="1" t="s">
        <v>4225</v>
      </c>
      <c r="P715" s="1" t="s">
        <v>4226</v>
      </c>
      <c r="Q715" s="129" t="s">
        <v>4227</v>
      </c>
      <c r="R715" s="179" t="s">
        <v>4228</v>
      </c>
      <c r="V715" s="4" t="s">
        <v>443</v>
      </c>
      <c r="W715" s="4" t="s">
        <v>37</v>
      </c>
      <c r="X715" s="4" t="s">
        <v>616</v>
      </c>
      <c r="Y715" s="241" t="s">
        <v>617</v>
      </c>
      <c r="Z715" s="168"/>
    </row>
    <row r="716" spans="1:38" s="4" customFormat="1" ht="15.75" customHeight="1">
      <c r="A716" s="164" t="s">
        <v>812</v>
      </c>
      <c r="B716" s="29" t="s">
        <v>2947</v>
      </c>
      <c r="C716" s="4" t="s">
        <v>4415</v>
      </c>
      <c r="D716" s="2"/>
      <c r="E716" s="2">
        <v>45421</v>
      </c>
      <c r="F716" s="2">
        <f t="shared" si="67"/>
        <v>45435</v>
      </c>
      <c r="G716" s="2"/>
      <c r="H716" s="41" t="s">
        <v>184</v>
      </c>
      <c r="I716" s="15" t="s">
        <v>4416</v>
      </c>
      <c r="J716" s="1" t="s">
        <v>1111</v>
      </c>
      <c r="K716" s="1" t="s">
        <v>31</v>
      </c>
      <c r="L716" s="1"/>
      <c r="M716" s="1" t="s">
        <v>32</v>
      </c>
      <c r="O716" s="1" t="s">
        <v>4417</v>
      </c>
      <c r="P716" s="1" t="s">
        <v>4418</v>
      </c>
      <c r="Q716" s="129" t="s">
        <v>4419</v>
      </c>
      <c r="R716" s="178">
        <v>86174</v>
      </c>
      <c r="S716" s="1"/>
      <c r="T716" s="1"/>
      <c r="U716" s="1"/>
      <c r="V716" s="4" t="s">
        <v>443</v>
      </c>
      <c r="W716" s="4" t="s">
        <v>37</v>
      </c>
      <c r="X716" s="4" t="s">
        <v>616</v>
      </c>
      <c r="Y716" s="235" t="s">
        <v>617</v>
      </c>
      <c r="Z716" s="167" t="s">
        <v>364</v>
      </c>
    </row>
    <row r="717" spans="1:38" s="4" customFormat="1" ht="15" customHeight="1">
      <c r="A717" s="163" t="s">
        <v>25</v>
      </c>
      <c r="B717" s="29" t="s">
        <v>4375</v>
      </c>
      <c r="C717" s="4" t="s">
        <v>4420</v>
      </c>
      <c r="D717" s="130"/>
      <c r="E717" s="2">
        <v>45413</v>
      </c>
      <c r="F717" s="2">
        <f>E717+14</f>
        <v>45427</v>
      </c>
      <c r="G717" s="2"/>
      <c r="H717" s="41">
        <v>1715</v>
      </c>
      <c r="I717" s="15" t="s">
        <v>625</v>
      </c>
      <c r="J717" s="1" t="s">
        <v>49</v>
      </c>
      <c r="K717" s="1" t="s">
        <v>31</v>
      </c>
      <c r="L717" s="1">
        <v>85233</v>
      </c>
      <c r="M717" s="1" t="s">
        <v>32</v>
      </c>
      <c r="O717" s="1" t="s">
        <v>4421</v>
      </c>
      <c r="P717" s="1" t="s">
        <v>2368</v>
      </c>
      <c r="Q717" s="87" t="s">
        <v>4422</v>
      </c>
      <c r="R717" s="31"/>
      <c r="V717" s="4" t="s">
        <v>36</v>
      </c>
      <c r="W717" s="4" t="s">
        <v>37</v>
      </c>
      <c r="X717" s="1" t="s">
        <v>59</v>
      </c>
      <c r="Y717" s="167" t="s">
        <v>39</v>
      </c>
    </row>
    <row r="718" spans="1:38" s="4" customFormat="1" ht="16.5" customHeight="1">
      <c r="A718" s="164" t="s">
        <v>812</v>
      </c>
      <c r="B718" s="29" t="s">
        <v>4423</v>
      </c>
      <c r="C718" s="4" t="s">
        <v>4424</v>
      </c>
      <c r="D718" s="2"/>
      <c r="E718" s="2">
        <v>45421</v>
      </c>
      <c r="F718" s="2">
        <f>E718+14</f>
        <v>45435</v>
      </c>
      <c r="G718" s="2"/>
      <c r="H718" s="41">
        <v>16945</v>
      </c>
      <c r="I718" s="15" t="s">
        <v>4425</v>
      </c>
      <c r="J718" s="1" t="s">
        <v>837</v>
      </c>
      <c r="K718" s="1" t="s">
        <v>31</v>
      </c>
      <c r="L718" s="1">
        <v>85374</v>
      </c>
      <c r="M718" s="1" t="s">
        <v>32</v>
      </c>
      <c r="O718" s="1" t="s">
        <v>4426</v>
      </c>
      <c r="P718" s="1" t="s">
        <v>4427</v>
      </c>
      <c r="Q718" s="129" t="s">
        <v>4428</v>
      </c>
      <c r="R718" s="31">
        <v>91424</v>
      </c>
      <c r="V718" s="4" t="s">
        <v>443</v>
      </c>
      <c r="W718" s="4" t="s">
        <v>37</v>
      </c>
      <c r="X718" s="4" t="s">
        <v>616</v>
      </c>
      <c r="Y718" s="235" t="s">
        <v>617</v>
      </c>
      <c r="Z718" s="167" t="s">
        <v>364</v>
      </c>
    </row>
    <row r="719" spans="1:38" s="4" customFormat="1" ht="15.75" customHeight="1">
      <c r="A719" s="163" t="s">
        <v>25</v>
      </c>
      <c r="B719" s="15" t="s">
        <v>2947</v>
      </c>
      <c r="C719" s="65" t="s">
        <v>4429</v>
      </c>
      <c r="D719" s="2"/>
      <c r="E719" s="2">
        <v>45419</v>
      </c>
      <c r="F719" s="2">
        <f t="shared" ref="F719" si="68">E719+14</f>
        <v>45433</v>
      </c>
      <c r="G719" s="2"/>
      <c r="H719" s="1">
        <v>526</v>
      </c>
      <c r="I719" s="15" t="s">
        <v>4430</v>
      </c>
      <c r="J719" s="1" t="s">
        <v>63</v>
      </c>
      <c r="K719" s="1" t="s">
        <v>31</v>
      </c>
      <c r="L719" s="1">
        <v>85207</v>
      </c>
      <c r="M719" s="1" t="s">
        <v>32</v>
      </c>
      <c r="O719" s="1" t="s">
        <v>4431</v>
      </c>
      <c r="P719" s="1" t="s">
        <v>4432</v>
      </c>
      <c r="Q719" s="98" t="s">
        <v>4433</v>
      </c>
      <c r="R719" s="1">
        <v>86072</v>
      </c>
      <c r="S719" s="1"/>
      <c r="T719" s="1"/>
      <c r="U719" s="1"/>
      <c r="V719" s="4" t="s">
        <v>36</v>
      </c>
      <c r="W719" s="4" t="s">
        <v>37</v>
      </c>
      <c r="X719" s="1" t="s">
        <v>59</v>
      </c>
      <c r="Y719" s="167" t="s">
        <v>39</v>
      </c>
      <c r="Z719" s="168"/>
    </row>
    <row r="720" spans="1:38" s="4" customFormat="1" ht="14.25" customHeight="1">
      <c r="A720" s="163" t="s">
        <v>25</v>
      </c>
      <c r="B720" s="29" t="s">
        <v>2444</v>
      </c>
      <c r="C720" s="4" t="s">
        <v>4434</v>
      </c>
      <c r="D720" s="130"/>
      <c r="E720" s="2">
        <v>45433</v>
      </c>
      <c r="F720" s="2">
        <f>E720+14</f>
        <v>45447</v>
      </c>
      <c r="G720" s="2"/>
      <c r="H720" s="41">
        <v>4654</v>
      </c>
      <c r="I720" s="15" t="s">
        <v>4435</v>
      </c>
      <c r="J720" s="1" t="s">
        <v>63</v>
      </c>
      <c r="K720" s="1" t="s">
        <v>31</v>
      </c>
      <c r="L720" s="1">
        <v>85206</v>
      </c>
      <c r="M720" s="1" t="s">
        <v>32</v>
      </c>
      <c r="O720" s="1" t="s">
        <v>4436</v>
      </c>
      <c r="P720" s="1" t="s">
        <v>4437</v>
      </c>
      <c r="Q720" s="87" t="s">
        <v>4438</v>
      </c>
      <c r="R720" s="31">
        <v>100219</v>
      </c>
      <c r="V720" s="4" t="s">
        <v>36</v>
      </c>
      <c r="W720" s="4" t="s">
        <v>37</v>
      </c>
      <c r="X720" s="1" t="s">
        <v>59</v>
      </c>
      <c r="Y720" s="167" t="s">
        <v>39</v>
      </c>
    </row>
    <row r="721" spans="1:26" s="4" customFormat="1" ht="14.25" customHeight="1">
      <c r="A721" s="164" t="s">
        <v>812</v>
      </c>
      <c r="B721" s="29" t="s">
        <v>4439</v>
      </c>
      <c r="C721" s="4" t="s">
        <v>4440</v>
      </c>
      <c r="D721" s="2"/>
      <c r="E721" s="2">
        <v>45419</v>
      </c>
      <c r="F721" s="2">
        <f>E721+14</f>
        <v>45433</v>
      </c>
      <c r="G721" s="26"/>
      <c r="H721" s="2">
        <v>0</v>
      </c>
      <c r="I721" s="65" t="s">
        <v>4441</v>
      </c>
      <c r="J721" s="1" t="s">
        <v>844</v>
      </c>
      <c r="K721" s="1" t="s">
        <v>31</v>
      </c>
      <c r="L721" s="1">
        <v>85338</v>
      </c>
      <c r="M721" s="1" t="s">
        <v>32</v>
      </c>
      <c r="O721" s="264"/>
      <c r="P721" s="173"/>
      <c r="Q721" s="263"/>
      <c r="R721" s="173"/>
      <c r="V721" s="4" t="s">
        <v>443</v>
      </c>
      <c r="W721" s="4" t="s">
        <v>37</v>
      </c>
      <c r="X721" s="4" t="s">
        <v>616</v>
      </c>
      <c r="Y721" s="235" t="s">
        <v>617</v>
      </c>
      <c r="Z721" s="167" t="s">
        <v>364</v>
      </c>
    </row>
    <row r="722" spans="1:26" s="4" customFormat="1" ht="15" customHeight="1">
      <c r="A722" s="164" t="s">
        <v>812</v>
      </c>
      <c r="B722" s="15" t="s">
        <v>226</v>
      </c>
      <c r="C722" s="4" t="s">
        <v>4442</v>
      </c>
      <c r="D722" s="2"/>
      <c r="E722" s="2">
        <v>45412</v>
      </c>
      <c r="F722" s="2">
        <f>E722+28</f>
        <v>45440</v>
      </c>
      <c r="G722" s="2"/>
      <c r="H722" s="41">
        <v>9303</v>
      </c>
      <c r="I722" s="15" t="s">
        <v>4443</v>
      </c>
      <c r="J722" s="1" t="s">
        <v>851</v>
      </c>
      <c r="K722" s="1" t="s">
        <v>31</v>
      </c>
      <c r="L722" s="1">
        <v>85345</v>
      </c>
      <c r="M722" s="1" t="s">
        <v>32</v>
      </c>
      <c r="O722" s="253" t="s">
        <v>4444</v>
      </c>
      <c r="P722" s="1" t="s">
        <v>3400</v>
      </c>
      <c r="Q722" s="99" t="s">
        <v>4445</v>
      </c>
      <c r="R722" s="178">
        <v>97766</v>
      </c>
      <c r="V722" s="4" t="s">
        <v>443</v>
      </c>
      <c r="W722" s="4" t="s">
        <v>37</v>
      </c>
      <c r="X722" s="4" t="s">
        <v>616</v>
      </c>
      <c r="Y722" s="235" t="s">
        <v>617</v>
      </c>
      <c r="Z722" s="167" t="s">
        <v>364</v>
      </c>
    </row>
    <row r="723" spans="1:26" s="4" customFormat="1" ht="15" customHeight="1">
      <c r="A723" s="163" t="s">
        <v>25</v>
      </c>
      <c r="B723" s="29" t="s">
        <v>4446</v>
      </c>
      <c r="C723" s="4" t="s">
        <v>4447</v>
      </c>
      <c r="D723" s="2">
        <v>44816</v>
      </c>
      <c r="E723" s="2">
        <v>45425</v>
      </c>
      <c r="F723" s="2">
        <f>E723+14</f>
        <v>45439</v>
      </c>
      <c r="G723" s="2"/>
      <c r="H723" s="41">
        <v>73</v>
      </c>
      <c r="I723" s="15" t="s">
        <v>4448</v>
      </c>
      <c r="J723" s="1" t="s">
        <v>30</v>
      </c>
      <c r="K723" s="1" t="s">
        <v>31</v>
      </c>
      <c r="L723" s="1">
        <v>85193</v>
      </c>
      <c r="M723" s="1" t="s">
        <v>32</v>
      </c>
      <c r="O723" s="1"/>
      <c r="P723" s="1" t="s">
        <v>4449</v>
      </c>
      <c r="Q723" s="98" t="s">
        <v>4450</v>
      </c>
      <c r="R723" s="31">
        <v>97178</v>
      </c>
      <c r="V723" s="4" t="s">
        <v>36</v>
      </c>
      <c r="W723" s="4" t="s">
        <v>37</v>
      </c>
      <c r="X723" s="1" t="s">
        <v>59</v>
      </c>
      <c r="Y723" s="167" t="s">
        <v>39</v>
      </c>
      <c r="Z723" s="168"/>
    </row>
    <row r="724" spans="1:26" s="4" customFormat="1" ht="18.75" customHeight="1">
      <c r="A724" s="163" t="s">
        <v>25</v>
      </c>
      <c r="B724" s="15" t="s">
        <v>768</v>
      </c>
      <c r="C724" s="4" t="s">
        <v>4451</v>
      </c>
      <c r="D724" s="2"/>
      <c r="E724" s="2">
        <v>45427</v>
      </c>
      <c r="F724" s="2">
        <f>E724+14</f>
        <v>45441</v>
      </c>
      <c r="G724" s="2"/>
      <c r="H724" s="41">
        <v>7819</v>
      </c>
      <c r="I724" s="15" t="s">
        <v>523</v>
      </c>
      <c r="J724" s="1" t="s">
        <v>398</v>
      </c>
      <c r="K724" s="1" t="s">
        <v>31</v>
      </c>
      <c r="L724" s="1">
        <v>85260</v>
      </c>
      <c r="M724" s="1" t="s">
        <v>32</v>
      </c>
      <c r="O724" s="1" t="s">
        <v>3113</v>
      </c>
      <c r="P724" s="1" t="s">
        <v>3114</v>
      </c>
      <c r="Q724" s="87" t="s">
        <v>4452</v>
      </c>
      <c r="R724" s="31">
        <v>95940</v>
      </c>
      <c r="V724" s="4" t="s">
        <v>36</v>
      </c>
      <c r="W724" s="4" t="s">
        <v>37</v>
      </c>
      <c r="X724" s="1" t="s">
        <v>59</v>
      </c>
      <c r="Y724" s="167" t="s">
        <v>39</v>
      </c>
      <c r="Z724" s="168"/>
    </row>
    <row r="725" spans="1:26" s="4" customFormat="1" ht="15" customHeight="1">
      <c r="A725" s="163" t="s">
        <v>25</v>
      </c>
      <c r="B725" s="29" t="s">
        <v>236</v>
      </c>
      <c r="C725" s="4" t="s">
        <v>4453</v>
      </c>
      <c r="D725" s="130"/>
      <c r="E725" s="2">
        <v>45427</v>
      </c>
      <c r="F725" s="2">
        <f t="shared" ref="F725:F726" si="69">E725+14</f>
        <v>45441</v>
      </c>
      <c r="G725" s="2"/>
      <c r="H725" s="41">
        <v>10610</v>
      </c>
      <c r="I725" s="15" t="s">
        <v>4454</v>
      </c>
      <c r="J725" s="1" t="s">
        <v>398</v>
      </c>
      <c r="K725" s="1" t="s">
        <v>31</v>
      </c>
      <c r="L725" s="1">
        <v>85262</v>
      </c>
      <c r="M725" s="1" t="s">
        <v>32</v>
      </c>
      <c r="O725" s="1" t="s">
        <v>4455</v>
      </c>
      <c r="P725" s="1" t="s">
        <v>4456</v>
      </c>
      <c r="Q725" s="1" t="s">
        <v>4457</v>
      </c>
      <c r="R725" s="31">
        <v>98497</v>
      </c>
      <c r="V725" s="4" t="s">
        <v>36</v>
      </c>
      <c r="W725" s="4" t="s">
        <v>37</v>
      </c>
      <c r="X725" s="1" t="s">
        <v>59</v>
      </c>
      <c r="Y725" s="167" t="s">
        <v>39</v>
      </c>
    </row>
    <row r="726" spans="1:26" s="4" customFormat="1" ht="15" customHeight="1">
      <c r="A726" s="163" t="s">
        <v>25</v>
      </c>
      <c r="B726" s="29" t="s">
        <v>594</v>
      </c>
      <c r="C726" s="4" t="s">
        <v>4458</v>
      </c>
      <c r="D726" s="130"/>
      <c r="E726" s="2">
        <v>45433</v>
      </c>
      <c r="F726" s="2">
        <f t="shared" si="69"/>
        <v>45447</v>
      </c>
      <c r="G726" s="2"/>
      <c r="H726" s="41">
        <v>1000</v>
      </c>
      <c r="I726" s="15" t="s">
        <v>4459</v>
      </c>
      <c r="J726" s="1" t="s">
        <v>434</v>
      </c>
      <c r="K726" s="1" t="s">
        <v>31</v>
      </c>
      <c r="L726" s="1">
        <v>85005</v>
      </c>
      <c r="M726" s="1" t="s">
        <v>32</v>
      </c>
      <c r="O726" s="1" t="s">
        <v>4460</v>
      </c>
      <c r="P726" s="1" t="s">
        <v>4461</v>
      </c>
      <c r="Q726" s="87" t="s">
        <v>4462</v>
      </c>
      <c r="R726" s="31">
        <v>93125</v>
      </c>
      <c r="V726" s="4" t="s">
        <v>36</v>
      </c>
      <c r="W726" s="4" t="s">
        <v>37</v>
      </c>
      <c r="X726" s="1" t="s">
        <v>59</v>
      </c>
      <c r="Y726" s="167" t="s">
        <v>39</v>
      </c>
      <c r="Z726" s="168"/>
    </row>
    <row r="727" spans="1:26" s="4" customFormat="1" ht="15.75" customHeight="1">
      <c r="A727" s="258" t="s">
        <v>812</v>
      </c>
      <c r="B727" s="29" t="s">
        <v>4463</v>
      </c>
      <c r="C727" s="4" t="s">
        <v>4464</v>
      </c>
      <c r="D727" s="130"/>
      <c r="E727" s="2">
        <v>45436</v>
      </c>
      <c r="F727" s="2">
        <f>E727+14</f>
        <v>45450</v>
      </c>
      <c r="G727" s="2"/>
      <c r="H727" s="41"/>
      <c r="I727" s="15" t="s">
        <v>4465</v>
      </c>
      <c r="J727" s="1" t="s">
        <v>916</v>
      </c>
      <c r="K727" s="1" t="s">
        <v>31</v>
      </c>
      <c r="L727" s="1">
        <v>85641</v>
      </c>
      <c r="M727" s="1" t="s">
        <v>32</v>
      </c>
      <c r="O727" s="1" t="s">
        <v>4466</v>
      </c>
      <c r="P727" s="1" t="s">
        <v>4467</v>
      </c>
      <c r="Q727" s="87" t="s">
        <v>4468</v>
      </c>
      <c r="R727" s="31">
        <v>95296</v>
      </c>
      <c r="V727" s="4" t="s">
        <v>443</v>
      </c>
      <c r="W727" s="4" t="s">
        <v>37</v>
      </c>
      <c r="X727" s="4" t="s">
        <v>616</v>
      </c>
      <c r="Y727" s="235" t="s">
        <v>617</v>
      </c>
    </row>
    <row r="728" spans="1:26" s="4" customFormat="1" ht="18.75" customHeight="1">
      <c r="A728" s="164" t="s">
        <v>812</v>
      </c>
      <c r="B728" s="70" t="s">
        <v>2096</v>
      </c>
      <c r="C728" s="56" t="s">
        <v>4469</v>
      </c>
      <c r="D728" s="60"/>
      <c r="E728" s="2">
        <v>45434</v>
      </c>
      <c r="F728" s="60">
        <f t="shared" ref="F728:F733" si="70">E728+14</f>
        <v>45448</v>
      </c>
      <c r="G728" s="60"/>
      <c r="H728" s="76">
        <v>6755</v>
      </c>
      <c r="I728" s="80" t="s">
        <v>1135</v>
      </c>
      <c r="J728" s="55" t="s">
        <v>434</v>
      </c>
      <c r="K728" s="55" t="s">
        <v>31</v>
      </c>
      <c r="L728" s="55" t="s">
        <v>4470</v>
      </c>
      <c r="M728" s="55" t="s">
        <v>32</v>
      </c>
      <c r="N728" s="56"/>
      <c r="O728" s="55" t="s">
        <v>4471</v>
      </c>
      <c r="P728" s="55" t="s">
        <v>880</v>
      </c>
      <c r="Q728" s="240" t="s">
        <v>4472</v>
      </c>
      <c r="R728" s="57">
        <v>96152</v>
      </c>
      <c r="V728" s="4" t="s">
        <v>443</v>
      </c>
      <c r="W728" s="4" t="s">
        <v>37</v>
      </c>
      <c r="X728" s="4" t="s">
        <v>616</v>
      </c>
      <c r="Y728" s="241" t="s">
        <v>617</v>
      </c>
      <c r="Z728" s="167" t="s">
        <v>364</v>
      </c>
    </row>
    <row r="729" spans="1:26" s="4" customFormat="1" ht="18" customHeight="1">
      <c r="A729" s="164" t="s">
        <v>812</v>
      </c>
      <c r="B729" s="15" t="s">
        <v>4473</v>
      </c>
      <c r="C729" s="29" t="s">
        <v>4474</v>
      </c>
      <c r="E729" s="2">
        <v>45441</v>
      </c>
      <c r="F729" s="2">
        <f t="shared" si="70"/>
        <v>45455</v>
      </c>
      <c r="G729" s="15" t="s">
        <v>364</v>
      </c>
      <c r="H729" s="1">
        <v>590</v>
      </c>
      <c r="I729" s="4" t="s">
        <v>4475</v>
      </c>
      <c r="J729" s="1" t="s">
        <v>844</v>
      </c>
      <c r="K729" s="1" t="s">
        <v>31</v>
      </c>
      <c r="L729" s="1">
        <v>85338</v>
      </c>
      <c r="M729" s="1" t="s">
        <v>32</v>
      </c>
      <c r="O729" s="41" t="s">
        <v>4476</v>
      </c>
      <c r="P729" s="1" t="s">
        <v>4477</v>
      </c>
      <c r="Q729" s="87" t="s">
        <v>4478</v>
      </c>
      <c r="R729" s="178" t="s">
        <v>314</v>
      </c>
      <c r="V729" s="4" t="s">
        <v>443</v>
      </c>
      <c r="W729" s="4" t="s">
        <v>37</v>
      </c>
      <c r="X729" s="4" t="s">
        <v>616</v>
      </c>
      <c r="Y729" s="235" t="s">
        <v>617</v>
      </c>
    </row>
    <row r="730" spans="1:26" s="4" customFormat="1">
      <c r="A730" s="164" t="s">
        <v>812</v>
      </c>
      <c r="B730" s="29" t="s">
        <v>4479</v>
      </c>
      <c r="C730" s="4" t="s">
        <v>4480</v>
      </c>
      <c r="D730" s="130"/>
      <c r="E730" s="2">
        <v>45439</v>
      </c>
      <c r="F730" s="2">
        <f t="shared" si="70"/>
        <v>45453</v>
      </c>
      <c r="G730" s="2"/>
      <c r="H730" s="41" t="s">
        <v>364</v>
      </c>
      <c r="I730" s="15" t="s">
        <v>4481</v>
      </c>
      <c r="J730" s="1" t="s">
        <v>844</v>
      </c>
      <c r="K730" s="1" t="s">
        <v>31</v>
      </c>
      <c r="L730" s="1"/>
      <c r="M730" s="1" t="s">
        <v>32</v>
      </c>
      <c r="O730" s="173"/>
      <c r="P730" s="173"/>
      <c r="Q730" s="267"/>
      <c r="R730" s="174"/>
      <c r="V730" s="4" t="s">
        <v>443</v>
      </c>
      <c r="W730" s="4" t="s">
        <v>37</v>
      </c>
      <c r="X730" s="4" t="s">
        <v>616</v>
      </c>
      <c r="Y730" s="241" t="s">
        <v>617</v>
      </c>
      <c r="Z730" s="167" t="s">
        <v>364</v>
      </c>
    </row>
    <row r="731" spans="1:26" s="4" customFormat="1" ht="19.5" customHeight="1">
      <c r="A731" s="164" t="s">
        <v>812</v>
      </c>
      <c r="B731" s="29" t="s">
        <v>4482</v>
      </c>
      <c r="C731" s="4" t="s">
        <v>4483</v>
      </c>
      <c r="D731" s="130"/>
      <c r="E731" s="2">
        <v>45439</v>
      </c>
      <c r="F731" s="2">
        <f t="shared" si="70"/>
        <v>45453</v>
      </c>
      <c r="G731" s="2"/>
      <c r="H731" s="41" t="s">
        <v>364</v>
      </c>
      <c r="I731" s="15" t="s">
        <v>4484</v>
      </c>
      <c r="J731" s="1" t="s">
        <v>831</v>
      </c>
      <c r="K731" s="1" t="s">
        <v>31</v>
      </c>
      <c r="L731" s="1">
        <v>85326</v>
      </c>
      <c r="M731" s="1" t="s">
        <v>32</v>
      </c>
      <c r="O731" s="1" t="s">
        <v>4485</v>
      </c>
      <c r="P731" s="1" t="s">
        <v>4486</v>
      </c>
      <c r="Q731" s="228" t="s">
        <v>4487</v>
      </c>
      <c r="R731" s="178">
        <v>99431</v>
      </c>
      <c r="V731" s="4" t="s">
        <v>443</v>
      </c>
      <c r="W731" s="4" t="s">
        <v>37</v>
      </c>
      <c r="X731" s="4" t="s">
        <v>616</v>
      </c>
      <c r="Y731" s="241" t="s">
        <v>617</v>
      </c>
      <c r="Z731" s="167" t="s">
        <v>364</v>
      </c>
    </row>
    <row r="732" spans="1:26" s="4" customFormat="1" ht="15" customHeight="1">
      <c r="A732" s="163" t="s">
        <v>25</v>
      </c>
      <c r="B732" s="29" t="s">
        <v>594</v>
      </c>
      <c r="C732" s="4" t="s">
        <v>4458</v>
      </c>
      <c r="D732" s="130"/>
      <c r="E732" s="2">
        <v>45447</v>
      </c>
      <c r="F732" s="2">
        <f t="shared" si="70"/>
        <v>45461</v>
      </c>
      <c r="G732" s="2"/>
      <c r="H732" s="41">
        <v>1000</v>
      </c>
      <c r="I732" s="15" t="s">
        <v>4459</v>
      </c>
      <c r="J732" s="1" t="s">
        <v>434</v>
      </c>
      <c r="K732" s="1" t="s">
        <v>31</v>
      </c>
      <c r="L732" s="1">
        <v>85005</v>
      </c>
      <c r="M732" s="1" t="s">
        <v>32</v>
      </c>
      <c r="O732" s="1" t="s">
        <v>4460</v>
      </c>
      <c r="P732" s="1" t="s">
        <v>4461</v>
      </c>
      <c r="Q732" s="87" t="s">
        <v>4462</v>
      </c>
      <c r="R732" s="31">
        <v>93125</v>
      </c>
      <c r="V732" s="4" t="s">
        <v>36</v>
      </c>
      <c r="W732" s="4" t="s">
        <v>37</v>
      </c>
      <c r="X732" s="1" t="s">
        <v>59</v>
      </c>
      <c r="Y732" s="167" t="s">
        <v>39</v>
      </c>
      <c r="Z732" s="168"/>
    </row>
    <row r="733" spans="1:26" s="4" customFormat="1">
      <c r="A733" s="164" t="s">
        <v>812</v>
      </c>
      <c r="B733" s="15" t="s">
        <v>323</v>
      </c>
      <c r="C733" s="29" t="s">
        <v>4488</v>
      </c>
      <c r="D733" s="2"/>
      <c r="E733" s="2">
        <v>45442</v>
      </c>
      <c r="F733" s="2">
        <f t="shared" si="70"/>
        <v>45456</v>
      </c>
      <c r="G733" s="2"/>
      <c r="H733" s="1">
        <v>310</v>
      </c>
      <c r="I733" s="15" t="s">
        <v>4489</v>
      </c>
      <c r="J733" s="1" t="s">
        <v>434</v>
      </c>
      <c r="K733" s="1" t="s">
        <v>31</v>
      </c>
      <c r="L733" s="1">
        <v>85003</v>
      </c>
      <c r="M733" s="1" t="s">
        <v>32</v>
      </c>
      <c r="O733" s="179" t="s">
        <v>4490</v>
      </c>
      <c r="P733" s="179" t="s">
        <v>4491</v>
      </c>
      <c r="Q733" s="184" t="s">
        <v>4492</v>
      </c>
      <c r="R733" s="1">
        <v>94752</v>
      </c>
      <c r="V733" s="4" t="s">
        <v>443</v>
      </c>
      <c r="W733" s="4" t="s">
        <v>37</v>
      </c>
      <c r="X733" s="4" t="s">
        <v>616</v>
      </c>
      <c r="Y733" s="241" t="s">
        <v>617</v>
      </c>
      <c r="Z733" s="168"/>
    </row>
    <row r="734" spans="1:26" s="4" customFormat="1" ht="17.25" customHeight="1">
      <c r="A734" s="164" t="s">
        <v>812</v>
      </c>
      <c r="B734" s="29" t="s">
        <v>1213</v>
      </c>
      <c r="C734" s="4" t="s">
        <v>4493</v>
      </c>
      <c r="D734" s="130"/>
      <c r="E734" s="2">
        <v>45453</v>
      </c>
      <c r="F734" s="2">
        <f>E734+14</f>
        <v>45467</v>
      </c>
      <c r="G734" s="2"/>
      <c r="H734" s="41" t="s">
        <v>364</v>
      </c>
      <c r="I734" s="15" t="s">
        <v>4157</v>
      </c>
      <c r="J734" s="1" t="s">
        <v>831</v>
      </c>
      <c r="K734" s="1" t="s">
        <v>31</v>
      </c>
      <c r="L734" s="1">
        <v>85326</v>
      </c>
      <c r="M734" s="1" t="s">
        <v>32</v>
      </c>
      <c r="O734" s="1" t="s">
        <v>4158</v>
      </c>
      <c r="P734" s="1" t="s">
        <v>4494</v>
      </c>
      <c r="Q734" s="228" t="s">
        <v>4495</v>
      </c>
      <c r="R734" s="31">
        <v>95873</v>
      </c>
      <c r="V734" s="4" t="s">
        <v>443</v>
      </c>
      <c r="W734" s="4" t="s">
        <v>37</v>
      </c>
      <c r="X734" s="4" t="s">
        <v>616</v>
      </c>
      <c r="Y734" s="241" t="s">
        <v>617</v>
      </c>
      <c r="Z734" s="167" t="s">
        <v>364</v>
      </c>
    </row>
    <row r="735" spans="1:26" s="4" customFormat="1" ht="18" customHeight="1">
      <c r="A735" s="164" t="s">
        <v>812</v>
      </c>
      <c r="B735" s="29" t="s">
        <v>478</v>
      </c>
      <c r="C735" s="4" t="s">
        <v>4496</v>
      </c>
      <c r="D735" s="130"/>
      <c r="E735" s="2">
        <v>45456</v>
      </c>
      <c r="F735" s="2">
        <f>E735+14</f>
        <v>45470</v>
      </c>
      <c r="G735" s="2" t="s">
        <v>364</v>
      </c>
      <c r="H735" s="41">
        <v>1431</v>
      </c>
      <c r="I735" s="15" t="s">
        <v>4497</v>
      </c>
      <c r="J735" s="1" t="s">
        <v>434</v>
      </c>
      <c r="K735" s="1" t="s">
        <v>31</v>
      </c>
      <c r="L735" s="1">
        <v>85014</v>
      </c>
      <c r="M735" s="1" t="s">
        <v>32</v>
      </c>
      <c r="O735" s="1" t="s">
        <v>4498</v>
      </c>
      <c r="P735" s="1" t="s">
        <v>4499</v>
      </c>
      <c r="Q735" s="87" t="s">
        <v>4500</v>
      </c>
      <c r="R735" s="31">
        <v>94510</v>
      </c>
      <c r="V735" s="4" t="s">
        <v>36</v>
      </c>
      <c r="W735" s="4" t="s">
        <v>37</v>
      </c>
      <c r="X735" s="1" t="s">
        <v>59</v>
      </c>
      <c r="Y735" s="235" t="s">
        <v>617</v>
      </c>
      <c r="Z735" s="167" t="s">
        <v>364</v>
      </c>
    </row>
    <row r="736" spans="1:26" s="4" customFormat="1" ht="15" customHeight="1">
      <c r="A736" s="163" t="s">
        <v>25</v>
      </c>
      <c r="B736" s="29" t="s">
        <v>4375</v>
      </c>
      <c r="C736" s="4" t="s">
        <v>4501</v>
      </c>
      <c r="D736" s="130"/>
      <c r="E736" s="2">
        <v>45440</v>
      </c>
      <c r="F736" s="2">
        <f t="shared" ref="F736:F738" si="71">E736+14</f>
        <v>45454</v>
      </c>
      <c r="G736" s="2"/>
      <c r="H736" s="41">
        <v>7733</v>
      </c>
      <c r="I736" s="15" t="s">
        <v>4377</v>
      </c>
      <c r="J736" s="1" t="s">
        <v>63</v>
      </c>
      <c r="K736" s="1" t="s">
        <v>31</v>
      </c>
      <c r="L736" s="1">
        <v>85212</v>
      </c>
      <c r="M736" s="1" t="s">
        <v>32</v>
      </c>
      <c r="O736" s="1" t="s">
        <v>4378</v>
      </c>
      <c r="P736" s="1" t="s">
        <v>4379</v>
      </c>
      <c r="Q736" s="87" t="s">
        <v>4380</v>
      </c>
      <c r="R736" s="174"/>
      <c r="V736" s="4" t="s">
        <v>36</v>
      </c>
      <c r="W736" s="4" t="s">
        <v>37</v>
      </c>
      <c r="X736" s="1" t="s">
        <v>59</v>
      </c>
      <c r="Y736" s="167" t="s">
        <v>39</v>
      </c>
    </row>
    <row r="737" spans="1:26" s="4" customFormat="1" ht="16.5" customHeight="1">
      <c r="A737" s="164" t="s">
        <v>812</v>
      </c>
      <c r="B737" s="29" t="s">
        <v>236</v>
      </c>
      <c r="C737" s="4" t="s">
        <v>4502</v>
      </c>
      <c r="D737" s="2"/>
      <c r="E737" s="2">
        <v>45447</v>
      </c>
      <c r="F737" s="2">
        <f t="shared" si="71"/>
        <v>45461</v>
      </c>
      <c r="G737" s="26"/>
      <c r="H737" s="1">
        <v>9000</v>
      </c>
      <c r="I737" s="65" t="s">
        <v>1135</v>
      </c>
      <c r="J737" s="1" t="s">
        <v>851</v>
      </c>
      <c r="K737" s="1" t="s">
        <v>31</v>
      </c>
      <c r="L737" s="1">
        <v>85037</v>
      </c>
      <c r="M737" s="1" t="s">
        <v>32</v>
      </c>
      <c r="O737" s="1" t="s">
        <v>249</v>
      </c>
      <c r="P737" s="73" t="s">
        <v>250</v>
      </c>
      <c r="Q737" s="129" t="s">
        <v>4503</v>
      </c>
      <c r="R737" s="31">
        <v>99390</v>
      </c>
      <c r="S737" s="187"/>
      <c r="T737" s="187"/>
      <c r="U737" s="187"/>
      <c r="V737" s="4" t="s">
        <v>443</v>
      </c>
      <c r="W737" s="4" t="s">
        <v>37</v>
      </c>
      <c r="X737" s="4" t="s">
        <v>616</v>
      </c>
      <c r="Y737" s="235" t="s">
        <v>617</v>
      </c>
      <c r="Z737" s="167" t="s">
        <v>364</v>
      </c>
    </row>
    <row r="738" spans="1:26" s="4" customFormat="1">
      <c r="A738" s="164" t="s">
        <v>812</v>
      </c>
      <c r="B738" s="29" t="s">
        <v>4504</v>
      </c>
      <c r="C738" s="4" t="s">
        <v>4505</v>
      </c>
      <c r="D738" s="2">
        <v>45146</v>
      </c>
      <c r="E738" s="2">
        <v>45449</v>
      </c>
      <c r="F738" s="2">
        <f t="shared" si="71"/>
        <v>45463</v>
      </c>
      <c r="G738" s="2"/>
      <c r="H738" s="41">
        <v>9755</v>
      </c>
      <c r="I738" s="15" t="s">
        <v>4506</v>
      </c>
      <c r="J738" s="1" t="s">
        <v>934</v>
      </c>
      <c r="K738" s="1" t="s">
        <v>31</v>
      </c>
      <c r="L738" s="1">
        <v>85335</v>
      </c>
      <c r="M738" s="1" t="s">
        <v>32</v>
      </c>
      <c r="O738" s="253" t="s">
        <v>4507</v>
      </c>
      <c r="P738" s="1" t="s">
        <v>4508</v>
      </c>
      <c r="Q738" s="87" t="s">
        <v>4509</v>
      </c>
      <c r="R738" s="178">
        <v>99628</v>
      </c>
      <c r="V738" s="4" t="s">
        <v>443</v>
      </c>
      <c r="W738" s="4" t="s">
        <v>37</v>
      </c>
      <c r="X738" s="4" t="s">
        <v>616</v>
      </c>
      <c r="Y738" s="235" t="s">
        <v>617</v>
      </c>
      <c r="Z738" s="167" t="s">
        <v>364</v>
      </c>
    </row>
    <row r="739" spans="1:26" s="4" customFormat="1" ht="16.5" customHeight="1">
      <c r="A739" s="163" t="s">
        <v>25</v>
      </c>
      <c r="B739" s="29" t="s">
        <v>4510</v>
      </c>
      <c r="C739" s="4" t="s">
        <v>4511</v>
      </c>
      <c r="D739" s="130"/>
      <c r="E739" s="2">
        <v>45434</v>
      </c>
      <c r="F739" s="2">
        <f>E739+28</f>
        <v>45462</v>
      </c>
      <c r="G739" s="2"/>
      <c r="H739" s="41">
        <v>14317</v>
      </c>
      <c r="I739" s="15" t="s">
        <v>4512</v>
      </c>
      <c r="J739" s="1" t="s">
        <v>4513</v>
      </c>
      <c r="K739" s="1" t="s">
        <v>31</v>
      </c>
      <c r="L739" s="1">
        <v>86012</v>
      </c>
      <c r="M739" s="1" t="s">
        <v>32</v>
      </c>
      <c r="O739" s="1" t="s">
        <v>4514</v>
      </c>
      <c r="P739" s="1" t="s">
        <v>4515</v>
      </c>
      <c r="Q739" s="87" t="s">
        <v>4516</v>
      </c>
      <c r="R739" s="174"/>
      <c r="V739" s="4" t="s">
        <v>36</v>
      </c>
      <c r="W739" s="4" t="s">
        <v>37</v>
      </c>
      <c r="X739" s="1" t="s">
        <v>59</v>
      </c>
      <c r="Y739" s="167" t="s">
        <v>39</v>
      </c>
    </row>
    <row r="740" spans="1:26" s="4" customFormat="1" ht="16.5" customHeight="1">
      <c r="A740" s="163" t="s">
        <v>25</v>
      </c>
      <c r="B740" s="29" t="s">
        <v>412</v>
      </c>
      <c r="C740" s="4" t="s">
        <v>4517</v>
      </c>
      <c r="D740" s="130"/>
      <c r="E740" s="2">
        <v>45464</v>
      </c>
      <c r="F740" s="2">
        <f t="shared" ref="F740:F744" si="72">E740+14</f>
        <v>45478</v>
      </c>
      <c r="G740" s="2"/>
      <c r="H740" s="41">
        <v>697</v>
      </c>
      <c r="I740" s="15" t="s">
        <v>4518</v>
      </c>
      <c r="J740" s="1" t="s">
        <v>415</v>
      </c>
      <c r="K740" s="1" t="s">
        <v>31</v>
      </c>
      <c r="L740" s="1">
        <v>85281</v>
      </c>
      <c r="M740" s="1" t="s">
        <v>32</v>
      </c>
      <c r="O740" s="1" t="s">
        <v>4519</v>
      </c>
      <c r="P740" s="1" t="s">
        <v>4520</v>
      </c>
      <c r="Q740" s="87" t="s">
        <v>4521</v>
      </c>
      <c r="R740" s="178" t="s">
        <v>314</v>
      </c>
      <c r="V740" s="4" t="s">
        <v>36</v>
      </c>
      <c r="W740" s="4" t="s">
        <v>37</v>
      </c>
      <c r="X740" s="1" t="s">
        <v>59</v>
      </c>
      <c r="Y740" s="167" t="s">
        <v>39</v>
      </c>
    </row>
    <row r="741" spans="1:26" s="4" customFormat="1" ht="17.25" customHeight="1">
      <c r="A741" s="163" t="s">
        <v>25</v>
      </c>
      <c r="B741" s="29" t="s">
        <v>2444</v>
      </c>
      <c r="C741" s="4" t="s">
        <v>4522</v>
      </c>
      <c r="D741" s="130"/>
      <c r="E741" s="2">
        <v>45464</v>
      </c>
      <c r="F741" s="2">
        <f t="shared" si="72"/>
        <v>45478</v>
      </c>
      <c r="G741" s="2"/>
      <c r="H741" s="41">
        <v>951</v>
      </c>
      <c r="I741" s="15" t="s">
        <v>2059</v>
      </c>
      <c r="J741" s="1" t="s">
        <v>415</v>
      </c>
      <c r="K741" s="1" t="s">
        <v>31</v>
      </c>
      <c r="L741" s="1">
        <v>85719</v>
      </c>
      <c r="M741" s="1" t="s">
        <v>32</v>
      </c>
      <c r="O741" s="1" t="s">
        <v>4523</v>
      </c>
      <c r="P741" s="1" t="s">
        <v>4524</v>
      </c>
      <c r="Q741" s="99" t="s">
        <v>4525</v>
      </c>
      <c r="R741" s="31">
        <v>94531</v>
      </c>
      <c r="V741" s="4" t="s">
        <v>36</v>
      </c>
      <c r="W741" s="4" t="s">
        <v>37</v>
      </c>
      <c r="X741" s="1" t="s">
        <v>59</v>
      </c>
      <c r="Y741" s="167" t="s">
        <v>39</v>
      </c>
      <c r="Z741" s="168"/>
    </row>
    <row r="742" spans="1:26" s="4" customFormat="1" ht="15" customHeight="1">
      <c r="A742" s="164" t="s">
        <v>812</v>
      </c>
      <c r="B742" s="29" t="s">
        <v>3720</v>
      </c>
      <c r="C742" s="4" t="s">
        <v>4526</v>
      </c>
      <c r="D742" s="130"/>
      <c r="E742" s="2">
        <v>45449</v>
      </c>
      <c r="F742" s="2">
        <f t="shared" si="72"/>
        <v>45463</v>
      </c>
      <c r="G742" s="269"/>
      <c r="H742" s="41"/>
      <c r="I742" s="15" t="s">
        <v>4527</v>
      </c>
      <c r="J742" s="1" t="s">
        <v>837</v>
      </c>
      <c r="K742" s="1" t="s">
        <v>31</v>
      </c>
      <c r="L742" s="1"/>
      <c r="M742" s="1" t="s">
        <v>32</v>
      </c>
      <c r="O742" s="1" t="s">
        <v>3723</v>
      </c>
      <c r="P742" s="1" t="s">
        <v>3724</v>
      </c>
      <c r="Q742" s="184" t="s">
        <v>3725</v>
      </c>
      <c r="R742" s="31">
        <v>92596</v>
      </c>
      <c r="V742" s="4" t="s">
        <v>443</v>
      </c>
      <c r="W742" s="4" t="s">
        <v>37</v>
      </c>
      <c r="X742" s="4" t="s">
        <v>616</v>
      </c>
      <c r="Y742" s="235" t="s">
        <v>617</v>
      </c>
      <c r="Z742" s="167" t="s">
        <v>364</v>
      </c>
    </row>
    <row r="743" spans="1:26" s="4" customFormat="1" ht="18" customHeight="1">
      <c r="A743" s="163" t="s">
        <v>25</v>
      </c>
      <c r="B743" s="29" t="s">
        <v>4528</v>
      </c>
      <c r="C743" s="4" t="s">
        <v>4529</v>
      </c>
      <c r="D743" s="130"/>
      <c r="E743" s="2">
        <v>45454</v>
      </c>
      <c r="F743" s="2">
        <f t="shared" si="72"/>
        <v>45468</v>
      </c>
      <c r="G743" s="2"/>
      <c r="H743" s="41">
        <v>3683</v>
      </c>
      <c r="I743" s="15" t="s">
        <v>4373</v>
      </c>
      <c r="J743" s="1" t="s">
        <v>49</v>
      </c>
      <c r="K743" s="1" t="s">
        <v>31</v>
      </c>
      <c r="L743" s="1">
        <v>85297</v>
      </c>
      <c r="M743" s="1" t="s">
        <v>32</v>
      </c>
      <c r="O743" s="1" t="s">
        <v>4530</v>
      </c>
      <c r="P743" s="1" t="s">
        <v>4531</v>
      </c>
      <c r="Q743" s="87" t="s">
        <v>4532</v>
      </c>
      <c r="R743" s="31">
        <v>96992</v>
      </c>
      <c r="V743" s="4" t="s">
        <v>36</v>
      </c>
      <c r="W743" s="4" t="s">
        <v>37</v>
      </c>
      <c r="X743" s="1" t="s">
        <v>59</v>
      </c>
      <c r="Y743" s="167" t="s">
        <v>39</v>
      </c>
    </row>
    <row r="744" spans="1:26" s="4" customFormat="1" ht="16.5" customHeight="1">
      <c r="A744" s="163" t="s">
        <v>25</v>
      </c>
      <c r="B744" s="29" t="s">
        <v>4533</v>
      </c>
      <c r="C744" s="4" t="s">
        <v>4534</v>
      </c>
      <c r="D744" s="2"/>
      <c r="E744" s="2">
        <v>45454</v>
      </c>
      <c r="F744" s="2">
        <f t="shared" si="72"/>
        <v>45468</v>
      </c>
      <c r="G744" s="2"/>
      <c r="H744" s="41">
        <v>2515</v>
      </c>
      <c r="I744" s="15" t="s">
        <v>4535</v>
      </c>
      <c r="J744" s="1" t="s">
        <v>49</v>
      </c>
      <c r="K744" s="1" t="s">
        <v>31</v>
      </c>
      <c r="L744" s="1">
        <v>85295</v>
      </c>
      <c r="M744" s="1" t="s">
        <v>32</v>
      </c>
      <c r="O744" s="1" t="s">
        <v>4536</v>
      </c>
      <c r="P744" s="1" t="s">
        <v>4537</v>
      </c>
      <c r="Q744" s="87" t="s">
        <v>4538</v>
      </c>
      <c r="R744" s="31">
        <v>92456</v>
      </c>
      <c r="V744" s="4" t="s">
        <v>36</v>
      </c>
      <c r="W744" s="4" t="s">
        <v>37</v>
      </c>
      <c r="X744" s="1" t="s">
        <v>59</v>
      </c>
      <c r="Y744" s="167" t="s">
        <v>39</v>
      </c>
      <c r="Z744" s="168"/>
    </row>
    <row r="745" spans="1:26" s="4" customFormat="1" ht="15.75" customHeight="1">
      <c r="A745" s="164" t="s">
        <v>812</v>
      </c>
      <c r="B745" s="29" t="s">
        <v>1915</v>
      </c>
      <c r="C745" s="4" t="s">
        <v>4539</v>
      </c>
      <c r="D745" s="130"/>
      <c r="E745" s="2">
        <v>45457</v>
      </c>
      <c r="F745" s="2">
        <f t="shared" ref="F745:F750" si="73">E745+14</f>
        <v>45471</v>
      </c>
      <c r="G745" s="2"/>
      <c r="H745" s="41">
        <v>5951</v>
      </c>
      <c r="I745" s="15" t="s">
        <v>596</v>
      </c>
      <c r="J745" s="1" t="s">
        <v>434</v>
      </c>
      <c r="K745" s="1" t="s">
        <v>31</v>
      </c>
      <c r="L745" s="1">
        <v>85054</v>
      </c>
      <c r="M745" s="1" t="s">
        <v>32</v>
      </c>
      <c r="O745" s="1" t="s">
        <v>4540</v>
      </c>
      <c r="P745" s="1" t="s">
        <v>4541</v>
      </c>
      <c r="Q745" s="87" t="s">
        <v>4542</v>
      </c>
      <c r="R745" s="31">
        <v>91789</v>
      </c>
      <c r="V745" s="4" t="s">
        <v>443</v>
      </c>
      <c r="W745" s="4" t="s">
        <v>37</v>
      </c>
      <c r="X745" s="4" t="s">
        <v>616</v>
      </c>
      <c r="Y745" s="235" t="s">
        <v>617</v>
      </c>
      <c r="Z745" s="167" t="s">
        <v>364</v>
      </c>
    </row>
    <row r="746" spans="1:26" s="4" customFormat="1" ht="15" customHeight="1">
      <c r="A746" s="164" t="s">
        <v>812</v>
      </c>
      <c r="B746" s="29" t="s">
        <v>478</v>
      </c>
      <c r="C746" s="4" t="s">
        <v>4543</v>
      </c>
      <c r="D746" s="130"/>
      <c r="E746" s="2">
        <v>45463</v>
      </c>
      <c r="F746" s="2">
        <f t="shared" si="73"/>
        <v>45477</v>
      </c>
      <c r="G746" s="2"/>
      <c r="H746" s="41" t="s">
        <v>364</v>
      </c>
      <c r="I746" s="15" t="s">
        <v>4544</v>
      </c>
      <c r="J746" s="1" t="s">
        <v>4545</v>
      </c>
      <c r="K746" s="1" t="s">
        <v>31</v>
      </c>
      <c r="L746" s="1">
        <v>85282</v>
      </c>
      <c r="M746" s="1" t="s">
        <v>32</v>
      </c>
      <c r="O746" s="1" t="s">
        <v>4546</v>
      </c>
      <c r="P746" s="1" t="s">
        <v>4547</v>
      </c>
      <c r="Q746" s="87" t="s">
        <v>4548</v>
      </c>
      <c r="R746" s="174"/>
      <c r="V746" s="4" t="s">
        <v>443</v>
      </c>
      <c r="W746" s="4" t="s">
        <v>37</v>
      </c>
      <c r="X746" s="4" t="s">
        <v>616</v>
      </c>
      <c r="Y746" s="235" t="s">
        <v>617</v>
      </c>
      <c r="Z746" s="167" t="s">
        <v>364</v>
      </c>
    </row>
    <row r="747" spans="1:26" s="4" customFormat="1" ht="15" customHeight="1">
      <c r="A747" s="163" t="s">
        <v>25</v>
      </c>
      <c r="B747" s="70" t="s">
        <v>150</v>
      </c>
      <c r="C747" s="29" t="s">
        <v>4549</v>
      </c>
      <c r="E747" s="2">
        <v>45456</v>
      </c>
      <c r="F747" s="2">
        <f t="shared" si="73"/>
        <v>45470</v>
      </c>
      <c r="G747" s="1"/>
      <c r="H747" s="1">
        <v>5149</v>
      </c>
      <c r="I747" s="4" t="s">
        <v>4550</v>
      </c>
      <c r="J747" s="1" t="s">
        <v>63</v>
      </c>
      <c r="K747" s="1" t="s">
        <v>31</v>
      </c>
      <c r="L747" s="1"/>
      <c r="M747" s="1" t="s">
        <v>32</v>
      </c>
      <c r="O747" s="1" t="s">
        <v>4551</v>
      </c>
      <c r="P747" s="1" t="s">
        <v>4552</v>
      </c>
      <c r="Q747" s="87" t="s">
        <v>4553</v>
      </c>
      <c r="R747" s="125" t="s">
        <v>318</v>
      </c>
      <c r="V747" s="4" t="s">
        <v>36</v>
      </c>
      <c r="W747" s="4" t="s">
        <v>37</v>
      </c>
      <c r="X747" s="4" t="s">
        <v>38</v>
      </c>
      <c r="Y747" s="235" t="s">
        <v>39</v>
      </c>
      <c r="Z747" s="168"/>
    </row>
    <row r="748" spans="1:26" s="4" customFormat="1">
      <c r="A748" s="163" t="s">
        <v>25</v>
      </c>
      <c r="B748" s="29" t="s">
        <v>781</v>
      </c>
      <c r="C748" s="4" t="s">
        <v>4554</v>
      </c>
      <c r="D748" s="2"/>
      <c r="E748" s="2">
        <v>45456</v>
      </c>
      <c r="F748" s="2">
        <f t="shared" si="73"/>
        <v>45470</v>
      </c>
      <c r="G748" s="2" t="s">
        <v>42</v>
      </c>
      <c r="H748" s="41">
        <v>1325</v>
      </c>
      <c r="I748" s="15" t="s">
        <v>4555</v>
      </c>
      <c r="J748" s="1" t="s">
        <v>3520</v>
      </c>
      <c r="K748" s="1" t="s">
        <v>31</v>
      </c>
      <c r="L748" s="1">
        <v>85281</v>
      </c>
      <c r="M748" s="1" t="s">
        <v>32</v>
      </c>
      <c r="O748" s="1" t="s">
        <v>4556</v>
      </c>
      <c r="P748" s="1" t="s">
        <v>4557</v>
      </c>
      <c r="Q748" s="87" t="s">
        <v>4558</v>
      </c>
      <c r="R748" s="31">
        <v>92297</v>
      </c>
      <c r="V748" s="4" t="s">
        <v>36</v>
      </c>
      <c r="W748" s="4" t="s">
        <v>37</v>
      </c>
      <c r="X748" s="1" t="s">
        <v>59</v>
      </c>
      <c r="Y748" s="167" t="s">
        <v>39</v>
      </c>
      <c r="Z748" s="168"/>
    </row>
    <row r="749" spans="1:26" s="4" customFormat="1" ht="21.75" customHeight="1">
      <c r="A749" s="164" t="s">
        <v>812</v>
      </c>
      <c r="B749" s="70" t="s">
        <v>2096</v>
      </c>
      <c r="C749" s="56" t="s">
        <v>4559</v>
      </c>
      <c r="D749" s="60"/>
      <c r="E749" s="2">
        <v>45470</v>
      </c>
      <c r="F749" s="60">
        <f t="shared" si="73"/>
        <v>45484</v>
      </c>
      <c r="G749" s="60"/>
      <c r="H749" s="76">
        <v>1616</v>
      </c>
      <c r="I749" s="80" t="s">
        <v>4560</v>
      </c>
      <c r="J749" s="55" t="s">
        <v>434</v>
      </c>
      <c r="K749" s="55" t="s">
        <v>31</v>
      </c>
      <c r="L749" s="55" t="s">
        <v>1321</v>
      </c>
      <c r="M749" s="55" t="s">
        <v>32</v>
      </c>
      <c r="N749" s="56"/>
      <c r="O749" s="55" t="s">
        <v>4561</v>
      </c>
      <c r="P749" s="55" t="s">
        <v>4562</v>
      </c>
      <c r="Q749" s="240" t="s">
        <v>4563</v>
      </c>
      <c r="R749" s="57">
        <v>96896</v>
      </c>
      <c r="V749" s="4" t="s">
        <v>443</v>
      </c>
      <c r="W749" s="4" t="s">
        <v>37</v>
      </c>
      <c r="X749" s="4" t="s">
        <v>616</v>
      </c>
      <c r="Y749" s="241" t="s">
        <v>617</v>
      </c>
      <c r="Z749" s="168"/>
    </row>
    <row r="750" spans="1:26" s="4" customFormat="1" ht="16.5" customHeight="1">
      <c r="A750" s="164" t="s">
        <v>812</v>
      </c>
      <c r="B750" s="118" t="s">
        <v>2001</v>
      </c>
      <c r="C750" s="119" t="s">
        <v>4564</v>
      </c>
      <c r="D750" s="2">
        <v>44748</v>
      </c>
      <c r="E750" s="2">
        <v>45460</v>
      </c>
      <c r="F750" s="2">
        <f t="shared" si="73"/>
        <v>45474</v>
      </c>
      <c r="G750" s="2" t="s">
        <v>28</v>
      </c>
      <c r="H750" s="41">
        <v>3045</v>
      </c>
      <c r="I750" s="15" t="s">
        <v>1580</v>
      </c>
      <c r="J750" s="1" t="s">
        <v>434</v>
      </c>
      <c r="K750" s="1" t="s">
        <v>31</v>
      </c>
      <c r="L750" s="1">
        <v>85053</v>
      </c>
      <c r="M750" s="1" t="s">
        <v>32</v>
      </c>
      <c r="O750" s="1" t="s">
        <v>4565</v>
      </c>
      <c r="P750" s="1" t="s">
        <v>4566</v>
      </c>
      <c r="Q750" s="87" t="s">
        <v>4567</v>
      </c>
      <c r="R750" s="31">
        <v>95223</v>
      </c>
      <c r="V750" s="4" t="s">
        <v>443</v>
      </c>
      <c r="W750" s="4" t="s">
        <v>37</v>
      </c>
      <c r="X750" s="4" t="s">
        <v>616</v>
      </c>
      <c r="Y750" s="235" t="s">
        <v>617</v>
      </c>
      <c r="Z750" s="167" t="s">
        <v>364</v>
      </c>
    </row>
    <row r="751" spans="1:26" s="4" customFormat="1" ht="19.5" customHeight="1">
      <c r="A751" s="163" t="s">
        <v>25</v>
      </c>
      <c r="B751" s="118" t="s">
        <v>3245</v>
      </c>
      <c r="C751" s="119" t="s">
        <v>4568</v>
      </c>
      <c r="D751" s="130">
        <v>44736</v>
      </c>
      <c r="E751" s="2">
        <v>45478</v>
      </c>
      <c r="F751" s="2">
        <f>E751+14</f>
        <v>45492</v>
      </c>
      <c r="G751" s="2" t="s">
        <v>42</v>
      </c>
      <c r="H751" s="41" t="s">
        <v>379</v>
      </c>
      <c r="I751" s="15" t="s">
        <v>4569</v>
      </c>
      <c r="J751" s="1" t="s">
        <v>207</v>
      </c>
      <c r="K751" s="1" t="s">
        <v>31</v>
      </c>
      <c r="L751" s="1">
        <v>85212</v>
      </c>
      <c r="M751" s="1" t="s">
        <v>32</v>
      </c>
      <c r="O751" s="1" t="s">
        <v>4570</v>
      </c>
      <c r="P751" s="1" t="s">
        <v>3228</v>
      </c>
      <c r="Q751" s="87" t="s">
        <v>4571</v>
      </c>
      <c r="R751" s="31">
        <v>93506</v>
      </c>
      <c r="V751" s="4" t="s">
        <v>36</v>
      </c>
      <c r="W751" s="4" t="s">
        <v>37</v>
      </c>
      <c r="X751" s="1" t="s">
        <v>59</v>
      </c>
      <c r="Y751" s="167" t="s">
        <v>39</v>
      </c>
      <c r="Z751" s="168"/>
    </row>
    <row r="752" spans="1:26" s="4" customFormat="1" ht="17.25" customHeight="1">
      <c r="A752" s="163" t="s">
        <v>25</v>
      </c>
      <c r="B752" s="15" t="s">
        <v>3426</v>
      </c>
      <c r="C752" s="65" t="s">
        <v>4572</v>
      </c>
      <c r="D752" s="2"/>
      <c r="E752" s="2">
        <v>45469</v>
      </c>
      <c r="F752" s="2">
        <f t="shared" ref="F752" si="74">E752+14</f>
        <v>45483</v>
      </c>
      <c r="G752" s="2" t="s">
        <v>42</v>
      </c>
      <c r="H752" s="1" t="s">
        <v>4573</v>
      </c>
      <c r="I752" s="15" t="s">
        <v>4574</v>
      </c>
      <c r="J752" s="1" t="s">
        <v>398</v>
      </c>
      <c r="K752" s="1" t="s">
        <v>31</v>
      </c>
      <c r="L752" s="1" t="s">
        <v>3190</v>
      </c>
      <c r="M752" s="1" t="s">
        <v>32</v>
      </c>
      <c r="N752" s="1"/>
      <c r="O752" s="1" t="s">
        <v>364</v>
      </c>
      <c r="P752" s="1" t="s">
        <v>4575</v>
      </c>
      <c r="Q752" s="129" t="s">
        <v>4576</v>
      </c>
      <c r="R752" s="1">
        <v>90604</v>
      </c>
      <c r="V752" s="4" t="s">
        <v>36</v>
      </c>
      <c r="W752" s="4" t="s">
        <v>37</v>
      </c>
      <c r="X752" s="1" t="s">
        <v>59</v>
      </c>
      <c r="Y752" s="167" t="s">
        <v>39</v>
      </c>
      <c r="Z752" s="168"/>
    </row>
    <row r="753" spans="1:26" s="4" customFormat="1" ht="21.75" customHeight="1">
      <c r="A753" s="164" t="s">
        <v>812</v>
      </c>
      <c r="B753" s="29" t="s">
        <v>4423</v>
      </c>
      <c r="C753" s="4" t="s">
        <v>4577</v>
      </c>
      <c r="D753" s="2"/>
      <c r="E753" s="2">
        <v>45468</v>
      </c>
      <c r="F753" s="2">
        <f>E753+14</f>
        <v>45482</v>
      </c>
      <c r="G753" s="2" t="s">
        <v>28</v>
      </c>
      <c r="H753" s="41">
        <v>10020</v>
      </c>
      <c r="I753" s="15" t="s">
        <v>4166</v>
      </c>
      <c r="J753" s="1" t="s">
        <v>822</v>
      </c>
      <c r="K753" s="1" t="s">
        <v>31</v>
      </c>
      <c r="L753" s="1">
        <v>85307</v>
      </c>
      <c r="M753" s="1" t="s">
        <v>32</v>
      </c>
      <c r="O753" s="1" t="s">
        <v>4578</v>
      </c>
      <c r="P753" s="1" t="s">
        <v>4579</v>
      </c>
      <c r="Q753" s="129" t="s">
        <v>4580</v>
      </c>
      <c r="R753" s="31"/>
      <c r="V753" s="4" t="s">
        <v>443</v>
      </c>
      <c r="W753" s="4" t="s">
        <v>37</v>
      </c>
      <c r="X753" s="4" t="s">
        <v>616</v>
      </c>
      <c r="Y753" s="235" t="s">
        <v>617</v>
      </c>
      <c r="Z753" s="167" t="s">
        <v>364</v>
      </c>
    </row>
    <row r="754" spans="1:26" s="4" customFormat="1" ht="15" customHeight="1">
      <c r="A754" s="163" t="s">
        <v>25</v>
      </c>
      <c r="B754" s="29" t="s">
        <v>4581</v>
      </c>
      <c r="C754" s="4" t="s">
        <v>4582</v>
      </c>
      <c r="D754" s="2"/>
      <c r="E754" s="2">
        <v>45468</v>
      </c>
      <c r="F754" s="2">
        <f>E754+14</f>
        <v>45482</v>
      </c>
      <c r="G754" s="2" t="s">
        <v>28</v>
      </c>
      <c r="H754" s="41">
        <v>1015</v>
      </c>
      <c r="I754" s="15" t="s">
        <v>4373</v>
      </c>
      <c r="J754" s="1" t="s">
        <v>49</v>
      </c>
      <c r="K754" s="1" t="s">
        <v>31</v>
      </c>
      <c r="L754" s="1">
        <v>85296</v>
      </c>
      <c r="M754" s="1" t="s">
        <v>32</v>
      </c>
      <c r="O754" s="1" t="s">
        <v>4583</v>
      </c>
      <c r="P754" s="1" t="s">
        <v>4584</v>
      </c>
      <c r="Q754" s="98" t="s">
        <v>4585</v>
      </c>
      <c r="R754" s="31">
        <v>96880</v>
      </c>
      <c r="V754" s="4" t="s">
        <v>36</v>
      </c>
      <c r="W754" s="4" t="s">
        <v>37</v>
      </c>
      <c r="X754" s="1" t="s">
        <v>59</v>
      </c>
      <c r="Y754" s="167" t="s">
        <v>39</v>
      </c>
      <c r="Z754" s="168"/>
    </row>
    <row r="755" spans="1:26" s="4" customFormat="1" ht="19.5" customHeight="1">
      <c r="A755" s="164" t="s">
        <v>812</v>
      </c>
      <c r="B755" s="15" t="s">
        <v>4586</v>
      </c>
      <c r="C755" s="29" t="s">
        <v>4587</v>
      </c>
      <c r="D755" s="2"/>
      <c r="E755" s="2">
        <v>45468</v>
      </c>
      <c r="F755" s="2">
        <f t="shared" ref="F755:F758" si="75">E755+14</f>
        <v>45482</v>
      </c>
      <c r="G755" s="2" t="s">
        <v>28</v>
      </c>
      <c r="H755" s="1">
        <v>7777</v>
      </c>
      <c r="I755" s="15" t="s">
        <v>1031</v>
      </c>
      <c r="J755" s="1" t="s">
        <v>822</v>
      </c>
      <c r="K755" s="1" t="s">
        <v>31</v>
      </c>
      <c r="L755" s="1">
        <v>85307</v>
      </c>
      <c r="M755" s="1" t="s">
        <v>32</v>
      </c>
      <c r="O755" s="1" t="s">
        <v>4588</v>
      </c>
      <c r="P755" s="1" t="s">
        <v>4589</v>
      </c>
      <c r="Q755" s="129" t="s">
        <v>4590</v>
      </c>
      <c r="R755" s="179">
        <v>103096</v>
      </c>
      <c r="V755" s="4" t="s">
        <v>443</v>
      </c>
      <c r="W755" s="4" t="s">
        <v>37</v>
      </c>
      <c r="X755" s="4" t="s">
        <v>616</v>
      </c>
      <c r="Y755" s="241" t="s">
        <v>617</v>
      </c>
      <c r="Z755" s="168"/>
    </row>
    <row r="756" spans="1:26" s="4" customFormat="1">
      <c r="A756" s="164" t="s">
        <v>812</v>
      </c>
      <c r="B756" s="29" t="s">
        <v>1213</v>
      </c>
      <c r="C756" s="4" t="s">
        <v>4591</v>
      </c>
      <c r="D756" s="2"/>
      <c r="E756" s="2">
        <v>45469</v>
      </c>
      <c r="F756" s="2">
        <f t="shared" si="75"/>
        <v>45483</v>
      </c>
      <c r="G756" s="2" t="s">
        <v>42</v>
      </c>
      <c r="H756" s="41">
        <v>17215</v>
      </c>
      <c r="I756" s="15" t="s">
        <v>611</v>
      </c>
      <c r="J756" s="1" t="s">
        <v>844</v>
      </c>
      <c r="K756" s="1" t="s">
        <v>31</v>
      </c>
      <c r="L756" s="1">
        <v>85395</v>
      </c>
      <c r="M756" s="1" t="s">
        <v>32</v>
      </c>
      <c r="O756" s="1" t="s">
        <v>3247</v>
      </c>
      <c r="P756" s="1" t="s">
        <v>4592</v>
      </c>
      <c r="Q756" s="228" t="s">
        <v>4593</v>
      </c>
      <c r="R756" s="31">
        <v>97174</v>
      </c>
      <c r="V756" s="4" t="s">
        <v>443</v>
      </c>
      <c r="W756" s="4" t="s">
        <v>37</v>
      </c>
      <c r="X756" s="4" t="s">
        <v>616</v>
      </c>
      <c r="Y756" s="241" t="s">
        <v>617</v>
      </c>
      <c r="Z756" s="167" t="s">
        <v>364</v>
      </c>
    </row>
    <row r="757" spans="1:26" s="4" customFormat="1" ht="18" customHeight="1">
      <c r="A757" s="164" t="s">
        <v>812</v>
      </c>
      <c r="B757" s="29" t="s">
        <v>478</v>
      </c>
      <c r="C757" s="4" t="s">
        <v>4594</v>
      </c>
      <c r="D757" s="2">
        <v>45141</v>
      </c>
      <c r="E757" s="2">
        <v>45476</v>
      </c>
      <c r="F757" s="2">
        <f t="shared" si="75"/>
        <v>45490</v>
      </c>
      <c r="G757" s="2" t="s">
        <v>42</v>
      </c>
      <c r="H757" s="41">
        <v>7240</v>
      </c>
      <c r="I757" s="15" t="s">
        <v>4595</v>
      </c>
      <c r="J757" s="1" t="s">
        <v>822</v>
      </c>
      <c r="K757" s="1" t="s">
        <v>31</v>
      </c>
      <c r="L757" s="1">
        <v>85303</v>
      </c>
      <c r="M757" s="1" t="s">
        <v>32</v>
      </c>
      <c r="O757" s="253" t="s">
        <v>4596</v>
      </c>
      <c r="P757" s="1" t="s">
        <v>4597</v>
      </c>
      <c r="Q757" s="87" t="s">
        <v>4598</v>
      </c>
      <c r="R757" s="178">
        <v>99597</v>
      </c>
      <c r="V757" s="4" t="s">
        <v>443</v>
      </c>
      <c r="W757" s="4" t="s">
        <v>37</v>
      </c>
      <c r="X757" s="4" t="s">
        <v>616</v>
      </c>
      <c r="Y757" s="235" t="s">
        <v>617</v>
      </c>
      <c r="Z757" s="167" t="s">
        <v>364</v>
      </c>
    </row>
    <row r="758" spans="1:26" s="4" customFormat="1" ht="18.75" customHeight="1">
      <c r="A758" s="164" t="s">
        <v>812</v>
      </c>
      <c r="B758" s="118" t="s">
        <v>2593</v>
      </c>
      <c r="C758" s="119" t="s">
        <v>4599</v>
      </c>
      <c r="D758" s="231"/>
      <c r="E758" s="2">
        <v>45477</v>
      </c>
      <c r="F758" s="2">
        <f t="shared" si="75"/>
        <v>45491</v>
      </c>
      <c r="G758" s="232" t="s">
        <v>28</v>
      </c>
      <c r="H758" s="42"/>
      <c r="I758" s="233" t="s">
        <v>4600</v>
      </c>
      <c r="J758" s="179" t="s">
        <v>837</v>
      </c>
      <c r="K758" s="179" t="s">
        <v>31</v>
      </c>
      <c r="L758" s="179">
        <v>85179</v>
      </c>
      <c r="M758" s="179" t="s">
        <v>32</v>
      </c>
      <c r="N758" s="119"/>
      <c r="O758" s="179" t="s">
        <v>1487</v>
      </c>
      <c r="P758" s="179" t="s">
        <v>1488</v>
      </c>
      <c r="Q758" s="184" t="s">
        <v>4601</v>
      </c>
      <c r="R758" s="178">
        <v>97038</v>
      </c>
      <c r="S758" s="119"/>
      <c r="T758" s="119"/>
      <c r="U758" s="119"/>
      <c r="V758" s="119" t="s">
        <v>443</v>
      </c>
      <c r="W758" s="119" t="s">
        <v>37</v>
      </c>
      <c r="X758" s="119" t="s">
        <v>616</v>
      </c>
      <c r="Y758" s="235" t="s">
        <v>617</v>
      </c>
      <c r="Z758" s="167" t="s">
        <v>364</v>
      </c>
    </row>
    <row r="759" spans="1:26" s="4" customFormat="1" ht="18" customHeight="1">
      <c r="A759" s="163" t="s">
        <v>25</v>
      </c>
      <c r="B759" s="15" t="s">
        <v>3125</v>
      </c>
      <c r="C759" s="29" t="s">
        <v>4602</v>
      </c>
      <c r="D759" s="1"/>
      <c r="E759" s="2">
        <v>45491</v>
      </c>
      <c r="F759" s="2">
        <f>E759+14</f>
        <v>45505</v>
      </c>
      <c r="G759" s="1" t="s">
        <v>42</v>
      </c>
      <c r="H759" s="101">
        <v>8501</v>
      </c>
      <c r="I759" s="15" t="s">
        <v>4603</v>
      </c>
      <c r="J759" s="1" t="s">
        <v>398</v>
      </c>
      <c r="K759" s="1" t="s">
        <v>31</v>
      </c>
      <c r="L759" s="1">
        <v>85260</v>
      </c>
      <c r="M759" s="1" t="s">
        <v>32</v>
      </c>
      <c r="N759" s="72"/>
      <c r="O759" s="1" t="s">
        <v>4604</v>
      </c>
      <c r="P759" s="1" t="s">
        <v>4605</v>
      </c>
      <c r="Q759" s="87" t="s">
        <v>4606</v>
      </c>
      <c r="R759" s="125" t="s">
        <v>35</v>
      </c>
      <c r="V759" s="4" t="s">
        <v>36</v>
      </c>
      <c r="W759" s="4" t="s">
        <v>37</v>
      </c>
      <c r="X759" s="1" t="s">
        <v>59</v>
      </c>
      <c r="Y759" s="167" t="s">
        <v>39</v>
      </c>
      <c r="Z759" s="168"/>
    </row>
    <row r="760" spans="1:26" s="4" customFormat="1" ht="16.5" customHeight="1">
      <c r="A760" s="163" t="s">
        <v>25</v>
      </c>
      <c r="B760" s="70" t="s">
        <v>150</v>
      </c>
      <c r="C760" s="4" t="s">
        <v>4607</v>
      </c>
      <c r="D760" s="130"/>
      <c r="E760" s="2">
        <v>45491</v>
      </c>
      <c r="F760" s="2">
        <f t="shared" ref="F760:F764" si="76">E760+14</f>
        <v>45505</v>
      </c>
      <c r="G760" s="2" t="s">
        <v>28</v>
      </c>
      <c r="H760" s="41">
        <v>26161</v>
      </c>
      <c r="I760" s="15" t="s">
        <v>4608</v>
      </c>
      <c r="J760" s="1" t="s">
        <v>129</v>
      </c>
      <c r="K760" s="1" t="s">
        <v>31</v>
      </c>
      <c r="L760" s="1"/>
      <c r="M760" s="1" t="s">
        <v>32</v>
      </c>
      <c r="O760" s="1" t="s">
        <v>4609</v>
      </c>
      <c r="P760" s="1" t="s">
        <v>4610</v>
      </c>
      <c r="Q760" s="87" t="s">
        <v>4611</v>
      </c>
      <c r="R760" s="124" t="s">
        <v>35</v>
      </c>
      <c r="V760" s="4" t="s">
        <v>36</v>
      </c>
      <c r="W760" s="4" t="s">
        <v>37</v>
      </c>
      <c r="X760" s="1" t="s">
        <v>59</v>
      </c>
      <c r="Y760" s="167" t="s">
        <v>39</v>
      </c>
    </row>
    <row r="761" spans="1:26" s="4" customFormat="1" ht="15" customHeight="1">
      <c r="A761" s="163" t="s">
        <v>25</v>
      </c>
      <c r="B761" s="70" t="s">
        <v>150</v>
      </c>
      <c r="C761" s="4" t="s">
        <v>4612</v>
      </c>
      <c r="D761" s="130"/>
      <c r="E761" s="2">
        <v>45491</v>
      </c>
      <c r="F761" s="2">
        <f t="shared" si="76"/>
        <v>45505</v>
      </c>
      <c r="G761" s="2" t="s">
        <v>28</v>
      </c>
      <c r="H761" s="41">
        <v>21942</v>
      </c>
      <c r="I761" s="15" t="s">
        <v>4613</v>
      </c>
      <c r="J761" s="1" t="s">
        <v>129</v>
      </c>
      <c r="K761" s="1" t="s">
        <v>31</v>
      </c>
      <c r="L761" s="1">
        <v>85142</v>
      </c>
      <c r="M761" s="1" t="s">
        <v>32</v>
      </c>
      <c r="O761" s="1" t="s">
        <v>4609</v>
      </c>
      <c r="P761" s="1" t="s">
        <v>4614</v>
      </c>
      <c r="Q761" s="87" t="s">
        <v>4615</v>
      </c>
      <c r="R761" s="124" t="s">
        <v>4616</v>
      </c>
      <c r="V761" s="4" t="s">
        <v>36</v>
      </c>
      <c r="W761" s="4" t="s">
        <v>37</v>
      </c>
      <c r="X761" s="1" t="s">
        <v>59</v>
      </c>
      <c r="Y761" s="167" t="s">
        <v>39</v>
      </c>
    </row>
    <row r="762" spans="1:26" s="4" customFormat="1" ht="15" customHeight="1">
      <c r="A762" s="163" t="s">
        <v>25</v>
      </c>
      <c r="B762" s="29" t="s">
        <v>194</v>
      </c>
      <c r="C762" s="4" t="s">
        <v>4617</v>
      </c>
      <c r="D762" s="130"/>
      <c r="E762" s="2">
        <v>45492</v>
      </c>
      <c r="F762" s="2">
        <f t="shared" si="76"/>
        <v>45506</v>
      </c>
      <c r="G762" s="2" t="s">
        <v>28</v>
      </c>
      <c r="H762" s="41"/>
      <c r="I762" s="15" t="s">
        <v>4618</v>
      </c>
      <c r="J762" s="1" t="s">
        <v>415</v>
      </c>
      <c r="K762" s="1" t="s">
        <v>31</v>
      </c>
      <c r="L762" s="1"/>
      <c r="M762" s="1" t="s">
        <v>32</v>
      </c>
      <c r="O762" s="1" t="s">
        <v>4619</v>
      </c>
      <c r="P762" s="1" t="s">
        <v>4620</v>
      </c>
      <c r="Q762" s="87" t="s">
        <v>4621</v>
      </c>
      <c r="R762" s="31">
        <v>91960</v>
      </c>
      <c r="V762" s="4" t="s">
        <v>36</v>
      </c>
      <c r="W762" s="4" t="s">
        <v>37</v>
      </c>
      <c r="X762" s="1" t="s">
        <v>59</v>
      </c>
      <c r="Y762" s="167" t="s">
        <v>39</v>
      </c>
      <c r="Z762" s="168"/>
    </row>
    <row r="763" spans="1:26" s="4" customFormat="1" ht="19.5" customHeight="1">
      <c r="A763" s="164" t="s">
        <v>812</v>
      </c>
      <c r="B763" s="29" t="s">
        <v>4622</v>
      </c>
      <c r="C763" s="4" t="s">
        <v>4623</v>
      </c>
      <c r="D763" s="2"/>
      <c r="E763" s="2">
        <v>45485</v>
      </c>
      <c r="F763" s="2">
        <f t="shared" si="76"/>
        <v>45499</v>
      </c>
      <c r="G763" s="2" t="s">
        <v>42</v>
      </c>
      <c r="H763" s="41">
        <v>3770</v>
      </c>
      <c r="I763" s="15" t="s">
        <v>4624</v>
      </c>
      <c r="J763" s="1" t="s">
        <v>434</v>
      </c>
      <c r="K763" s="1" t="s">
        <v>31</v>
      </c>
      <c r="L763" s="1">
        <v>85032</v>
      </c>
      <c r="M763" s="1" t="s">
        <v>32</v>
      </c>
      <c r="O763" s="1" t="s">
        <v>1171</v>
      </c>
      <c r="P763" s="1" t="s">
        <v>1172</v>
      </c>
      <c r="Q763" s="228" t="s">
        <v>1173</v>
      </c>
      <c r="R763" s="174"/>
      <c r="V763" s="4" t="s">
        <v>443</v>
      </c>
      <c r="W763" s="4" t="s">
        <v>37</v>
      </c>
      <c r="X763" s="4" t="s">
        <v>616</v>
      </c>
      <c r="Y763" s="235" t="s">
        <v>617</v>
      </c>
      <c r="Z763" s="167" t="s">
        <v>364</v>
      </c>
    </row>
    <row r="764" spans="1:26" s="4" customFormat="1" ht="17.25" customHeight="1">
      <c r="A764" s="163" t="s">
        <v>25</v>
      </c>
      <c r="B764" s="15" t="s">
        <v>478</v>
      </c>
      <c r="C764" s="4" t="s">
        <v>4625</v>
      </c>
      <c r="D764" s="130"/>
      <c r="E764" s="2">
        <v>45482</v>
      </c>
      <c r="F764" s="2">
        <f t="shared" si="76"/>
        <v>45496</v>
      </c>
      <c r="G764" s="2" t="s">
        <v>42</v>
      </c>
      <c r="H764" s="41">
        <v>3901</v>
      </c>
      <c r="I764" s="15" t="s">
        <v>480</v>
      </c>
      <c r="J764" s="1" t="s">
        <v>427</v>
      </c>
      <c r="K764" s="1" t="s">
        <v>31</v>
      </c>
      <c r="L764" s="1">
        <v>85253</v>
      </c>
      <c r="M764" s="1" t="s">
        <v>32</v>
      </c>
      <c r="O764" s="1" t="s">
        <v>482</v>
      </c>
      <c r="P764" s="1" t="s">
        <v>4626</v>
      </c>
      <c r="Q764" s="87" t="s">
        <v>4627</v>
      </c>
      <c r="R764" s="31">
        <v>103723</v>
      </c>
      <c r="V764" s="4" t="s">
        <v>36</v>
      </c>
      <c r="W764" s="4" t="s">
        <v>37</v>
      </c>
      <c r="X764" s="4" t="s">
        <v>38</v>
      </c>
      <c r="Y764" s="235" t="s">
        <v>39</v>
      </c>
    </row>
    <row r="765" spans="1:26" s="4" customFormat="1">
      <c r="A765" s="164" t="s">
        <v>812</v>
      </c>
      <c r="B765" s="15" t="s">
        <v>276</v>
      </c>
      <c r="C765" s="29" t="s">
        <v>4628</v>
      </c>
      <c r="D765" s="2"/>
      <c r="E765" s="2">
        <v>45482</v>
      </c>
      <c r="F765" s="2">
        <f t="shared" ref="F765:F773" si="77">E765+14</f>
        <v>45496</v>
      </c>
      <c r="G765" s="2" t="s">
        <v>42</v>
      </c>
      <c r="H765" s="1">
        <v>9775</v>
      </c>
      <c r="I765" s="15" t="s">
        <v>821</v>
      </c>
      <c r="J765" s="1" t="s">
        <v>822</v>
      </c>
      <c r="K765" s="1" t="s">
        <v>31</v>
      </c>
      <c r="L765" s="1">
        <v>85305</v>
      </c>
      <c r="M765" s="1" t="s">
        <v>32</v>
      </c>
      <c r="O765" s="1" t="s">
        <v>4629</v>
      </c>
      <c r="P765" s="1" t="s">
        <v>4630</v>
      </c>
      <c r="Q765" s="255" t="s">
        <v>4631</v>
      </c>
      <c r="R765" s="179" t="s">
        <v>4228</v>
      </c>
      <c r="V765" s="4" t="s">
        <v>443</v>
      </c>
      <c r="W765" s="4" t="s">
        <v>37</v>
      </c>
      <c r="X765" s="4" t="s">
        <v>616</v>
      </c>
      <c r="Y765" s="241" t="s">
        <v>617</v>
      </c>
      <c r="Z765" s="168"/>
    </row>
    <row r="766" spans="1:26" s="4" customFormat="1" ht="15" customHeight="1">
      <c r="A766" s="164" t="s">
        <v>812</v>
      </c>
      <c r="B766" s="29" t="s">
        <v>395</v>
      </c>
      <c r="C766" s="4" t="s">
        <v>4632</v>
      </c>
      <c r="D766" s="130"/>
      <c r="E766" s="2">
        <v>45481</v>
      </c>
      <c r="F766" s="60">
        <f t="shared" si="77"/>
        <v>45495</v>
      </c>
      <c r="G766" s="2" t="s">
        <v>42</v>
      </c>
      <c r="H766" s="41" t="s">
        <v>2476</v>
      </c>
      <c r="I766" s="15" t="s">
        <v>4633</v>
      </c>
      <c r="J766" s="1" t="s">
        <v>844</v>
      </c>
      <c r="K766" s="1" t="s">
        <v>31</v>
      </c>
      <c r="L766" s="1">
        <v>85338</v>
      </c>
      <c r="M766" s="1" t="s">
        <v>32</v>
      </c>
      <c r="O766" s="1" t="s">
        <v>4634</v>
      </c>
      <c r="P766" s="1" t="s">
        <v>4635</v>
      </c>
      <c r="Q766" s="87" t="s">
        <v>4636</v>
      </c>
      <c r="R766" s="31">
        <v>93838</v>
      </c>
      <c r="V766" s="4" t="s">
        <v>443</v>
      </c>
      <c r="W766" s="4" t="s">
        <v>37</v>
      </c>
      <c r="X766" s="4" t="s">
        <v>616</v>
      </c>
      <c r="Y766" s="235" t="s">
        <v>617</v>
      </c>
      <c r="Z766" s="167" t="s">
        <v>364</v>
      </c>
    </row>
    <row r="767" spans="1:26" s="4" customFormat="1" ht="15" customHeight="1">
      <c r="A767" s="163" t="s">
        <v>25</v>
      </c>
      <c r="B767" s="29" t="s">
        <v>4637</v>
      </c>
      <c r="C767" s="4" t="s">
        <v>4638</v>
      </c>
      <c r="D767" s="130"/>
      <c r="E767" s="2">
        <v>45502</v>
      </c>
      <c r="F767" s="2">
        <f t="shared" si="77"/>
        <v>45516</v>
      </c>
      <c r="G767" s="2" t="s">
        <v>42</v>
      </c>
      <c r="H767" s="41">
        <v>2165</v>
      </c>
      <c r="I767" s="15" t="s">
        <v>4639</v>
      </c>
      <c r="J767" s="1" t="s">
        <v>63</v>
      </c>
      <c r="K767" s="1" t="s">
        <v>31</v>
      </c>
      <c r="L767" s="1">
        <v>85215</v>
      </c>
      <c r="M767" s="1" t="s">
        <v>32</v>
      </c>
      <c r="O767" s="1" t="s">
        <v>4640</v>
      </c>
      <c r="P767" s="1" t="s">
        <v>4641</v>
      </c>
      <c r="Q767" s="271"/>
      <c r="R767" s="31">
        <v>101671</v>
      </c>
      <c r="V767" s="4" t="s">
        <v>36</v>
      </c>
      <c r="W767" s="4" t="s">
        <v>37</v>
      </c>
      <c r="X767" s="1" t="s">
        <v>59</v>
      </c>
      <c r="Y767" s="167" t="s">
        <v>39</v>
      </c>
    </row>
    <row r="768" spans="1:26" s="4" customFormat="1" ht="18.75" customHeight="1">
      <c r="A768" s="163" t="s">
        <v>25</v>
      </c>
      <c r="B768" s="15" t="s">
        <v>478</v>
      </c>
      <c r="C768" s="4" t="s">
        <v>4642</v>
      </c>
      <c r="D768" s="130"/>
      <c r="E768" s="2">
        <v>45503</v>
      </c>
      <c r="F768" s="2">
        <f t="shared" si="77"/>
        <v>45517</v>
      </c>
      <c r="G768" s="2" t="s">
        <v>42</v>
      </c>
      <c r="H768" s="41">
        <v>1601</v>
      </c>
      <c r="I768" s="15" t="s">
        <v>4643</v>
      </c>
      <c r="J768" s="1" t="s">
        <v>63</v>
      </c>
      <c r="K768" s="1" t="s">
        <v>31</v>
      </c>
      <c r="L768" s="1">
        <v>85202</v>
      </c>
      <c r="M768" s="1" t="s">
        <v>32</v>
      </c>
      <c r="O768" s="1" t="s">
        <v>4644</v>
      </c>
      <c r="P768" s="1" t="s">
        <v>4645</v>
      </c>
      <c r="Q768" s="87" t="s">
        <v>4646</v>
      </c>
      <c r="R768" s="174"/>
      <c r="V768" s="4" t="s">
        <v>36</v>
      </c>
      <c r="W768" s="4" t="s">
        <v>37</v>
      </c>
      <c r="X768" s="4" t="s">
        <v>38</v>
      </c>
      <c r="Y768" s="235" t="s">
        <v>39</v>
      </c>
    </row>
    <row r="769" spans="1:38" s="4" customFormat="1" ht="20.25" customHeight="1">
      <c r="A769" s="164" t="s">
        <v>812</v>
      </c>
      <c r="B769" s="29" t="s">
        <v>412</v>
      </c>
      <c r="C769" s="4" t="s">
        <v>4647</v>
      </c>
      <c r="D769" s="130"/>
      <c r="E769" s="2">
        <v>45488</v>
      </c>
      <c r="F769" s="2">
        <f t="shared" si="77"/>
        <v>45502</v>
      </c>
      <c r="G769" s="2" t="s">
        <v>28</v>
      </c>
      <c r="H769" s="41">
        <v>20350</v>
      </c>
      <c r="I769" s="15" t="s">
        <v>4648</v>
      </c>
      <c r="J769" s="1" t="s">
        <v>434</v>
      </c>
      <c r="K769" s="1" t="s">
        <v>31</v>
      </c>
      <c r="L769" s="1">
        <v>85027</v>
      </c>
      <c r="M769" s="1" t="s">
        <v>32</v>
      </c>
      <c r="O769" s="1" t="s">
        <v>4649</v>
      </c>
      <c r="P769" s="1" t="s">
        <v>4650</v>
      </c>
      <c r="Q769" s="1" t="s">
        <v>4651</v>
      </c>
      <c r="R769" s="31">
        <v>92558</v>
      </c>
      <c r="V769" s="4" t="s">
        <v>443</v>
      </c>
      <c r="W769" s="4" t="s">
        <v>37</v>
      </c>
      <c r="X769" s="4" t="s">
        <v>616</v>
      </c>
      <c r="Y769" s="235" t="s">
        <v>617</v>
      </c>
    </row>
    <row r="770" spans="1:38" s="4" customFormat="1" ht="18" customHeight="1">
      <c r="A770" s="164" t="s">
        <v>812</v>
      </c>
      <c r="B770" s="29" t="s">
        <v>907</v>
      </c>
      <c r="C770" s="4" t="s">
        <v>4652</v>
      </c>
      <c r="D770" s="2"/>
      <c r="E770" s="2">
        <v>45488</v>
      </c>
      <c r="F770" s="2">
        <f t="shared" si="77"/>
        <v>45502</v>
      </c>
      <c r="G770" s="2" t="s">
        <v>42</v>
      </c>
      <c r="H770" s="41">
        <v>4701</v>
      </c>
      <c r="I770" s="15" t="s">
        <v>1580</v>
      </c>
      <c r="J770" s="1" t="s">
        <v>822</v>
      </c>
      <c r="K770" s="1" t="s">
        <v>31</v>
      </c>
      <c r="L770" s="1">
        <v>85304</v>
      </c>
      <c r="M770" s="1" t="s">
        <v>32</v>
      </c>
      <c r="O770" s="179" t="s">
        <v>4653</v>
      </c>
      <c r="P770" s="179" t="s">
        <v>4654</v>
      </c>
      <c r="Q770" s="184" t="s">
        <v>4655</v>
      </c>
      <c r="R770" s="178">
        <v>103048</v>
      </c>
      <c r="V770" s="4" t="s">
        <v>443</v>
      </c>
      <c r="W770" s="4" t="s">
        <v>37</v>
      </c>
      <c r="X770" s="4" t="s">
        <v>616</v>
      </c>
      <c r="Y770" s="241" t="s">
        <v>617</v>
      </c>
      <c r="Z770" s="167" t="s">
        <v>364</v>
      </c>
    </row>
    <row r="771" spans="1:38" s="4" customFormat="1">
      <c r="A771" s="164" t="s">
        <v>812</v>
      </c>
      <c r="B771" s="29" t="s">
        <v>1213</v>
      </c>
      <c r="C771" s="4" t="s">
        <v>4656</v>
      </c>
      <c r="D771" s="130"/>
      <c r="E771" s="2">
        <v>45489</v>
      </c>
      <c r="F771" s="2">
        <f t="shared" si="77"/>
        <v>45503</v>
      </c>
      <c r="G771" s="2" t="s">
        <v>42</v>
      </c>
      <c r="H771" s="41">
        <v>50</v>
      </c>
      <c r="I771" s="15" t="s">
        <v>4657</v>
      </c>
      <c r="J771" s="1" t="s">
        <v>873</v>
      </c>
      <c r="K771" s="1" t="s">
        <v>31</v>
      </c>
      <c r="L771" s="1">
        <v>85323</v>
      </c>
      <c r="M771" s="1" t="s">
        <v>32</v>
      </c>
      <c r="O771" s="1" t="s">
        <v>1216</v>
      </c>
      <c r="P771" s="1" t="s">
        <v>1217</v>
      </c>
      <c r="Q771" s="228" t="s">
        <v>4658</v>
      </c>
      <c r="R771" s="31">
        <v>97550</v>
      </c>
      <c r="V771" s="4" t="s">
        <v>443</v>
      </c>
      <c r="W771" s="4" t="s">
        <v>37</v>
      </c>
      <c r="X771" s="4" t="s">
        <v>616</v>
      </c>
      <c r="Y771" s="241" t="s">
        <v>617</v>
      </c>
      <c r="Z771" s="167" t="s">
        <v>364</v>
      </c>
    </row>
    <row r="772" spans="1:38" s="4" customFormat="1" ht="17.25" customHeight="1">
      <c r="A772" s="164" t="s">
        <v>812</v>
      </c>
      <c r="B772" s="15" t="s">
        <v>226</v>
      </c>
      <c r="C772" s="4" t="s">
        <v>4659</v>
      </c>
      <c r="D772" s="257"/>
      <c r="E772" s="2">
        <v>45491</v>
      </c>
      <c r="F772" s="2">
        <f t="shared" si="77"/>
        <v>45505</v>
      </c>
      <c r="G772" s="2" t="s">
        <v>42</v>
      </c>
      <c r="H772" s="41">
        <v>13430</v>
      </c>
      <c r="I772" s="15" t="s">
        <v>4660</v>
      </c>
      <c r="J772" s="1" t="s">
        <v>837</v>
      </c>
      <c r="K772" s="1" t="s">
        <v>31</v>
      </c>
      <c r="L772" s="1">
        <v>85379</v>
      </c>
      <c r="M772" s="1" t="s">
        <v>32</v>
      </c>
      <c r="O772" s="1" t="s">
        <v>4661</v>
      </c>
      <c r="P772" s="1" t="s">
        <v>4662</v>
      </c>
      <c r="Q772" s="98" t="s">
        <v>4663</v>
      </c>
      <c r="R772" s="31">
        <v>99808</v>
      </c>
      <c r="V772" s="4" t="s">
        <v>443</v>
      </c>
      <c r="W772" s="4" t="s">
        <v>37</v>
      </c>
      <c r="X772" s="4" t="s">
        <v>616</v>
      </c>
      <c r="Y772" s="235" t="s">
        <v>617</v>
      </c>
      <c r="Z772" s="167" t="s">
        <v>364</v>
      </c>
    </row>
    <row r="773" spans="1:38" s="4" customFormat="1" ht="18" customHeight="1">
      <c r="A773" s="164" t="s">
        <v>812</v>
      </c>
      <c r="B773" s="29" t="s">
        <v>1128</v>
      </c>
      <c r="C773" s="260" t="s">
        <v>4664</v>
      </c>
      <c r="D773" s="130"/>
      <c r="E773" s="2">
        <v>45491</v>
      </c>
      <c r="F773" s="2">
        <f t="shared" si="77"/>
        <v>45505</v>
      </c>
      <c r="G773" s="2" t="s">
        <v>28</v>
      </c>
      <c r="H773" s="41" t="s">
        <v>379</v>
      </c>
      <c r="I773" s="15" t="s">
        <v>4665</v>
      </c>
      <c r="J773" s="1" t="s">
        <v>837</v>
      </c>
      <c r="K773" s="1" t="s">
        <v>31</v>
      </c>
      <c r="L773" s="1"/>
      <c r="M773" s="1" t="s">
        <v>32</v>
      </c>
      <c r="O773" s="1" t="s">
        <v>4666</v>
      </c>
      <c r="P773" s="1" t="s">
        <v>4667</v>
      </c>
      <c r="Q773" s="87" t="s">
        <v>4668</v>
      </c>
      <c r="R773" s="31">
        <v>100406</v>
      </c>
      <c r="V773" s="4" t="s">
        <v>443</v>
      </c>
      <c r="W773" s="4" t="s">
        <v>37</v>
      </c>
      <c r="X773" s="4" t="s">
        <v>616</v>
      </c>
      <c r="Y773" s="235" t="s">
        <v>617</v>
      </c>
    </row>
    <row r="774" spans="1:38" s="4" customFormat="1" ht="18.75" customHeight="1">
      <c r="A774" s="164" t="s">
        <v>812</v>
      </c>
      <c r="B774" s="29" t="s">
        <v>4669</v>
      </c>
      <c r="C774" s="4" t="s">
        <v>4670</v>
      </c>
      <c r="D774" s="130" t="s">
        <v>516</v>
      </c>
      <c r="E774" s="2">
        <v>45488</v>
      </c>
      <c r="F774" s="2">
        <f>E774+28</f>
        <v>45516</v>
      </c>
      <c r="G774" s="2" t="s">
        <v>42</v>
      </c>
      <c r="H774" s="41">
        <v>5303</v>
      </c>
      <c r="I774" s="15" t="s">
        <v>1286</v>
      </c>
      <c r="J774" s="1" t="s">
        <v>1348</v>
      </c>
      <c r="K774" s="1" t="s">
        <v>31</v>
      </c>
      <c r="L774" s="1">
        <v>85306</v>
      </c>
      <c r="M774" s="1" t="s">
        <v>32</v>
      </c>
      <c r="O774" s="1" t="s">
        <v>4671</v>
      </c>
      <c r="P774" s="1" t="s">
        <v>4672</v>
      </c>
      <c r="Q774" s="87" t="s">
        <v>4673</v>
      </c>
      <c r="R774" s="174"/>
      <c r="V774" s="4" t="s">
        <v>443</v>
      </c>
      <c r="W774" s="4" t="s">
        <v>37</v>
      </c>
      <c r="X774" s="4" t="s">
        <v>616</v>
      </c>
      <c r="Y774" s="235" t="s">
        <v>617</v>
      </c>
      <c r="Z774" s="167" t="s">
        <v>364</v>
      </c>
    </row>
    <row r="775" spans="1:38" s="187" customFormat="1" ht="15" customHeight="1">
      <c r="A775" s="163" t="s">
        <v>25</v>
      </c>
      <c r="B775" s="29" t="s">
        <v>60</v>
      </c>
      <c r="C775" s="4" t="s">
        <v>4674</v>
      </c>
      <c r="D775" s="130"/>
      <c r="E775" s="2">
        <v>45499</v>
      </c>
      <c r="F775" s="2">
        <f t="shared" ref="F775:F779" si="78">E775+14</f>
        <v>45513</v>
      </c>
      <c r="G775" s="2" t="s">
        <v>42</v>
      </c>
      <c r="H775" s="41">
        <v>6934</v>
      </c>
      <c r="I775" s="15" t="s">
        <v>113</v>
      </c>
      <c r="J775" s="1" t="s">
        <v>63</v>
      </c>
      <c r="K775" s="1" t="s">
        <v>31</v>
      </c>
      <c r="L775" s="1">
        <v>85212</v>
      </c>
      <c r="M775" s="1" t="s">
        <v>32</v>
      </c>
      <c r="N775" s="4"/>
      <c r="O775" s="1" t="s">
        <v>4675</v>
      </c>
      <c r="P775" s="1" t="s">
        <v>4676</v>
      </c>
      <c r="Q775" s="1" t="s">
        <v>4677</v>
      </c>
      <c r="R775" s="31">
        <v>94467</v>
      </c>
      <c r="S775" s="4"/>
      <c r="T775" s="4"/>
      <c r="U775" s="4"/>
      <c r="V775" s="4" t="s">
        <v>36</v>
      </c>
      <c r="W775" s="4" t="s">
        <v>37</v>
      </c>
      <c r="X775" s="1" t="s">
        <v>59</v>
      </c>
      <c r="Y775" s="167" t="s">
        <v>39</v>
      </c>
      <c r="Z775" s="4"/>
      <c r="AA775" s="4"/>
      <c r="AB775" s="4"/>
      <c r="AC775" s="4"/>
      <c r="AD775" s="4"/>
      <c r="AE775" s="4"/>
      <c r="AF775" s="4"/>
      <c r="AG775" s="4"/>
      <c r="AH775" s="4"/>
      <c r="AI775" s="4"/>
      <c r="AJ775" s="4"/>
      <c r="AK775" s="4"/>
      <c r="AL775" s="4"/>
    </row>
    <row r="776" spans="1:38" s="4" customFormat="1" ht="15" customHeight="1">
      <c r="A776" s="163" t="s">
        <v>25</v>
      </c>
      <c r="B776" s="29" t="s">
        <v>2496</v>
      </c>
      <c r="C776" s="4" t="s">
        <v>4678</v>
      </c>
      <c r="D776" s="130"/>
      <c r="E776" s="2">
        <v>45502</v>
      </c>
      <c r="F776" s="2">
        <f t="shared" si="78"/>
        <v>45516</v>
      </c>
      <c r="G776" s="2" t="s">
        <v>28</v>
      </c>
      <c r="H776" s="41">
        <v>1255</v>
      </c>
      <c r="I776" s="15" t="s">
        <v>492</v>
      </c>
      <c r="J776" s="1" t="s">
        <v>415</v>
      </c>
      <c r="K776" s="1" t="s">
        <v>31</v>
      </c>
      <c r="L776" s="1">
        <v>85281</v>
      </c>
      <c r="M776" s="1" t="s">
        <v>32</v>
      </c>
      <c r="O776" s="1" t="s">
        <v>4679</v>
      </c>
      <c r="P776" s="1" t="s">
        <v>4680</v>
      </c>
      <c r="Q776" s="87" t="s">
        <v>4681</v>
      </c>
      <c r="R776" s="31">
        <v>98536</v>
      </c>
      <c r="V776" s="4" t="s">
        <v>36</v>
      </c>
      <c r="W776" s="4" t="s">
        <v>37</v>
      </c>
      <c r="X776" s="1" t="s">
        <v>59</v>
      </c>
      <c r="Y776" s="167" t="s">
        <v>39</v>
      </c>
    </row>
    <row r="777" spans="1:38">
      <c r="A777" s="163" t="s">
        <v>25</v>
      </c>
      <c r="B777" s="29" t="s">
        <v>618</v>
      </c>
      <c r="C777" s="143" t="s">
        <v>4682</v>
      </c>
      <c r="E777" s="200">
        <v>45500</v>
      </c>
      <c r="F777" s="2">
        <f t="shared" si="78"/>
        <v>45514</v>
      </c>
      <c r="H777" s="25" t="s">
        <v>4683</v>
      </c>
      <c r="I777" s="25" t="s">
        <v>4684</v>
      </c>
      <c r="J777" s="25" t="s">
        <v>4685</v>
      </c>
      <c r="K777" s="25" t="s">
        <v>31</v>
      </c>
      <c r="L777" s="25">
        <v>86505</v>
      </c>
    </row>
    <row r="778" spans="1:38" s="4" customFormat="1" ht="18" customHeight="1">
      <c r="A778" s="163" t="s">
        <v>25</v>
      </c>
      <c r="B778" s="29" t="s">
        <v>4686</v>
      </c>
      <c r="C778" s="4" t="s">
        <v>4687</v>
      </c>
      <c r="D778" s="130"/>
      <c r="E778" s="2">
        <v>45509</v>
      </c>
      <c r="F778" s="2">
        <f t="shared" si="78"/>
        <v>45523</v>
      </c>
      <c r="G778" s="2" t="s">
        <v>28</v>
      </c>
      <c r="H778" s="41">
        <v>5500</v>
      </c>
      <c r="I778" s="15" t="s">
        <v>4688</v>
      </c>
      <c r="J778" s="1" t="s">
        <v>398</v>
      </c>
      <c r="K778" s="1" t="s">
        <v>31</v>
      </c>
      <c r="L778" s="1">
        <v>85251</v>
      </c>
      <c r="M778" s="1" t="s">
        <v>32</v>
      </c>
      <c r="O778" s="1" t="s">
        <v>4689</v>
      </c>
      <c r="P778" s="1" t="s">
        <v>4690</v>
      </c>
      <c r="Q778" s="87" t="s">
        <v>4691</v>
      </c>
      <c r="R778" s="31" t="s">
        <v>4616</v>
      </c>
      <c r="V778" s="4" t="s">
        <v>36</v>
      </c>
      <c r="W778" s="4" t="s">
        <v>37</v>
      </c>
      <c r="X778" s="1" t="s">
        <v>59</v>
      </c>
      <c r="Y778" s="167" t="s">
        <v>39</v>
      </c>
    </row>
    <row r="779" spans="1:38" s="4" customFormat="1" ht="18.75" customHeight="1">
      <c r="A779" s="164" t="s">
        <v>812</v>
      </c>
      <c r="B779" s="29" t="s">
        <v>4692</v>
      </c>
      <c r="C779" s="4" t="s">
        <v>4693</v>
      </c>
      <c r="D779" s="2"/>
      <c r="E779" s="2">
        <v>45510</v>
      </c>
      <c r="F779" s="2">
        <f t="shared" si="78"/>
        <v>45524</v>
      </c>
      <c r="G779" s="2" t="s">
        <v>42</v>
      </c>
      <c r="H779" s="41">
        <v>5835</v>
      </c>
      <c r="I779" s="15" t="s">
        <v>2523</v>
      </c>
      <c r="J779" s="1" t="s">
        <v>822</v>
      </c>
      <c r="K779" s="1" t="s">
        <v>31</v>
      </c>
      <c r="L779" s="1">
        <v>85303</v>
      </c>
      <c r="M779" s="1" t="s">
        <v>32</v>
      </c>
      <c r="O779" s="253" t="s">
        <v>4694</v>
      </c>
      <c r="P779" s="1" t="s">
        <v>4695</v>
      </c>
      <c r="Q779" s="87" t="s">
        <v>4696</v>
      </c>
      <c r="R779" s="178">
        <v>101445</v>
      </c>
      <c r="V779" s="4" t="s">
        <v>443</v>
      </c>
      <c r="W779" s="4" t="s">
        <v>37</v>
      </c>
      <c r="X779" s="4" t="s">
        <v>616</v>
      </c>
      <c r="Y779" s="235" t="s">
        <v>617</v>
      </c>
      <c r="Z779" s="167" t="s">
        <v>364</v>
      </c>
    </row>
    <row r="780" spans="1:38" s="4" customFormat="1" ht="18" customHeight="1">
      <c r="A780" s="164" t="s">
        <v>812</v>
      </c>
      <c r="B780" s="29" t="s">
        <v>1040</v>
      </c>
      <c r="C780" s="4" t="s">
        <v>4697</v>
      </c>
      <c r="D780" s="130"/>
      <c r="E780" s="2">
        <v>45518</v>
      </c>
      <c r="F780" s="2">
        <f>E780+14</f>
        <v>45532</v>
      </c>
      <c r="G780" s="2" t="s">
        <v>42</v>
      </c>
      <c r="H780" s="41" t="s">
        <v>4129</v>
      </c>
      <c r="I780" s="15" t="s">
        <v>4698</v>
      </c>
      <c r="J780" s="1" t="s">
        <v>434</v>
      </c>
      <c r="K780" s="1" t="s">
        <v>31</v>
      </c>
      <c r="L780" s="1"/>
      <c r="M780" s="1" t="s">
        <v>32</v>
      </c>
      <c r="O780" s="179" t="s">
        <v>1043</v>
      </c>
      <c r="P780" s="179" t="s">
        <v>1044</v>
      </c>
      <c r="Q780" s="184" t="s">
        <v>1045</v>
      </c>
      <c r="R780" s="31">
        <v>100973</v>
      </c>
      <c r="V780" s="4" t="s">
        <v>443</v>
      </c>
      <c r="W780" s="4" t="s">
        <v>37</v>
      </c>
      <c r="X780" s="4" t="s">
        <v>616</v>
      </c>
      <c r="Y780" s="235" t="s">
        <v>617</v>
      </c>
      <c r="Z780" s="167" t="s">
        <v>364</v>
      </c>
    </row>
    <row r="781" spans="1:38" s="4" customFormat="1">
      <c r="A781" s="164" t="s">
        <v>812</v>
      </c>
      <c r="B781" s="29" t="s">
        <v>4699</v>
      </c>
      <c r="C781" s="4" t="s">
        <v>4700</v>
      </c>
      <c r="D781" s="2"/>
      <c r="E781" s="2">
        <v>45516</v>
      </c>
      <c r="F781" s="2">
        <f>E781+14</f>
        <v>45530</v>
      </c>
      <c r="G781" s="2" t="s">
        <v>28</v>
      </c>
      <c r="H781" s="1">
        <v>28575</v>
      </c>
      <c r="I781" s="65" t="s">
        <v>4701</v>
      </c>
      <c r="J781" s="1" t="s">
        <v>434</v>
      </c>
      <c r="K781" s="1" t="s">
        <v>31</v>
      </c>
      <c r="L781" s="1"/>
      <c r="M781" s="1" t="s">
        <v>32</v>
      </c>
      <c r="O781" s="1" t="s">
        <v>4702</v>
      </c>
      <c r="P781" s="73" t="s">
        <v>4703</v>
      </c>
      <c r="Q781" s="184" t="s">
        <v>4704</v>
      </c>
      <c r="R781" s="31">
        <v>92567</v>
      </c>
      <c r="V781" s="4" t="s">
        <v>443</v>
      </c>
      <c r="W781" s="4" t="s">
        <v>37</v>
      </c>
      <c r="X781" s="4" t="s">
        <v>616</v>
      </c>
      <c r="Y781" s="235" t="s">
        <v>617</v>
      </c>
      <c r="Z781" s="167" t="s">
        <v>364</v>
      </c>
    </row>
    <row r="782" spans="1:38" s="4" customFormat="1" ht="16.5" customHeight="1">
      <c r="A782" s="164" t="s">
        <v>812</v>
      </c>
      <c r="B782" s="15" t="s">
        <v>87</v>
      </c>
      <c r="C782" s="29" t="s">
        <v>4705</v>
      </c>
      <c r="D782" s="2"/>
      <c r="E782" s="2">
        <v>45517</v>
      </c>
      <c r="F782" s="2">
        <f t="shared" ref="F782:F783" si="79">E782+14</f>
        <v>45531</v>
      </c>
      <c r="G782" s="2" t="s">
        <v>28</v>
      </c>
      <c r="H782" s="1">
        <v>351</v>
      </c>
      <c r="I782" s="15" t="s">
        <v>1215</v>
      </c>
      <c r="J782" s="1" t="s">
        <v>873</v>
      </c>
      <c r="K782" s="1" t="s">
        <v>31</v>
      </c>
      <c r="L782" s="1">
        <v>85323</v>
      </c>
      <c r="M782" s="1" t="s">
        <v>32</v>
      </c>
      <c r="O782" s="1" t="s">
        <v>4125</v>
      </c>
      <c r="P782" s="1" t="s">
        <v>4706</v>
      </c>
      <c r="Q782" s="255" t="s">
        <v>4707</v>
      </c>
      <c r="R782" s="173"/>
      <c r="V782" s="4" t="s">
        <v>443</v>
      </c>
      <c r="W782" s="4" t="s">
        <v>37</v>
      </c>
      <c r="X782" s="4" t="s">
        <v>616</v>
      </c>
      <c r="Y782" s="241" t="s">
        <v>617</v>
      </c>
      <c r="Z782" s="168"/>
    </row>
    <row r="783" spans="1:38" s="4" customFormat="1" ht="18" customHeight="1">
      <c r="A783" s="163" t="s">
        <v>25</v>
      </c>
      <c r="B783" s="29" t="s">
        <v>412</v>
      </c>
      <c r="C783" s="4" t="s">
        <v>4708</v>
      </c>
      <c r="D783" s="130"/>
      <c r="E783" s="2">
        <v>45520</v>
      </c>
      <c r="F783" s="2">
        <f t="shared" si="79"/>
        <v>45534</v>
      </c>
      <c r="G783" s="2" t="s">
        <v>28</v>
      </c>
      <c r="H783" s="41">
        <v>426</v>
      </c>
      <c r="I783" s="15" t="s">
        <v>4709</v>
      </c>
      <c r="J783" s="1" t="s">
        <v>415</v>
      </c>
      <c r="K783" s="1" t="s">
        <v>31</v>
      </c>
      <c r="L783" s="1"/>
      <c r="M783" s="1" t="s">
        <v>32</v>
      </c>
      <c r="O783" s="1" t="s">
        <v>4710</v>
      </c>
      <c r="P783" s="1" t="s">
        <v>4711</v>
      </c>
      <c r="Q783" s="87" t="s">
        <v>4712</v>
      </c>
      <c r="R783" s="31">
        <v>97103</v>
      </c>
      <c r="V783" s="4" t="s">
        <v>36</v>
      </c>
      <c r="W783" s="4" t="s">
        <v>37</v>
      </c>
      <c r="X783" s="1" t="s">
        <v>59</v>
      </c>
      <c r="Y783" s="167" t="s">
        <v>39</v>
      </c>
    </row>
    <row r="784" spans="1:38" s="4" customFormat="1" ht="19.5" customHeight="1">
      <c r="A784" s="164" t="s">
        <v>812</v>
      </c>
      <c r="B784" s="29" t="s">
        <v>412</v>
      </c>
      <c r="C784" s="4" t="s">
        <v>4713</v>
      </c>
      <c r="D784" s="130"/>
      <c r="E784" s="2">
        <v>45516</v>
      </c>
      <c r="F784" s="2">
        <f>E784+14</f>
        <v>45530</v>
      </c>
      <c r="G784" s="2" t="s">
        <v>28</v>
      </c>
      <c r="H784" s="41">
        <v>15431</v>
      </c>
      <c r="I784" s="15" t="s">
        <v>4714</v>
      </c>
      <c r="J784" s="1" t="s">
        <v>822</v>
      </c>
      <c r="K784" s="1" t="s">
        <v>31</v>
      </c>
      <c r="L784" s="1">
        <v>85306</v>
      </c>
      <c r="M784" s="1" t="s">
        <v>32</v>
      </c>
      <c r="O784" s="1" t="s">
        <v>4715</v>
      </c>
      <c r="P784" s="1" t="s">
        <v>4716</v>
      </c>
      <c r="Q784" s="1" t="s">
        <v>4717</v>
      </c>
      <c r="R784" s="31">
        <v>95885</v>
      </c>
      <c r="V784" s="4" t="s">
        <v>443</v>
      </c>
      <c r="W784" s="4" t="s">
        <v>37</v>
      </c>
      <c r="X784" s="4" t="s">
        <v>616</v>
      </c>
      <c r="Y784" s="235" t="s">
        <v>617</v>
      </c>
    </row>
    <row r="785" spans="1:26" s="4" customFormat="1" ht="19.5" customHeight="1">
      <c r="A785" s="164" t="s">
        <v>812</v>
      </c>
      <c r="B785" s="29" t="s">
        <v>4254</v>
      </c>
      <c r="C785" s="4" t="s">
        <v>4718</v>
      </c>
      <c r="D785" s="130" t="s">
        <v>516</v>
      </c>
      <c r="E785" s="2">
        <v>45517</v>
      </c>
      <c r="F785" s="2">
        <f>E785+28</f>
        <v>45545</v>
      </c>
      <c r="G785" s="2" t="s">
        <v>28</v>
      </c>
      <c r="H785" s="41">
        <v>1700</v>
      </c>
      <c r="I785" s="15" t="s">
        <v>4719</v>
      </c>
      <c r="J785" s="1" t="s">
        <v>873</v>
      </c>
      <c r="K785" s="1" t="s">
        <v>31</v>
      </c>
      <c r="L785" s="1">
        <v>85395</v>
      </c>
      <c r="M785" s="1" t="s">
        <v>32</v>
      </c>
      <c r="O785" s="1" t="s">
        <v>4720</v>
      </c>
      <c r="P785" s="1" t="s">
        <v>4721</v>
      </c>
      <c r="Q785" s="129" t="s">
        <v>4722</v>
      </c>
      <c r="R785" s="31">
        <v>94544</v>
      </c>
      <c r="V785" s="4" t="s">
        <v>443</v>
      </c>
      <c r="W785" s="4" t="s">
        <v>37</v>
      </c>
      <c r="X785" s="4" t="s">
        <v>616</v>
      </c>
      <c r="Y785" s="235" t="s">
        <v>617</v>
      </c>
      <c r="Z785" s="167" t="s">
        <v>364</v>
      </c>
    </row>
    <row r="786" spans="1:26" s="4" customFormat="1" ht="18" customHeight="1">
      <c r="A786" s="258" t="s">
        <v>812</v>
      </c>
      <c r="B786" s="70" t="s">
        <v>4723</v>
      </c>
      <c r="C786" s="56" t="s">
        <v>4724</v>
      </c>
      <c r="D786" s="130" t="s">
        <v>516</v>
      </c>
      <c r="E786" s="2">
        <v>45506</v>
      </c>
      <c r="F786" s="2">
        <f>E786+28</f>
        <v>45534</v>
      </c>
      <c r="G786" s="2" t="s">
        <v>28</v>
      </c>
      <c r="H786" s="41">
        <v>8535</v>
      </c>
      <c r="I786" s="80" t="s">
        <v>921</v>
      </c>
      <c r="J786" s="55" t="s">
        <v>916</v>
      </c>
      <c r="K786" s="55" t="s">
        <v>31</v>
      </c>
      <c r="L786" s="1">
        <v>85715</v>
      </c>
      <c r="M786" s="55" t="s">
        <v>32</v>
      </c>
      <c r="N786" s="56"/>
      <c r="O786" s="55" t="s">
        <v>4725</v>
      </c>
      <c r="P786" s="55" t="s">
        <v>4726</v>
      </c>
      <c r="Q786" s="89" t="s">
        <v>4727</v>
      </c>
      <c r="R786" s="259">
        <v>100908</v>
      </c>
      <c r="V786" s="4" t="s">
        <v>443</v>
      </c>
      <c r="W786" s="4" t="s">
        <v>37</v>
      </c>
      <c r="X786" s="4" t="s">
        <v>616</v>
      </c>
      <c r="Y786" s="235" t="s">
        <v>617</v>
      </c>
      <c r="Z786" s="167" t="s">
        <v>364</v>
      </c>
    </row>
    <row r="787" spans="1:26" s="4" customFormat="1" ht="18" customHeight="1">
      <c r="A787" s="163" t="s">
        <v>25</v>
      </c>
      <c r="B787" s="15" t="s">
        <v>478</v>
      </c>
      <c r="C787" s="29" t="s">
        <v>4728</v>
      </c>
      <c r="E787" s="2">
        <v>45530</v>
      </c>
      <c r="F787" s="2">
        <f t="shared" ref="F787:F788" si="80">E787+14</f>
        <v>45544</v>
      </c>
      <c r="G787" s="1" t="s">
        <v>42</v>
      </c>
      <c r="H787" s="1" t="s">
        <v>528</v>
      </c>
      <c r="I787" s="4" t="s">
        <v>4729</v>
      </c>
      <c r="J787" s="1" t="s">
        <v>69</v>
      </c>
      <c r="K787" s="1" t="s">
        <v>31</v>
      </c>
      <c r="L787" s="1">
        <v>85142</v>
      </c>
      <c r="M787" s="1" t="s">
        <v>32</v>
      </c>
      <c r="O787" s="1" t="s">
        <v>4730</v>
      </c>
      <c r="P787" s="1" t="s">
        <v>4731</v>
      </c>
      <c r="Q787" s="87" t="s">
        <v>4732</v>
      </c>
      <c r="R787" s="1">
        <v>98514</v>
      </c>
      <c r="V787" s="4" t="s">
        <v>36</v>
      </c>
      <c r="W787" s="4" t="s">
        <v>37</v>
      </c>
      <c r="X787" s="4" t="s">
        <v>38</v>
      </c>
      <c r="Y787" s="235" t="s">
        <v>39</v>
      </c>
      <c r="Z787" s="168"/>
    </row>
    <row r="788" spans="1:26" s="4" customFormat="1" ht="15" customHeight="1">
      <c r="A788" s="163" t="s">
        <v>25</v>
      </c>
      <c r="B788" s="15" t="s">
        <v>4733</v>
      </c>
      <c r="C788" s="29" t="s">
        <v>4734</v>
      </c>
      <c r="D788" s="1"/>
      <c r="E788" s="2">
        <v>45547</v>
      </c>
      <c r="F788" s="2">
        <f t="shared" si="80"/>
        <v>45561</v>
      </c>
      <c r="G788" s="1" t="s">
        <v>28</v>
      </c>
      <c r="H788" s="76">
        <v>3800</v>
      </c>
      <c r="I788" s="15" t="s">
        <v>4735</v>
      </c>
      <c r="J788" s="1" t="s">
        <v>398</v>
      </c>
      <c r="K788" s="1" t="s">
        <v>31</v>
      </c>
      <c r="L788" s="1">
        <v>85251</v>
      </c>
      <c r="M788" s="1" t="s">
        <v>32</v>
      </c>
      <c r="N788" s="72"/>
      <c r="O788" s="1" t="s">
        <v>4736</v>
      </c>
      <c r="P788" s="1" t="s">
        <v>4737</v>
      </c>
      <c r="Q788" s="98" t="s">
        <v>4738</v>
      </c>
      <c r="R788" s="125" t="s">
        <v>4739</v>
      </c>
      <c r="V788" s="4" t="s">
        <v>36</v>
      </c>
      <c r="W788" s="4" t="s">
        <v>37</v>
      </c>
      <c r="X788" s="1" t="s">
        <v>59</v>
      </c>
      <c r="Y788" s="167" t="s">
        <v>39</v>
      </c>
      <c r="Z788" s="168"/>
    </row>
    <row r="789" spans="1:26" s="4" customFormat="1" ht="15" customHeight="1">
      <c r="A789" s="164" t="s">
        <v>812</v>
      </c>
      <c r="B789" s="29" t="s">
        <v>3341</v>
      </c>
      <c r="C789" s="4" t="s">
        <v>4740</v>
      </c>
      <c r="D789" s="2"/>
      <c r="E789" s="2">
        <v>45532</v>
      </c>
      <c r="F789" s="2">
        <f>E789+14</f>
        <v>45546</v>
      </c>
      <c r="G789" s="2" t="s">
        <v>28</v>
      </c>
      <c r="H789" s="41">
        <v>5821</v>
      </c>
      <c r="I789" s="15" t="s">
        <v>1135</v>
      </c>
      <c r="J789" s="1" t="s">
        <v>434</v>
      </c>
      <c r="K789" s="1" t="s">
        <v>31</v>
      </c>
      <c r="L789" s="1">
        <v>85043</v>
      </c>
      <c r="M789" s="1" t="s">
        <v>32</v>
      </c>
      <c r="O789" s="1">
        <v>6023744028</v>
      </c>
      <c r="P789" s="1" t="s">
        <v>4741</v>
      </c>
      <c r="Q789" s="87" t="s">
        <v>4742</v>
      </c>
      <c r="R789" s="178">
        <v>90638</v>
      </c>
      <c r="V789" s="4" t="s">
        <v>443</v>
      </c>
      <c r="W789" s="4" t="s">
        <v>37</v>
      </c>
      <c r="X789" s="4" t="s">
        <v>616</v>
      </c>
      <c r="Y789" s="235" t="s">
        <v>617</v>
      </c>
      <c r="Z789" s="167" t="s">
        <v>364</v>
      </c>
    </row>
    <row r="790" spans="1:26" s="4" customFormat="1" ht="18.75" customHeight="1">
      <c r="A790" s="164" t="s">
        <v>812</v>
      </c>
      <c r="B790" s="29" t="s">
        <v>4743</v>
      </c>
      <c r="C790" s="4" t="s">
        <v>4744</v>
      </c>
      <c r="D790" s="2"/>
      <c r="E790" s="2">
        <v>45533</v>
      </c>
      <c r="F790" s="2">
        <f t="shared" ref="F790:F791" si="81">E790+14</f>
        <v>45547</v>
      </c>
      <c r="G790" s="2" t="s">
        <v>28</v>
      </c>
      <c r="H790" s="41">
        <v>28851</v>
      </c>
      <c r="I790" s="15" t="s">
        <v>4745</v>
      </c>
      <c r="J790" s="1" t="s">
        <v>851</v>
      </c>
      <c r="K790" s="1" t="s">
        <v>31</v>
      </c>
      <c r="L790" s="1">
        <v>85383</v>
      </c>
      <c r="M790" s="1" t="s">
        <v>32</v>
      </c>
      <c r="O790" s="1" t="s">
        <v>4746</v>
      </c>
      <c r="P790" s="1" t="s">
        <v>4747</v>
      </c>
      <c r="Q790" s="87" t="s">
        <v>4748</v>
      </c>
      <c r="R790" s="31">
        <v>90851</v>
      </c>
      <c r="V790" s="4" t="s">
        <v>443</v>
      </c>
      <c r="W790" s="4" t="s">
        <v>37</v>
      </c>
      <c r="X790" s="4" t="s">
        <v>616</v>
      </c>
      <c r="Y790" s="235" t="s">
        <v>617</v>
      </c>
      <c r="Z790" s="167" t="s">
        <v>364</v>
      </c>
    </row>
    <row r="791" spans="1:26" s="4" customFormat="1" ht="15" customHeight="1">
      <c r="A791" s="163" t="s">
        <v>25</v>
      </c>
      <c r="B791" s="15" t="s">
        <v>4749</v>
      </c>
      <c r="C791" s="29" t="s">
        <v>4750</v>
      </c>
      <c r="E791" s="2">
        <v>45537</v>
      </c>
      <c r="F791" s="2">
        <f t="shared" si="81"/>
        <v>45551</v>
      </c>
      <c r="G791" s="1" t="s">
        <v>28</v>
      </c>
      <c r="H791" s="1">
        <v>42410</v>
      </c>
      <c r="I791" s="4" t="s">
        <v>4751</v>
      </c>
      <c r="J791" s="1" t="s">
        <v>45</v>
      </c>
      <c r="K791" s="1" t="s">
        <v>31</v>
      </c>
      <c r="L791" s="1">
        <v>85138</v>
      </c>
      <c r="M791" s="1" t="s">
        <v>32</v>
      </c>
      <c r="O791" s="1" t="s">
        <v>4752</v>
      </c>
      <c r="P791" s="1" t="s">
        <v>4753</v>
      </c>
      <c r="Q791" s="87" t="s">
        <v>4754</v>
      </c>
      <c r="R791" s="1">
        <v>101155</v>
      </c>
      <c r="V791" s="4" t="s">
        <v>36</v>
      </c>
      <c r="W791" s="4" t="s">
        <v>37</v>
      </c>
      <c r="X791" s="4" t="s">
        <v>38</v>
      </c>
      <c r="Y791" s="235" t="s">
        <v>39</v>
      </c>
      <c r="Z791" s="168"/>
    </row>
    <row r="792" spans="1:26" s="4" customFormat="1" ht="18.75" customHeight="1">
      <c r="A792" s="164" t="s">
        <v>812</v>
      </c>
      <c r="B792" s="29" t="s">
        <v>559</v>
      </c>
      <c r="C792" s="4" t="s">
        <v>4755</v>
      </c>
      <c r="D792" s="130"/>
      <c r="E792" s="2">
        <v>45538</v>
      </c>
      <c r="F792" s="60">
        <f>E792+14</f>
        <v>45552</v>
      </c>
      <c r="G792" s="2" t="s">
        <v>42</v>
      </c>
      <c r="H792" s="41">
        <v>4620</v>
      </c>
      <c r="I792" s="15" t="s">
        <v>3064</v>
      </c>
      <c r="J792" s="1" t="s">
        <v>434</v>
      </c>
      <c r="K792" s="1" t="s">
        <v>31</v>
      </c>
      <c r="L792" s="1">
        <v>85016</v>
      </c>
      <c r="M792" s="1" t="s">
        <v>32</v>
      </c>
      <c r="O792" s="1" t="s">
        <v>4756</v>
      </c>
      <c r="P792" s="1" t="s">
        <v>4757</v>
      </c>
      <c r="Q792" s="87" t="s">
        <v>4758</v>
      </c>
      <c r="R792" s="31">
        <v>98151</v>
      </c>
      <c r="V792" s="4" t="s">
        <v>443</v>
      </c>
      <c r="W792" s="4" t="s">
        <v>37</v>
      </c>
      <c r="X792" s="4" t="s">
        <v>616</v>
      </c>
      <c r="Y792" s="235" t="s">
        <v>617</v>
      </c>
    </row>
    <row r="793" spans="1:26" s="4" customFormat="1" ht="18" customHeight="1">
      <c r="A793" s="164" t="s">
        <v>812</v>
      </c>
      <c r="B793" s="15" t="s">
        <v>4759</v>
      </c>
      <c r="C793" s="29" t="s">
        <v>4760</v>
      </c>
      <c r="D793" s="26">
        <v>45495</v>
      </c>
      <c r="E793" s="2">
        <v>45537</v>
      </c>
      <c r="F793" s="2">
        <f t="shared" ref="F793:F794" si="82">E793+14</f>
        <v>45551</v>
      </c>
      <c r="G793" s="179" t="s">
        <v>42</v>
      </c>
      <c r="H793" s="1" t="s">
        <v>379</v>
      </c>
      <c r="I793" s="4" t="s">
        <v>4761</v>
      </c>
      <c r="J793" s="1" t="s">
        <v>4762</v>
      </c>
      <c r="K793" s="1" t="s">
        <v>31</v>
      </c>
      <c r="L793" s="1"/>
      <c r="M793" s="1" t="s">
        <v>32</v>
      </c>
      <c r="O793" s="1" t="s">
        <v>4763</v>
      </c>
      <c r="P793" s="1" t="s">
        <v>4764</v>
      </c>
      <c r="Q793" s="184" t="s">
        <v>4765</v>
      </c>
      <c r="R793" s="173"/>
      <c r="V793" s="4" t="s">
        <v>443</v>
      </c>
      <c r="W793" s="4" t="s">
        <v>37</v>
      </c>
      <c r="X793" s="4" t="s">
        <v>616</v>
      </c>
      <c r="Y793" s="235" t="s">
        <v>617</v>
      </c>
      <c r="Z793" s="167" t="s">
        <v>364</v>
      </c>
    </row>
    <row r="794" spans="1:26" s="4" customFormat="1">
      <c r="A794" s="164" t="s">
        <v>812</v>
      </c>
      <c r="B794" s="29" t="s">
        <v>4766</v>
      </c>
      <c r="C794" s="4" t="s">
        <v>4767</v>
      </c>
      <c r="D794" s="2">
        <v>44576</v>
      </c>
      <c r="E794" s="2">
        <v>45540</v>
      </c>
      <c r="F794" s="2">
        <f t="shared" si="82"/>
        <v>45554</v>
      </c>
      <c r="G794" s="2" t="s">
        <v>42</v>
      </c>
      <c r="H794" s="41">
        <v>2502</v>
      </c>
      <c r="I794" s="15" t="s">
        <v>4768</v>
      </c>
      <c r="J794" s="1" t="s">
        <v>434</v>
      </c>
      <c r="K794" s="1" t="s">
        <v>31</v>
      </c>
      <c r="L794" s="1">
        <v>85050</v>
      </c>
      <c r="M794" s="1" t="s">
        <v>32</v>
      </c>
      <c r="O794" s="1" t="s">
        <v>4769</v>
      </c>
      <c r="P794" s="1" t="s">
        <v>4770</v>
      </c>
      <c r="Q794" s="87" t="s">
        <v>4771</v>
      </c>
      <c r="R794" s="31">
        <v>91103</v>
      </c>
      <c r="V794" s="4" t="s">
        <v>36</v>
      </c>
      <c r="W794" s="4" t="s">
        <v>37</v>
      </c>
      <c r="X794" s="4" t="s">
        <v>616</v>
      </c>
      <c r="Y794" s="235" t="s">
        <v>617</v>
      </c>
      <c r="Z794" s="167" t="s">
        <v>364</v>
      </c>
    </row>
    <row r="795" spans="1:26" s="4" customFormat="1" ht="18" customHeight="1">
      <c r="A795" s="164" t="s">
        <v>812</v>
      </c>
      <c r="B795" s="70" t="s">
        <v>4240</v>
      </c>
      <c r="C795" s="56" t="s">
        <v>4772</v>
      </c>
      <c r="D795" s="60"/>
      <c r="E795" s="2">
        <v>45540</v>
      </c>
      <c r="F795" s="2">
        <f>E795+14</f>
        <v>45554</v>
      </c>
      <c r="G795" s="2" t="s">
        <v>42</v>
      </c>
      <c r="H795" s="54" t="s">
        <v>379</v>
      </c>
      <c r="I795" s="80" t="s">
        <v>4773</v>
      </c>
      <c r="J795" s="55" t="s">
        <v>822</v>
      </c>
      <c r="K795" s="55" t="s">
        <v>31</v>
      </c>
      <c r="L795" s="55" t="s">
        <v>1606</v>
      </c>
      <c r="M795" s="55" t="s">
        <v>32</v>
      </c>
      <c r="N795" s="56"/>
      <c r="O795" s="55" t="s">
        <v>4774</v>
      </c>
      <c r="P795" s="55" t="s">
        <v>4775</v>
      </c>
      <c r="Q795" s="89" t="s">
        <v>4776</v>
      </c>
      <c r="R795" s="259">
        <v>100772</v>
      </c>
      <c r="V795" s="4" t="s">
        <v>443</v>
      </c>
      <c r="W795" s="4" t="s">
        <v>37</v>
      </c>
      <c r="X795" s="4" t="s">
        <v>616</v>
      </c>
      <c r="Y795" s="235" t="s">
        <v>617</v>
      </c>
      <c r="Z795" s="167" t="s">
        <v>364</v>
      </c>
    </row>
    <row r="796" spans="1:26" s="4" customFormat="1" ht="17.25" customHeight="1">
      <c r="A796" s="163" t="s">
        <v>25</v>
      </c>
      <c r="B796" s="29" t="s">
        <v>2496</v>
      </c>
      <c r="C796" s="4" t="s">
        <v>4777</v>
      </c>
      <c r="D796" s="130"/>
      <c r="E796" s="2">
        <v>45541</v>
      </c>
      <c r="F796" s="2">
        <f t="shared" ref="F796:F797" si="83">E796+14</f>
        <v>45555</v>
      </c>
      <c r="G796" s="2" t="s">
        <v>28</v>
      </c>
      <c r="H796" s="41">
        <v>2125</v>
      </c>
      <c r="I796" s="15" t="s">
        <v>414</v>
      </c>
      <c r="J796" s="1" t="s">
        <v>3520</v>
      </c>
      <c r="K796" s="1" t="s">
        <v>3456</v>
      </c>
      <c r="L796" s="1">
        <v>85281</v>
      </c>
      <c r="M796" s="1" t="s">
        <v>32</v>
      </c>
      <c r="O796" s="1" t="s">
        <v>4778</v>
      </c>
      <c r="P796" s="1" t="s">
        <v>4779</v>
      </c>
      <c r="Q796" s="87" t="s">
        <v>4780</v>
      </c>
      <c r="R796" s="31">
        <v>91243</v>
      </c>
      <c r="V796" s="4" t="s">
        <v>36</v>
      </c>
      <c r="W796" s="4" t="s">
        <v>37</v>
      </c>
      <c r="X796" s="1" t="s">
        <v>59</v>
      </c>
      <c r="Y796" s="167" t="s">
        <v>39</v>
      </c>
      <c r="Z796" s="168"/>
    </row>
    <row r="797" spans="1:26" s="4" customFormat="1" ht="15.75" customHeight="1">
      <c r="A797" s="163" t="s">
        <v>25</v>
      </c>
      <c r="B797" s="29" t="s">
        <v>4781</v>
      </c>
      <c r="C797" s="4" t="s">
        <v>4782</v>
      </c>
      <c r="D797" s="130"/>
      <c r="E797" s="2">
        <v>45541</v>
      </c>
      <c r="F797" s="2">
        <f t="shared" si="83"/>
        <v>45555</v>
      </c>
      <c r="G797" s="2" t="s">
        <v>28</v>
      </c>
      <c r="H797" s="41">
        <v>4836</v>
      </c>
      <c r="I797" s="15" t="s">
        <v>4783</v>
      </c>
      <c r="J797" s="1" t="s">
        <v>398</v>
      </c>
      <c r="K797" s="1" t="s">
        <v>31</v>
      </c>
      <c r="L797" s="1">
        <v>85256</v>
      </c>
      <c r="M797" s="1" t="s">
        <v>32</v>
      </c>
      <c r="O797" s="1" t="s">
        <v>4784</v>
      </c>
      <c r="P797" s="1" t="s">
        <v>4785</v>
      </c>
      <c r="Q797" s="87" t="s">
        <v>4786</v>
      </c>
      <c r="R797" s="124" t="s">
        <v>4787</v>
      </c>
      <c r="V797" s="4" t="s">
        <v>36</v>
      </c>
      <c r="W797" s="4" t="s">
        <v>37</v>
      </c>
      <c r="X797" s="1" t="s">
        <v>59</v>
      </c>
      <c r="Y797" s="167" t="s">
        <v>39</v>
      </c>
    </row>
    <row r="798" spans="1:26" s="4" customFormat="1" ht="17.25" customHeight="1">
      <c r="A798" s="163" t="s">
        <v>25</v>
      </c>
      <c r="B798" s="29" t="s">
        <v>258</v>
      </c>
      <c r="C798" s="4" t="s">
        <v>4788</v>
      </c>
      <c r="D798" s="130"/>
      <c r="E798" s="2">
        <v>45539</v>
      </c>
      <c r="F798" s="2">
        <f>E798+14</f>
        <v>45553</v>
      </c>
      <c r="G798" s="2" t="s">
        <v>42</v>
      </c>
      <c r="H798" s="41" t="s">
        <v>379</v>
      </c>
      <c r="I798" s="15" t="s">
        <v>4789</v>
      </c>
      <c r="J798" s="1" t="s">
        <v>3276</v>
      </c>
      <c r="K798" s="1" t="s">
        <v>31</v>
      </c>
      <c r="L798" s="1"/>
      <c r="M798" s="1" t="s">
        <v>32</v>
      </c>
      <c r="O798" s="55" t="s">
        <v>2543</v>
      </c>
      <c r="P798" s="55" t="s">
        <v>2544</v>
      </c>
      <c r="Q798" s="89" t="s">
        <v>4790</v>
      </c>
      <c r="R798" s="31">
        <v>93143</v>
      </c>
      <c r="V798" s="4" t="s">
        <v>36</v>
      </c>
      <c r="W798" s="4" t="s">
        <v>37</v>
      </c>
      <c r="X798" s="1" t="s">
        <v>59</v>
      </c>
      <c r="Y798" s="167" t="s">
        <v>39</v>
      </c>
      <c r="Z798" s="168"/>
    </row>
    <row r="799" spans="1:26" s="4" customFormat="1" ht="15" customHeight="1">
      <c r="A799" s="164" t="s">
        <v>812</v>
      </c>
      <c r="B799" s="29" t="s">
        <v>4791</v>
      </c>
      <c r="C799" s="4" t="s">
        <v>4792</v>
      </c>
      <c r="D799" s="130" t="s">
        <v>516</v>
      </c>
      <c r="E799" s="2">
        <v>45554</v>
      </c>
      <c r="F799" s="2">
        <f>E799+28</f>
        <v>45582</v>
      </c>
      <c r="G799" s="2" t="s">
        <v>28</v>
      </c>
      <c r="H799" s="41">
        <v>6851</v>
      </c>
      <c r="I799" s="15" t="s">
        <v>4793</v>
      </c>
      <c r="J799" s="1" t="s">
        <v>822</v>
      </c>
      <c r="K799" s="1" t="s">
        <v>31</v>
      </c>
      <c r="L799" s="1">
        <v>85305</v>
      </c>
      <c r="M799" s="1" t="s">
        <v>32</v>
      </c>
      <c r="O799" s="1" t="s">
        <v>3046</v>
      </c>
      <c r="P799" s="1" t="s">
        <v>4794</v>
      </c>
      <c r="Q799" s="184" t="s">
        <v>4795</v>
      </c>
      <c r="R799" s="178">
        <v>93282</v>
      </c>
      <c r="V799" s="4" t="s">
        <v>443</v>
      </c>
      <c r="W799" s="4" t="s">
        <v>37</v>
      </c>
      <c r="X799" s="4" t="s">
        <v>616</v>
      </c>
      <c r="Y799" s="235" t="s">
        <v>617</v>
      </c>
      <c r="Z799" s="167" t="s">
        <v>364</v>
      </c>
    </row>
    <row r="800" spans="1:26" s="4" customFormat="1" ht="15.75" customHeight="1">
      <c r="A800" s="163" t="s">
        <v>25</v>
      </c>
      <c r="B800" s="29" t="s">
        <v>323</v>
      </c>
      <c r="C800" s="4" t="s">
        <v>4796</v>
      </c>
      <c r="D800" s="130"/>
      <c r="E800" s="2">
        <v>45547</v>
      </c>
      <c r="F800" s="2">
        <f t="shared" ref="F800:F803" si="84">E800+14</f>
        <v>45561</v>
      </c>
      <c r="G800" s="2" t="s">
        <v>42</v>
      </c>
      <c r="H800" s="41">
        <v>20159</v>
      </c>
      <c r="I800" s="15" t="s">
        <v>420</v>
      </c>
      <c r="J800" s="1" t="s">
        <v>398</v>
      </c>
      <c r="K800" s="1" t="s">
        <v>31</v>
      </c>
      <c r="L800" s="1">
        <v>85255</v>
      </c>
      <c r="M800" s="1" t="s">
        <v>32</v>
      </c>
      <c r="O800" s="1" t="s">
        <v>3649</v>
      </c>
      <c r="P800" s="1" t="s">
        <v>4797</v>
      </c>
      <c r="Q800" s="1" t="s">
        <v>4798</v>
      </c>
      <c r="R800" s="31">
        <v>97944</v>
      </c>
      <c r="V800" s="4" t="s">
        <v>36</v>
      </c>
      <c r="W800" s="4" t="s">
        <v>37</v>
      </c>
      <c r="X800" s="1" t="s">
        <v>59</v>
      </c>
      <c r="Y800" s="167" t="s">
        <v>39</v>
      </c>
    </row>
    <row r="801" spans="1:38" s="4" customFormat="1" ht="15" customHeight="1">
      <c r="A801" s="163" t="s">
        <v>25</v>
      </c>
      <c r="B801" s="29" t="s">
        <v>3534</v>
      </c>
      <c r="C801" s="4" t="s">
        <v>4799</v>
      </c>
      <c r="D801" s="130"/>
      <c r="E801" s="2">
        <v>45545</v>
      </c>
      <c r="F801" s="2">
        <f t="shared" si="84"/>
        <v>45559</v>
      </c>
      <c r="G801" s="2" t="s">
        <v>28</v>
      </c>
      <c r="H801" s="41">
        <v>1333</v>
      </c>
      <c r="I801" s="15" t="s">
        <v>4800</v>
      </c>
      <c r="J801" s="1" t="s">
        <v>49</v>
      </c>
      <c r="K801" s="1" t="s">
        <v>31</v>
      </c>
      <c r="L801" s="1">
        <v>85234</v>
      </c>
      <c r="M801" s="1" t="s">
        <v>32</v>
      </c>
      <c r="O801" s="1" t="s">
        <v>4801</v>
      </c>
      <c r="P801" s="1" t="s">
        <v>4802</v>
      </c>
      <c r="Q801" s="98" t="s">
        <v>4803</v>
      </c>
      <c r="R801" s="31">
        <v>100534</v>
      </c>
      <c r="V801" s="4" t="s">
        <v>36</v>
      </c>
      <c r="W801" s="4" t="s">
        <v>37</v>
      </c>
      <c r="X801" s="1" t="s">
        <v>59</v>
      </c>
      <c r="Y801" s="167" t="s">
        <v>39</v>
      </c>
    </row>
    <row r="802" spans="1:38" s="4" customFormat="1" ht="19.5" customHeight="1">
      <c r="A802" s="164" t="s">
        <v>812</v>
      </c>
      <c r="B802" s="29" t="s">
        <v>478</v>
      </c>
      <c r="C802" s="4" t="s">
        <v>4804</v>
      </c>
      <c r="D802" s="2"/>
      <c r="E802" s="2">
        <v>45547</v>
      </c>
      <c r="F802" s="2">
        <f t="shared" si="84"/>
        <v>45561</v>
      </c>
      <c r="G802" s="2" t="s">
        <v>28</v>
      </c>
      <c r="H802" s="41">
        <v>17785</v>
      </c>
      <c r="I802" s="15" t="s">
        <v>1286</v>
      </c>
      <c r="J802" s="1" t="s">
        <v>837</v>
      </c>
      <c r="K802" s="1" t="s">
        <v>31</v>
      </c>
      <c r="L802" s="1">
        <v>85374</v>
      </c>
      <c r="M802" s="1" t="s">
        <v>32</v>
      </c>
      <c r="O802" s="253" t="s">
        <v>4805</v>
      </c>
      <c r="P802" s="1" t="s">
        <v>4806</v>
      </c>
      <c r="Q802" s="87" t="s">
        <v>4807</v>
      </c>
      <c r="R802" s="178">
        <v>96435</v>
      </c>
      <c r="V802" s="4" t="s">
        <v>443</v>
      </c>
      <c r="W802" s="4" t="s">
        <v>37</v>
      </c>
      <c r="X802" s="4" t="s">
        <v>616</v>
      </c>
      <c r="Y802" s="235" t="s">
        <v>617</v>
      </c>
      <c r="Z802" s="167" t="s">
        <v>364</v>
      </c>
    </row>
    <row r="803" spans="1:38" s="4" customFormat="1">
      <c r="A803" s="164" t="s">
        <v>812</v>
      </c>
      <c r="B803" s="29" t="s">
        <v>226</v>
      </c>
      <c r="C803" s="4" t="s">
        <v>4808</v>
      </c>
      <c r="D803" s="2"/>
      <c r="E803" s="2">
        <v>45547</v>
      </c>
      <c r="F803" s="2">
        <f t="shared" si="84"/>
        <v>45561</v>
      </c>
      <c r="G803" s="2" t="s">
        <v>42</v>
      </c>
      <c r="H803" s="41"/>
      <c r="I803" s="15" t="s">
        <v>4809</v>
      </c>
      <c r="J803" s="1" t="s">
        <v>837</v>
      </c>
      <c r="K803" s="1" t="s">
        <v>31</v>
      </c>
      <c r="L803" s="1">
        <v>85388</v>
      </c>
      <c r="M803" s="1" t="s">
        <v>32</v>
      </c>
      <c r="O803" s="1" t="s">
        <v>4810</v>
      </c>
      <c r="P803" s="1" t="s">
        <v>4811</v>
      </c>
      <c r="Q803" s="87" t="s">
        <v>4812</v>
      </c>
      <c r="R803" s="31">
        <v>99657</v>
      </c>
      <c r="V803" s="4" t="s">
        <v>443</v>
      </c>
      <c r="W803" s="4" t="s">
        <v>37</v>
      </c>
      <c r="X803" s="4" t="s">
        <v>616</v>
      </c>
      <c r="Y803" s="235" t="s">
        <v>617</v>
      </c>
      <c r="Z803" s="167" t="s">
        <v>364</v>
      </c>
    </row>
    <row r="804" spans="1:38" s="4" customFormat="1" ht="15" customHeight="1">
      <c r="A804" s="258" t="s">
        <v>812</v>
      </c>
      <c r="B804" s="29" t="s">
        <v>907</v>
      </c>
      <c r="C804" s="4" t="s">
        <v>4813</v>
      </c>
      <c r="D804" s="130" t="s">
        <v>516</v>
      </c>
      <c r="E804" s="2">
        <v>45534</v>
      </c>
      <c r="F804" s="2">
        <f>E804+28</f>
        <v>45562</v>
      </c>
      <c r="G804" s="2" t="s">
        <v>42</v>
      </c>
      <c r="H804" s="41">
        <v>5125</v>
      </c>
      <c r="I804" s="15" t="s">
        <v>4814</v>
      </c>
      <c r="J804" s="1" t="s">
        <v>975</v>
      </c>
      <c r="K804" s="1" t="s">
        <v>31</v>
      </c>
      <c r="L804" s="1">
        <v>85743</v>
      </c>
      <c r="M804" s="1" t="s">
        <v>32</v>
      </c>
      <c r="O804" s="1" t="s">
        <v>4815</v>
      </c>
      <c r="P804" s="1" t="s">
        <v>4816</v>
      </c>
      <c r="Q804" s="99" t="s">
        <v>4817</v>
      </c>
      <c r="R804" s="31">
        <v>103119</v>
      </c>
      <c r="V804" s="4" t="s">
        <v>443</v>
      </c>
      <c r="W804" s="4" t="s">
        <v>37</v>
      </c>
      <c r="X804" s="4" t="s">
        <v>616</v>
      </c>
      <c r="Y804" s="235" t="s">
        <v>617</v>
      </c>
    </row>
    <row r="805" spans="1:38" s="4" customFormat="1" ht="15" customHeight="1">
      <c r="A805" s="163" t="s">
        <v>25</v>
      </c>
      <c r="B805" s="15" t="s">
        <v>4818</v>
      </c>
      <c r="C805" s="29" t="s">
        <v>4819</v>
      </c>
      <c r="E805" s="2">
        <v>45562</v>
      </c>
      <c r="F805" s="2">
        <f>E805+14</f>
        <v>45576</v>
      </c>
      <c r="G805" s="1" t="s">
        <v>28</v>
      </c>
      <c r="H805" s="1" t="s">
        <v>47</v>
      </c>
      <c r="I805" s="4" t="s">
        <v>4820</v>
      </c>
      <c r="J805" s="1" t="s">
        <v>69</v>
      </c>
      <c r="K805" s="1" t="s">
        <v>31</v>
      </c>
      <c r="L805" s="1">
        <v>85286</v>
      </c>
      <c r="M805" s="1" t="s">
        <v>32</v>
      </c>
      <c r="O805" s="1" t="s">
        <v>4821</v>
      </c>
      <c r="P805" s="1" t="s">
        <v>4822</v>
      </c>
      <c r="Q805" s="87" t="s">
        <v>4823</v>
      </c>
      <c r="R805" s="1">
        <v>102280</v>
      </c>
      <c r="V805" s="4" t="s">
        <v>36</v>
      </c>
      <c r="W805" s="4" t="s">
        <v>37</v>
      </c>
      <c r="X805" s="4" t="s">
        <v>38</v>
      </c>
      <c r="Y805" s="235" t="s">
        <v>39</v>
      </c>
      <c r="Z805" s="168"/>
    </row>
    <row r="806" spans="1:38" s="4" customFormat="1" ht="18" customHeight="1">
      <c r="A806" s="164" t="s">
        <v>812</v>
      </c>
      <c r="B806" s="29" t="s">
        <v>478</v>
      </c>
      <c r="C806" s="4" t="s">
        <v>4824</v>
      </c>
      <c r="D806" s="130"/>
      <c r="E806" s="2">
        <v>45546</v>
      </c>
      <c r="F806" s="2">
        <f t="shared" ref="F806" si="85">E806+14</f>
        <v>45560</v>
      </c>
      <c r="G806" s="2" t="s">
        <v>28</v>
      </c>
      <c r="H806" s="41">
        <v>2526</v>
      </c>
      <c r="I806" s="15" t="s">
        <v>4825</v>
      </c>
      <c r="J806" s="1" t="s">
        <v>434</v>
      </c>
      <c r="K806" s="1" t="s">
        <v>31</v>
      </c>
      <c r="L806" s="1">
        <v>85017</v>
      </c>
      <c r="M806" s="1"/>
      <c r="O806" s="1" t="s">
        <v>4826</v>
      </c>
      <c r="P806" s="1" t="s">
        <v>4020</v>
      </c>
      <c r="Q806" s="184" t="s">
        <v>4827</v>
      </c>
      <c r="R806" s="31">
        <v>97016</v>
      </c>
      <c r="V806" s="4" t="s">
        <v>443</v>
      </c>
      <c r="W806" s="4" t="s">
        <v>37</v>
      </c>
      <c r="X806" s="4" t="s">
        <v>616</v>
      </c>
      <c r="Y806" s="235" t="s">
        <v>617</v>
      </c>
      <c r="Z806" s="167" t="s">
        <v>364</v>
      </c>
    </row>
    <row r="807" spans="1:38" s="4" customFormat="1" ht="21.75" customHeight="1">
      <c r="A807" s="163" t="s">
        <v>25</v>
      </c>
      <c r="B807" s="29" t="s">
        <v>1169</v>
      </c>
      <c r="C807" s="4" t="s">
        <v>4828</v>
      </c>
      <c r="D807" s="130"/>
      <c r="E807" s="2">
        <v>45555</v>
      </c>
      <c r="F807" s="2">
        <f>E807+14</f>
        <v>45569</v>
      </c>
      <c r="G807" s="2" t="s">
        <v>28</v>
      </c>
      <c r="H807" s="41">
        <v>104</v>
      </c>
      <c r="I807" s="15" t="s">
        <v>4829</v>
      </c>
      <c r="J807" s="1" t="s">
        <v>63</v>
      </c>
      <c r="K807" s="1" t="s">
        <v>31</v>
      </c>
      <c r="L807" s="1">
        <v>85213</v>
      </c>
      <c r="M807" s="1" t="s">
        <v>32</v>
      </c>
      <c r="O807" s="1" t="s">
        <v>4830</v>
      </c>
      <c r="P807" s="1" t="s">
        <v>4831</v>
      </c>
      <c r="Q807" s="87" t="s">
        <v>4832</v>
      </c>
      <c r="R807" s="31">
        <v>98677</v>
      </c>
      <c r="V807" s="4" t="s">
        <v>36</v>
      </c>
      <c r="W807" s="4" t="s">
        <v>37</v>
      </c>
      <c r="X807" s="4" t="s">
        <v>38</v>
      </c>
      <c r="Y807" s="235" t="s">
        <v>39</v>
      </c>
    </row>
    <row r="808" spans="1:38" s="4" customFormat="1">
      <c r="A808" s="164" t="s">
        <v>812</v>
      </c>
      <c r="B808" s="29" t="s">
        <v>323</v>
      </c>
      <c r="C808" s="4" t="s">
        <v>4833</v>
      </c>
      <c r="D808" s="2">
        <v>45124</v>
      </c>
      <c r="E808" s="2">
        <v>45553</v>
      </c>
      <c r="F808" s="2">
        <f t="shared" ref="F808" si="86">E808+14</f>
        <v>45567</v>
      </c>
      <c r="G808" s="2" t="s">
        <v>42</v>
      </c>
      <c r="H808" s="41"/>
      <c r="I808" s="15" t="s">
        <v>4834</v>
      </c>
      <c r="J808" s="1" t="s">
        <v>844</v>
      </c>
      <c r="K808" s="1" t="s">
        <v>31</v>
      </c>
      <c r="L808" s="1">
        <v>85395</v>
      </c>
      <c r="M808" s="1" t="s">
        <v>32</v>
      </c>
      <c r="O808" s="1" t="s">
        <v>4835</v>
      </c>
      <c r="P808" s="1" t="s">
        <v>4836</v>
      </c>
      <c r="Q808" s="184" t="s">
        <v>4837</v>
      </c>
      <c r="R808" s="178">
        <v>99358</v>
      </c>
      <c r="V808" s="4" t="s">
        <v>443</v>
      </c>
      <c r="W808" s="4" t="s">
        <v>37</v>
      </c>
      <c r="X808" s="4" t="s">
        <v>616</v>
      </c>
      <c r="Y808" s="235" t="s">
        <v>617</v>
      </c>
      <c r="Z808" s="167" t="s">
        <v>364</v>
      </c>
    </row>
    <row r="809" spans="1:38" s="4" customFormat="1">
      <c r="A809" s="164" t="s">
        <v>812</v>
      </c>
      <c r="B809" s="118" t="s">
        <v>168</v>
      </c>
      <c r="C809" s="119" t="s">
        <v>4838</v>
      </c>
      <c r="D809" s="231"/>
      <c r="E809" s="2">
        <v>45596</v>
      </c>
      <c r="F809" s="2">
        <f>E809+14</f>
        <v>45610</v>
      </c>
      <c r="G809" s="232" t="s">
        <v>28</v>
      </c>
      <c r="H809" s="42">
        <v>8614</v>
      </c>
      <c r="I809" s="233" t="s">
        <v>2538</v>
      </c>
      <c r="J809" s="179" t="s">
        <v>851</v>
      </c>
      <c r="K809" s="179" t="s">
        <v>31</v>
      </c>
      <c r="L809" s="179">
        <v>85179</v>
      </c>
      <c r="M809" s="179" t="s">
        <v>32</v>
      </c>
      <c r="N809" s="119"/>
      <c r="O809" s="179" t="s">
        <v>4839</v>
      </c>
      <c r="P809" s="179" t="s">
        <v>4840</v>
      </c>
      <c r="Q809" s="184" t="s">
        <v>4841</v>
      </c>
      <c r="R809" s="178">
        <v>100995</v>
      </c>
      <c r="S809" s="119"/>
      <c r="T809" s="119"/>
      <c r="U809" s="119"/>
      <c r="V809" s="119" t="s">
        <v>443</v>
      </c>
      <c r="W809" s="119" t="s">
        <v>37</v>
      </c>
      <c r="X809" s="119" t="s">
        <v>616</v>
      </c>
      <c r="Y809" s="235" t="s">
        <v>617</v>
      </c>
      <c r="Z809" s="167" t="s">
        <v>364</v>
      </c>
    </row>
    <row r="810" spans="1:38" s="4" customFormat="1">
      <c r="A810" s="164" t="s">
        <v>812</v>
      </c>
      <c r="B810" s="29" t="s">
        <v>1213</v>
      </c>
      <c r="C810" s="56" t="s">
        <v>4409</v>
      </c>
      <c r="D810" s="60"/>
      <c r="E810" s="2">
        <v>45589</v>
      </c>
      <c r="F810" s="60">
        <f t="shared" ref="F810:F811" si="87">E810+14</f>
        <v>45603</v>
      </c>
      <c r="G810" s="2" t="s">
        <v>42</v>
      </c>
      <c r="H810" s="41">
        <v>13280</v>
      </c>
      <c r="I810" s="15" t="s">
        <v>4410</v>
      </c>
      <c r="J810" s="1" t="s">
        <v>837</v>
      </c>
      <c r="K810" s="1" t="s">
        <v>31</v>
      </c>
      <c r="L810" s="1">
        <v>85379</v>
      </c>
      <c r="M810" s="1" t="s">
        <v>32</v>
      </c>
      <c r="O810" s="1" t="s">
        <v>4842</v>
      </c>
      <c r="P810" s="1" t="s">
        <v>4843</v>
      </c>
      <c r="Q810" s="129" t="s">
        <v>4844</v>
      </c>
      <c r="R810" s="31">
        <v>89355</v>
      </c>
      <c r="V810" s="4" t="s">
        <v>443</v>
      </c>
      <c r="W810" s="4" t="s">
        <v>37</v>
      </c>
      <c r="X810" s="4" t="s">
        <v>616</v>
      </c>
      <c r="Y810" s="241" t="s">
        <v>617</v>
      </c>
      <c r="Z810" s="167" t="s">
        <v>364</v>
      </c>
    </row>
    <row r="811" spans="1:38" s="4" customFormat="1" ht="15.75" customHeight="1">
      <c r="A811" s="164" t="s">
        <v>812</v>
      </c>
      <c r="B811" s="29" t="s">
        <v>4845</v>
      </c>
      <c r="C811" s="4" t="s">
        <v>4846</v>
      </c>
      <c r="D811" s="130"/>
      <c r="E811" s="2">
        <v>45593</v>
      </c>
      <c r="F811" s="2">
        <f t="shared" si="87"/>
        <v>45607</v>
      </c>
      <c r="G811" s="2" t="s">
        <v>42</v>
      </c>
      <c r="H811" s="41">
        <v>23683</v>
      </c>
      <c r="I811" s="15" t="s">
        <v>2268</v>
      </c>
      <c r="J811" s="1" t="s">
        <v>831</v>
      </c>
      <c r="K811" s="1" t="s">
        <v>31</v>
      </c>
      <c r="L811" s="1">
        <v>85326</v>
      </c>
      <c r="M811" s="1" t="s">
        <v>32</v>
      </c>
      <c r="O811" s="1" t="s">
        <v>3049</v>
      </c>
      <c r="P811" s="1" t="s">
        <v>3050</v>
      </c>
      <c r="Q811" s="87" t="s">
        <v>4847</v>
      </c>
      <c r="R811" s="31">
        <v>96395</v>
      </c>
      <c r="V811" s="4" t="s">
        <v>443</v>
      </c>
      <c r="W811" s="4" t="s">
        <v>37</v>
      </c>
      <c r="X811" s="4" t="s">
        <v>616</v>
      </c>
      <c r="Y811" s="235" t="s">
        <v>617</v>
      </c>
      <c r="Z811" s="167" t="s">
        <v>364</v>
      </c>
    </row>
    <row r="812" spans="1:38" s="4" customFormat="1" ht="21.75" customHeight="1">
      <c r="A812" s="164" t="s">
        <v>812</v>
      </c>
      <c r="B812" s="29" t="s">
        <v>226</v>
      </c>
      <c r="C812" s="4" t="s">
        <v>4848</v>
      </c>
      <c r="D812" s="2"/>
      <c r="E812" s="2">
        <v>45595</v>
      </c>
      <c r="F812" s="2">
        <f>E812+14</f>
        <v>45609</v>
      </c>
      <c r="G812" s="2" t="s">
        <v>28</v>
      </c>
      <c r="H812" s="41">
        <v>4780</v>
      </c>
      <c r="I812" s="15" t="s">
        <v>2787</v>
      </c>
      <c r="J812" s="1" t="s">
        <v>844</v>
      </c>
      <c r="K812" s="1" t="s">
        <v>31</v>
      </c>
      <c r="L812" s="1">
        <v>85395</v>
      </c>
      <c r="M812" s="1" t="s">
        <v>32</v>
      </c>
      <c r="O812" s="1" t="s">
        <v>4849</v>
      </c>
      <c r="P812" s="1" t="s">
        <v>4850</v>
      </c>
      <c r="Q812" s="87" t="s">
        <v>4851</v>
      </c>
      <c r="R812" s="31">
        <v>96151</v>
      </c>
      <c r="V812" s="4" t="s">
        <v>443</v>
      </c>
      <c r="W812" s="4" t="s">
        <v>37</v>
      </c>
      <c r="X812" s="4" t="s">
        <v>616</v>
      </c>
      <c r="Y812" s="235" t="s">
        <v>617</v>
      </c>
      <c r="Z812" s="167" t="s">
        <v>364</v>
      </c>
    </row>
    <row r="813" spans="1:38" s="4" customFormat="1">
      <c r="A813" s="164" t="s">
        <v>812</v>
      </c>
      <c r="B813" s="29" t="s">
        <v>3245</v>
      </c>
      <c r="C813" s="4" t="s">
        <v>4852</v>
      </c>
      <c r="D813" s="130"/>
      <c r="E813" s="2">
        <v>45588</v>
      </c>
      <c r="F813" s="2">
        <f t="shared" ref="F813:F814" si="88">E813+14</f>
        <v>45602</v>
      </c>
      <c r="G813" s="2" t="s">
        <v>42</v>
      </c>
      <c r="H813" s="41">
        <v>5555</v>
      </c>
      <c r="I813" s="15" t="s">
        <v>3738</v>
      </c>
      <c r="J813" s="1" t="s">
        <v>434</v>
      </c>
      <c r="K813" s="1" t="s">
        <v>31</v>
      </c>
      <c r="L813" s="1">
        <v>85043</v>
      </c>
      <c r="M813" s="1" t="s">
        <v>32</v>
      </c>
      <c r="O813" s="1" t="s">
        <v>4853</v>
      </c>
      <c r="P813" s="1" t="s">
        <v>4854</v>
      </c>
      <c r="Q813" s="87" t="s">
        <v>4855</v>
      </c>
      <c r="R813" s="31">
        <v>91401</v>
      </c>
      <c r="V813" s="4" t="s">
        <v>443</v>
      </c>
      <c r="W813" s="4" t="s">
        <v>37</v>
      </c>
      <c r="X813" s="4" t="s">
        <v>616</v>
      </c>
      <c r="Y813" s="235" t="s">
        <v>617</v>
      </c>
    </row>
    <row r="814" spans="1:38" s="4" customFormat="1">
      <c r="A814" s="164" t="s">
        <v>812</v>
      </c>
      <c r="B814" s="29" t="s">
        <v>4692</v>
      </c>
      <c r="C814" s="4" t="s">
        <v>4856</v>
      </c>
      <c r="D814" s="2"/>
      <c r="E814" s="2">
        <v>45593</v>
      </c>
      <c r="F814" s="2">
        <f t="shared" si="88"/>
        <v>45607</v>
      </c>
      <c r="G814" s="2" t="s">
        <v>42</v>
      </c>
      <c r="H814" s="41">
        <v>17222</v>
      </c>
      <c r="I814" s="15" t="s">
        <v>1333</v>
      </c>
      <c r="J814" s="1" t="s">
        <v>844</v>
      </c>
      <c r="K814" s="1" t="s">
        <v>31</v>
      </c>
      <c r="L814" s="1">
        <v>85338</v>
      </c>
      <c r="M814" s="1" t="s">
        <v>32</v>
      </c>
      <c r="O814" s="253" t="s">
        <v>4857</v>
      </c>
      <c r="P814" s="1" t="s">
        <v>4858</v>
      </c>
      <c r="Q814" s="87" t="s">
        <v>4859</v>
      </c>
      <c r="R814" s="31">
        <v>97708</v>
      </c>
      <c r="V814" s="4" t="s">
        <v>443</v>
      </c>
      <c r="W814" s="4" t="s">
        <v>37</v>
      </c>
      <c r="X814" s="4" t="s">
        <v>616</v>
      </c>
      <c r="Y814" s="235" t="s">
        <v>617</v>
      </c>
      <c r="Z814" s="167" t="s">
        <v>364</v>
      </c>
    </row>
    <row r="815" spans="1:38">
      <c r="A815" s="278" t="s">
        <v>25</v>
      </c>
      <c r="B815" s="276" t="s">
        <v>1051</v>
      </c>
      <c r="C815" s="276" t="s">
        <v>4860</v>
      </c>
      <c r="D815" s="276" t="s">
        <v>554</v>
      </c>
      <c r="E815" s="291">
        <v>45574</v>
      </c>
      <c r="F815" s="291">
        <v>45602</v>
      </c>
      <c r="G815" s="290" t="s">
        <v>28</v>
      </c>
      <c r="H815" s="290">
        <v>2000</v>
      </c>
      <c r="I815" s="276" t="s">
        <v>4861</v>
      </c>
      <c r="J815" s="290" t="s">
        <v>3082</v>
      </c>
      <c r="K815" s="290" t="s">
        <v>31</v>
      </c>
      <c r="L815" s="290">
        <v>86004</v>
      </c>
      <c r="M815" s="290" t="s">
        <v>32</v>
      </c>
      <c r="N815" s="290" t="s">
        <v>554</v>
      </c>
      <c r="O815" s="290" t="s">
        <v>4862</v>
      </c>
      <c r="P815" s="290" t="s">
        <v>4863</v>
      </c>
      <c r="Q815" s="277" t="s">
        <v>4864</v>
      </c>
      <c r="R815" s="290">
        <v>95152</v>
      </c>
      <c r="S815" s="276" t="s">
        <v>554</v>
      </c>
      <c r="T815" s="276" t="s">
        <v>554</v>
      </c>
      <c r="U815" s="276" t="s">
        <v>554</v>
      </c>
      <c r="V815" s="276" t="s">
        <v>36</v>
      </c>
      <c r="W815" s="276" t="s">
        <v>37</v>
      </c>
      <c r="X815" s="276" t="s">
        <v>59</v>
      </c>
      <c r="Y815" s="277" t="s">
        <v>39</v>
      </c>
      <c r="Z815" s="276" t="s">
        <v>554</v>
      </c>
      <c r="AA815" s="276" t="s">
        <v>554</v>
      </c>
      <c r="AB815" s="276" t="s">
        <v>554</v>
      </c>
      <c r="AC815" s="276" t="s">
        <v>554</v>
      </c>
      <c r="AD815" s="276" t="s">
        <v>554</v>
      </c>
      <c r="AE815" s="276" t="s">
        <v>554</v>
      </c>
      <c r="AF815" s="276" t="s">
        <v>554</v>
      </c>
      <c r="AG815" s="276" t="s">
        <v>554</v>
      </c>
      <c r="AH815" s="276" t="s">
        <v>554</v>
      </c>
      <c r="AI815" s="276" t="s">
        <v>554</v>
      </c>
      <c r="AJ815" s="276" t="s">
        <v>554</v>
      </c>
      <c r="AK815" s="276" t="s">
        <v>554</v>
      </c>
      <c r="AL815" s="276" t="s">
        <v>554</v>
      </c>
    </row>
    <row r="816" spans="1:38">
      <c r="A816" s="279" t="s">
        <v>25</v>
      </c>
      <c r="B816" s="280" t="s">
        <v>4865</v>
      </c>
      <c r="C816" s="280" t="s">
        <v>3372</v>
      </c>
      <c r="D816" s="280" t="s">
        <v>554</v>
      </c>
      <c r="E816" s="293">
        <v>45593</v>
      </c>
      <c r="F816" s="293">
        <v>45607</v>
      </c>
      <c r="G816" s="294" t="s">
        <v>28</v>
      </c>
      <c r="H816" s="294">
        <v>98</v>
      </c>
      <c r="I816" s="280" t="s">
        <v>1490</v>
      </c>
      <c r="J816" s="294" t="s">
        <v>415</v>
      </c>
      <c r="K816" s="294" t="s">
        <v>31</v>
      </c>
      <c r="L816" s="294">
        <v>85281</v>
      </c>
      <c r="M816" s="294" t="s">
        <v>32</v>
      </c>
      <c r="N816" s="294" t="s">
        <v>554</v>
      </c>
      <c r="O816" s="294" t="s">
        <v>4866</v>
      </c>
      <c r="P816" s="294" t="s">
        <v>4867</v>
      </c>
      <c r="Q816" s="281" t="s">
        <v>4868</v>
      </c>
      <c r="R816" s="296">
        <v>90683</v>
      </c>
      <c r="S816" s="280" t="s">
        <v>554</v>
      </c>
      <c r="T816" s="280" t="s">
        <v>554</v>
      </c>
      <c r="U816" s="280" t="s">
        <v>554</v>
      </c>
      <c r="V816" s="280" t="s">
        <v>36</v>
      </c>
      <c r="W816" s="280" t="s">
        <v>37</v>
      </c>
      <c r="X816" s="280" t="s">
        <v>59</v>
      </c>
      <c r="Y816" s="283" t="s">
        <v>39</v>
      </c>
      <c r="Z816" s="283" t="s">
        <v>554</v>
      </c>
      <c r="AA816" s="280" t="s">
        <v>554</v>
      </c>
      <c r="AB816" s="280" t="s">
        <v>554</v>
      </c>
      <c r="AC816" s="280" t="s">
        <v>554</v>
      </c>
      <c r="AD816" s="280" t="s">
        <v>554</v>
      </c>
      <c r="AE816" s="280" t="s">
        <v>554</v>
      </c>
      <c r="AF816" s="280" t="s">
        <v>554</v>
      </c>
      <c r="AG816" s="280" t="s">
        <v>554</v>
      </c>
      <c r="AH816" s="280" t="s">
        <v>554</v>
      </c>
      <c r="AI816" s="280" t="s">
        <v>554</v>
      </c>
      <c r="AJ816" s="280" t="s">
        <v>554</v>
      </c>
      <c r="AK816" s="280" t="s">
        <v>554</v>
      </c>
      <c r="AL816" s="280" t="s">
        <v>554</v>
      </c>
    </row>
    <row r="817" spans="1:38">
      <c r="A817" s="279" t="s">
        <v>25</v>
      </c>
      <c r="B817" s="280" t="s">
        <v>4686</v>
      </c>
      <c r="C817" s="284" t="s">
        <v>4869</v>
      </c>
      <c r="D817" s="282" t="s">
        <v>554</v>
      </c>
      <c r="E817" s="293">
        <v>45593</v>
      </c>
      <c r="F817" s="293">
        <v>45607</v>
      </c>
      <c r="G817" s="294" t="s">
        <v>28</v>
      </c>
      <c r="H817" s="294">
        <v>5000</v>
      </c>
      <c r="I817" s="280" t="s">
        <v>4870</v>
      </c>
      <c r="J817" s="294" t="s">
        <v>398</v>
      </c>
      <c r="K817" s="294" t="s">
        <v>31</v>
      </c>
      <c r="L817" s="294">
        <v>85251</v>
      </c>
      <c r="M817" s="294" t="s">
        <v>32</v>
      </c>
      <c r="N817" s="294" t="s">
        <v>554</v>
      </c>
      <c r="O817" s="294" t="s">
        <v>4689</v>
      </c>
      <c r="P817" s="294" t="s">
        <v>4690</v>
      </c>
      <c r="Q817" s="277" t="s">
        <v>4691</v>
      </c>
      <c r="R817" s="294" t="s">
        <v>4616</v>
      </c>
      <c r="S817" s="280" t="s">
        <v>554</v>
      </c>
      <c r="T817" s="280" t="s">
        <v>554</v>
      </c>
      <c r="U817" s="280" t="s">
        <v>554</v>
      </c>
      <c r="V817" s="280" t="s">
        <v>36</v>
      </c>
      <c r="W817" s="280" t="s">
        <v>37</v>
      </c>
      <c r="X817" s="280" t="s">
        <v>59</v>
      </c>
      <c r="Y817" s="285" t="s">
        <v>39</v>
      </c>
      <c r="Z817" s="280" t="s">
        <v>554</v>
      </c>
      <c r="AA817" s="280" t="s">
        <v>554</v>
      </c>
      <c r="AB817" s="280" t="s">
        <v>554</v>
      </c>
      <c r="AC817" s="280" t="s">
        <v>554</v>
      </c>
      <c r="AD817" s="280" t="s">
        <v>554</v>
      </c>
      <c r="AE817" s="280" t="s">
        <v>554</v>
      </c>
      <c r="AF817" s="280" t="s">
        <v>554</v>
      </c>
      <c r="AG817" s="280" t="s">
        <v>554</v>
      </c>
      <c r="AH817" s="280" t="s">
        <v>554</v>
      </c>
      <c r="AI817" s="280" t="s">
        <v>554</v>
      </c>
      <c r="AJ817" s="280" t="s">
        <v>554</v>
      </c>
      <c r="AK817" s="280" t="s">
        <v>554</v>
      </c>
      <c r="AL817" s="280" t="s">
        <v>554</v>
      </c>
    </row>
    <row r="818" spans="1:38">
      <c r="A818" s="279" t="s">
        <v>25</v>
      </c>
      <c r="B818" s="280" t="s">
        <v>144</v>
      </c>
      <c r="C818" s="276" t="s">
        <v>4871</v>
      </c>
      <c r="D818" s="280" t="s">
        <v>554</v>
      </c>
      <c r="E818" s="293">
        <v>45590</v>
      </c>
      <c r="F818" s="293">
        <v>45604</v>
      </c>
      <c r="G818" s="295" t="s">
        <v>42</v>
      </c>
      <c r="H818" s="294">
        <v>1595</v>
      </c>
      <c r="I818" s="280" t="s">
        <v>1782</v>
      </c>
      <c r="J818" s="294" t="s">
        <v>69</v>
      </c>
      <c r="K818" s="294" t="s">
        <v>31</v>
      </c>
      <c r="L818" s="294">
        <v>85286</v>
      </c>
      <c r="M818" s="294" t="s">
        <v>32</v>
      </c>
      <c r="N818" s="294" t="s">
        <v>554</v>
      </c>
      <c r="O818" s="294" t="s">
        <v>3134</v>
      </c>
      <c r="P818" s="294" t="s">
        <v>3135</v>
      </c>
      <c r="Q818" s="285" t="s">
        <v>4872</v>
      </c>
      <c r="R818" s="294">
        <v>99870</v>
      </c>
      <c r="S818" s="280" t="s">
        <v>554</v>
      </c>
      <c r="T818" s="280" t="s">
        <v>554</v>
      </c>
      <c r="U818" s="280" t="s">
        <v>554</v>
      </c>
      <c r="V818" s="280" t="s">
        <v>36</v>
      </c>
      <c r="W818" s="280" t="s">
        <v>37</v>
      </c>
      <c r="X818" s="280" t="s">
        <v>59</v>
      </c>
      <c r="Y818" s="285" t="s">
        <v>39</v>
      </c>
      <c r="Z818" s="280" t="s">
        <v>554</v>
      </c>
      <c r="AA818" s="280" t="s">
        <v>554</v>
      </c>
      <c r="AB818" s="280" t="s">
        <v>554</v>
      </c>
      <c r="AC818" s="280" t="s">
        <v>554</v>
      </c>
      <c r="AD818" s="280" t="s">
        <v>554</v>
      </c>
      <c r="AE818" s="280" t="s">
        <v>554</v>
      </c>
      <c r="AF818" s="280" t="s">
        <v>554</v>
      </c>
      <c r="AG818" s="280" t="s">
        <v>554</v>
      </c>
      <c r="AH818" s="280" t="s">
        <v>554</v>
      </c>
      <c r="AI818" s="280" t="s">
        <v>554</v>
      </c>
      <c r="AJ818" s="280" t="s">
        <v>554</v>
      </c>
      <c r="AK818" s="280" t="s">
        <v>554</v>
      </c>
      <c r="AL818" s="280" t="s">
        <v>554</v>
      </c>
    </row>
    <row r="819" spans="1:38">
      <c r="A819" s="286" t="s">
        <v>812</v>
      </c>
      <c r="B819" s="280" t="s">
        <v>258</v>
      </c>
      <c r="C819" s="280" t="s">
        <v>4873</v>
      </c>
      <c r="D819" s="280" t="s">
        <v>554</v>
      </c>
      <c r="E819" s="293">
        <v>45586</v>
      </c>
      <c r="F819" s="293">
        <v>45600</v>
      </c>
      <c r="G819" s="294" t="s">
        <v>42</v>
      </c>
      <c r="H819" s="294">
        <v>25400</v>
      </c>
      <c r="I819" s="280" t="s">
        <v>4874</v>
      </c>
      <c r="J819" s="294" t="s">
        <v>434</v>
      </c>
      <c r="K819" s="294" t="s">
        <v>31</v>
      </c>
      <c r="L819" s="294" t="s">
        <v>554</v>
      </c>
      <c r="M819" s="294" t="s">
        <v>32</v>
      </c>
      <c r="N819" s="294" t="s">
        <v>554</v>
      </c>
      <c r="O819" s="295" t="s">
        <v>2561</v>
      </c>
      <c r="P819" s="295" t="s">
        <v>4875</v>
      </c>
      <c r="Q819" s="281" t="s">
        <v>4876</v>
      </c>
      <c r="R819" s="296">
        <v>96318</v>
      </c>
      <c r="S819" s="280" t="s">
        <v>554</v>
      </c>
      <c r="T819" s="280" t="s">
        <v>554</v>
      </c>
      <c r="U819" s="280" t="s">
        <v>554</v>
      </c>
      <c r="V819" s="280" t="s">
        <v>443</v>
      </c>
      <c r="W819" s="280" t="s">
        <v>37</v>
      </c>
      <c r="X819" s="280" t="s">
        <v>616</v>
      </c>
      <c r="Y819" s="287" t="s">
        <v>617</v>
      </c>
      <c r="Z819" s="283" t="s">
        <v>364</v>
      </c>
      <c r="AA819" s="280" t="s">
        <v>554</v>
      </c>
      <c r="AB819" s="280" t="s">
        <v>554</v>
      </c>
      <c r="AC819" s="280" t="s">
        <v>554</v>
      </c>
      <c r="AD819" s="280" t="s">
        <v>554</v>
      </c>
      <c r="AE819" s="280" t="s">
        <v>554</v>
      </c>
      <c r="AF819" s="280" t="s">
        <v>554</v>
      </c>
      <c r="AG819" s="280" t="s">
        <v>554</v>
      </c>
      <c r="AH819" s="280" t="s">
        <v>554</v>
      </c>
      <c r="AI819" s="280" t="s">
        <v>554</v>
      </c>
      <c r="AJ819" s="280" t="s">
        <v>554</v>
      </c>
      <c r="AK819" s="280" t="s">
        <v>554</v>
      </c>
      <c r="AL819" s="280" t="s">
        <v>554</v>
      </c>
    </row>
    <row r="820" spans="1:38">
      <c r="A820" s="164" t="s">
        <v>812</v>
      </c>
      <c r="B820" s="29" t="s">
        <v>4877</v>
      </c>
      <c r="C820" s="4" t="s">
        <v>4878</v>
      </c>
      <c r="D820" s="130"/>
      <c r="E820" s="2">
        <v>45601</v>
      </c>
      <c r="F820" s="2">
        <f t="shared" ref="F820:F828" si="89">E820+14</f>
        <v>45615</v>
      </c>
      <c r="G820" s="2" t="s">
        <v>28</v>
      </c>
      <c r="H820" s="41">
        <v>1975</v>
      </c>
      <c r="I820" s="15" t="s">
        <v>4879</v>
      </c>
      <c r="J820" s="1" t="s">
        <v>434</v>
      </c>
      <c r="K820" s="1" t="s">
        <v>31</v>
      </c>
      <c r="L820" s="1">
        <v>85037</v>
      </c>
      <c r="M820" s="1" t="s">
        <v>32</v>
      </c>
      <c r="N820" s="4"/>
      <c r="O820" s="1" t="s">
        <v>4880</v>
      </c>
      <c r="P820" s="1" t="s">
        <v>4881</v>
      </c>
      <c r="Q820" s="87" t="s">
        <v>4882</v>
      </c>
      <c r="R820" s="31">
        <v>100468</v>
      </c>
      <c r="S820" s="4"/>
      <c r="T820" s="4"/>
      <c r="U820" s="4"/>
      <c r="V820" s="4" t="s">
        <v>443</v>
      </c>
      <c r="W820" s="4" t="s">
        <v>37</v>
      </c>
      <c r="X820" s="4" t="s">
        <v>616</v>
      </c>
      <c r="Y820" s="235" t="s">
        <v>617</v>
      </c>
      <c r="Z820" s="167" t="s">
        <v>364</v>
      </c>
    </row>
    <row r="821" spans="1:38">
      <c r="A821" s="163" t="s">
        <v>25</v>
      </c>
      <c r="B821" s="29" t="s">
        <v>144</v>
      </c>
      <c r="C821" s="4" t="s">
        <v>4871</v>
      </c>
      <c r="D821" s="130"/>
      <c r="E821" s="2">
        <v>45590</v>
      </c>
      <c r="F821" s="2">
        <f t="shared" si="89"/>
        <v>45604</v>
      </c>
      <c r="G821" s="232" t="s">
        <v>42</v>
      </c>
      <c r="H821" s="41">
        <v>1595</v>
      </c>
      <c r="I821" s="15" t="s">
        <v>1782</v>
      </c>
      <c r="J821" s="1" t="s">
        <v>69</v>
      </c>
      <c r="K821" s="1" t="s">
        <v>31</v>
      </c>
      <c r="L821" s="1">
        <v>85286</v>
      </c>
      <c r="M821" s="1" t="s">
        <v>32</v>
      </c>
      <c r="N821" s="4"/>
      <c r="O821" s="1" t="s">
        <v>3134</v>
      </c>
      <c r="P821" s="1" t="s">
        <v>3135</v>
      </c>
      <c r="Q821" s="87" t="s">
        <v>4872</v>
      </c>
      <c r="R821" s="31">
        <v>99870</v>
      </c>
      <c r="S821" s="4"/>
      <c r="T821" s="4"/>
      <c r="U821" s="4"/>
      <c r="V821" s="4" t="s">
        <v>36</v>
      </c>
      <c r="W821" s="4" t="s">
        <v>37</v>
      </c>
      <c r="X821" s="1" t="s">
        <v>59</v>
      </c>
      <c r="Y821" s="167" t="s">
        <v>39</v>
      </c>
      <c r="Z821" s="4"/>
      <c r="AA821" s="4"/>
      <c r="AB821" s="4"/>
      <c r="AC821" s="4"/>
      <c r="AD821" s="4"/>
      <c r="AE821" s="4"/>
      <c r="AF821" s="4"/>
      <c r="AG821" s="4"/>
      <c r="AH821" s="4"/>
      <c r="AI821" s="4"/>
      <c r="AJ821" s="4"/>
      <c r="AK821" s="4"/>
      <c r="AL821" s="4"/>
    </row>
    <row r="822" spans="1:38">
      <c r="A822" s="163" t="s">
        <v>25</v>
      </c>
      <c r="B822" s="29" t="s">
        <v>4686</v>
      </c>
      <c r="C822" s="4" t="s">
        <v>4869</v>
      </c>
      <c r="D822" s="130"/>
      <c r="E822" s="2">
        <v>45593</v>
      </c>
      <c r="F822" s="2">
        <f t="shared" si="89"/>
        <v>45607</v>
      </c>
      <c r="G822" s="2" t="s">
        <v>28</v>
      </c>
      <c r="H822" s="41">
        <v>5000</v>
      </c>
      <c r="I822" s="15" t="s">
        <v>4870</v>
      </c>
      <c r="J822" s="1" t="s">
        <v>398</v>
      </c>
      <c r="K822" s="1" t="s">
        <v>31</v>
      </c>
      <c r="L822" s="1">
        <v>85251</v>
      </c>
      <c r="M822" s="1" t="s">
        <v>32</v>
      </c>
      <c r="N822" s="4"/>
      <c r="O822" s="1" t="s">
        <v>4689</v>
      </c>
      <c r="P822" s="1" t="s">
        <v>4690</v>
      </c>
      <c r="Q822" s="87" t="s">
        <v>4691</v>
      </c>
      <c r="R822" s="31" t="s">
        <v>4616</v>
      </c>
      <c r="S822" s="4"/>
      <c r="T822" s="4"/>
      <c r="U822" s="4"/>
      <c r="V822" s="4" t="s">
        <v>36</v>
      </c>
      <c r="W822" s="4" t="s">
        <v>37</v>
      </c>
      <c r="X822" s="1" t="s">
        <v>59</v>
      </c>
      <c r="Y822" s="167" t="s">
        <v>39</v>
      </c>
      <c r="Z822" s="4"/>
      <c r="AA822" s="4"/>
      <c r="AB822" s="4"/>
      <c r="AC822" s="4"/>
      <c r="AD822" s="4"/>
      <c r="AE822" s="4"/>
      <c r="AF822" s="4"/>
      <c r="AG822" s="4"/>
      <c r="AH822" s="4"/>
      <c r="AI822" s="4"/>
      <c r="AJ822" s="4"/>
      <c r="AK822" s="4"/>
      <c r="AL822" s="4"/>
    </row>
    <row r="823" spans="1:38">
      <c r="A823" s="164" t="s">
        <v>812</v>
      </c>
      <c r="B823" s="29" t="s">
        <v>4883</v>
      </c>
      <c r="C823" s="4" t="s">
        <v>4884</v>
      </c>
      <c r="D823" s="130"/>
      <c r="E823" s="2">
        <v>45603</v>
      </c>
      <c r="F823" s="60">
        <f t="shared" si="89"/>
        <v>45617</v>
      </c>
      <c r="G823" s="2" t="s">
        <v>28</v>
      </c>
      <c r="H823" s="41">
        <v>7421</v>
      </c>
      <c r="I823" s="15" t="s">
        <v>984</v>
      </c>
      <c r="J823" s="1" t="s">
        <v>612</v>
      </c>
      <c r="K823" s="1" t="s">
        <v>31</v>
      </c>
      <c r="L823" s="1">
        <v>85340</v>
      </c>
      <c r="M823" s="1" t="s">
        <v>32</v>
      </c>
      <c r="N823" s="4"/>
      <c r="O823" s="179" t="s">
        <v>4885</v>
      </c>
      <c r="P823" s="179" t="s">
        <v>4886</v>
      </c>
      <c r="Q823" s="184" t="s">
        <v>4887</v>
      </c>
      <c r="R823" s="174"/>
      <c r="S823" s="4"/>
      <c r="T823" s="4"/>
      <c r="U823" s="4"/>
      <c r="V823" s="4" t="s">
        <v>443</v>
      </c>
      <c r="W823" s="4" t="s">
        <v>37</v>
      </c>
      <c r="X823" s="4" t="s">
        <v>616</v>
      </c>
      <c r="Y823" s="235" t="s">
        <v>617</v>
      </c>
      <c r="Z823" s="167" t="s">
        <v>364</v>
      </c>
      <c r="AA823" s="4"/>
      <c r="AB823" s="4"/>
      <c r="AC823" s="4"/>
      <c r="AD823" s="4"/>
      <c r="AE823" s="4"/>
      <c r="AF823" s="4"/>
      <c r="AG823" s="4"/>
      <c r="AH823" s="4"/>
      <c r="AI823" s="4"/>
      <c r="AJ823" s="4"/>
      <c r="AK823" s="4"/>
      <c r="AL823" s="4"/>
    </row>
    <row r="824" spans="1:38">
      <c r="A824" s="164" t="s">
        <v>812</v>
      </c>
      <c r="B824" s="118" t="s">
        <v>168</v>
      </c>
      <c r="C824" s="119" t="s">
        <v>4599</v>
      </c>
      <c r="D824" s="231"/>
      <c r="E824" s="2">
        <v>45603</v>
      </c>
      <c r="F824" s="2">
        <f t="shared" si="89"/>
        <v>45617</v>
      </c>
      <c r="G824" s="232" t="s">
        <v>42</v>
      </c>
      <c r="H824" s="42"/>
      <c r="I824" s="233" t="s">
        <v>4600</v>
      </c>
      <c r="J824" s="179" t="s">
        <v>837</v>
      </c>
      <c r="K824" s="179" t="s">
        <v>31</v>
      </c>
      <c r="L824" s="179">
        <v>85179</v>
      </c>
      <c r="M824" s="179" t="s">
        <v>32</v>
      </c>
      <c r="N824" s="119"/>
      <c r="O824" s="179" t="s">
        <v>4888</v>
      </c>
      <c r="P824" s="179" t="s">
        <v>4889</v>
      </c>
      <c r="Q824" s="184" t="s">
        <v>4890</v>
      </c>
      <c r="R824" s="178">
        <v>97156</v>
      </c>
      <c r="S824" s="119"/>
      <c r="T824" s="119"/>
      <c r="U824" s="119"/>
      <c r="V824" s="119" t="s">
        <v>443</v>
      </c>
      <c r="W824" s="119" t="s">
        <v>37</v>
      </c>
      <c r="X824" s="119" t="s">
        <v>616</v>
      </c>
      <c r="Y824" s="235" t="s">
        <v>617</v>
      </c>
      <c r="Z824" s="167" t="s">
        <v>364</v>
      </c>
      <c r="AA824" s="4"/>
      <c r="AB824" s="4"/>
      <c r="AC824" s="4"/>
      <c r="AD824" s="4"/>
      <c r="AE824" s="4"/>
      <c r="AF824" s="4"/>
      <c r="AG824" s="4"/>
      <c r="AH824" s="4"/>
      <c r="AI824" s="4"/>
      <c r="AJ824" s="4"/>
      <c r="AK824" s="4"/>
      <c r="AL824" s="4"/>
    </row>
    <row r="825" spans="1:38">
      <c r="A825" s="163" t="s">
        <v>25</v>
      </c>
      <c r="B825" s="15" t="s">
        <v>4865</v>
      </c>
      <c r="C825" s="29" t="s">
        <v>3372</v>
      </c>
      <c r="D825" s="1"/>
      <c r="E825" s="2">
        <v>45607</v>
      </c>
      <c r="F825" s="2">
        <f t="shared" si="89"/>
        <v>45621</v>
      </c>
      <c r="G825" s="1" t="s">
        <v>28</v>
      </c>
      <c r="H825" s="1">
        <v>98</v>
      </c>
      <c r="I825" s="15" t="s">
        <v>1490</v>
      </c>
      <c r="J825" s="1" t="s">
        <v>415</v>
      </c>
      <c r="K825" s="1" t="s">
        <v>31</v>
      </c>
      <c r="L825" s="1">
        <v>85281</v>
      </c>
      <c r="M825" s="1" t="s">
        <v>32</v>
      </c>
      <c r="N825" s="4"/>
      <c r="O825" s="1" t="s">
        <v>4866</v>
      </c>
      <c r="P825" s="1" t="s">
        <v>4867</v>
      </c>
      <c r="Q825" s="87" t="s">
        <v>4868</v>
      </c>
      <c r="R825" s="1">
        <v>90683</v>
      </c>
      <c r="S825" s="4"/>
      <c r="T825" s="4"/>
      <c r="U825" s="4"/>
      <c r="V825" s="4" t="s">
        <v>36</v>
      </c>
      <c r="W825" s="4" t="s">
        <v>37</v>
      </c>
      <c r="X825" s="1" t="s">
        <v>59</v>
      </c>
      <c r="Y825" s="167" t="s">
        <v>39</v>
      </c>
      <c r="Z825" s="168"/>
    </row>
    <row r="826" spans="1:38">
      <c r="A826" s="163" t="s">
        <v>25</v>
      </c>
      <c r="B826" s="29" t="s">
        <v>4891</v>
      </c>
      <c r="C826" s="4" t="s">
        <v>4892</v>
      </c>
      <c r="D826" s="130"/>
      <c r="E826" s="2">
        <v>45611</v>
      </c>
      <c r="F826" s="2">
        <f t="shared" si="89"/>
        <v>45625</v>
      </c>
      <c r="G826" s="232" t="s">
        <v>28</v>
      </c>
      <c r="H826" s="41">
        <v>1880</v>
      </c>
      <c r="I826" s="15" t="s">
        <v>4893</v>
      </c>
      <c r="J826" s="1" t="s">
        <v>398</v>
      </c>
      <c r="K826" s="1" t="s">
        <v>31</v>
      </c>
      <c r="L826" s="1">
        <v>85256</v>
      </c>
      <c r="M826" s="1" t="s">
        <v>32</v>
      </c>
      <c r="N826" s="4"/>
      <c r="O826" s="1" t="s">
        <v>4894</v>
      </c>
      <c r="P826" s="1" t="s">
        <v>4895</v>
      </c>
      <c r="Q826" s="129" t="s">
        <v>4896</v>
      </c>
      <c r="R826" s="1" t="s">
        <v>156</v>
      </c>
      <c r="S826" s="4"/>
      <c r="T826" s="4"/>
      <c r="U826" s="4"/>
      <c r="V826" s="4" t="s">
        <v>36</v>
      </c>
      <c r="W826" s="4" t="s">
        <v>37</v>
      </c>
      <c r="X826" s="4" t="s">
        <v>38</v>
      </c>
      <c r="Y826" s="235" t="s">
        <v>39</v>
      </c>
      <c r="Z826" s="4"/>
    </row>
    <row r="827" spans="1:38">
      <c r="A827" s="163" t="s">
        <v>25</v>
      </c>
      <c r="B827" s="15" t="s">
        <v>60</v>
      </c>
      <c r="C827" s="29" t="s">
        <v>4897</v>
      </c>
      <c r="D827" s="4"/>
      <c r="E827" s="2">
        <v>45600</v>
      </c>
      <c r="F827" s="2">
        <f t="shared" si="89"/>
        <v>45614</v>
      </c>
      <c r="G827" s="1" t="s">
        <v>42</v>
      </c>
      <c r="H827" s="1">
        <v>2377</v>
      </c>
      <c r="I827" s="4" t="s">
        <v>254</v>
      </c>
      <c r="J827" s="1" t="s">
        <v>69</v>
      </c>
      <c r="K827" s="1" t="s">
        <v>31</v>
      </c>
      <c r="L827" s="1">
        <v>85018</v>
      </c>
      <c r="M827" s="1" t="s">
        <v>32</v>
      </c>
      <c r="N827" s="4"/>
      <c r="O827" s="1" t="s">
        <v>4898</v>
      </c>
      <c r="P827" s="1" t="s">
        <v>4899</v>
      </c>
      <c r="Q827" s="87" t="s">
        <v>4900</v>
      </c>
      <c r="R827" s="1">
        <v>96088</v>
      </c>
      <c r="S827" s="4"/>
      <c r="T827" s="4"/>
      <c r="U827" s="4"/>
      <c r="V827" s="4" t="s">
        <v>36</v>
      </c>
      <c r="W827" s="4" t="s">
        <v>37</v>
      </c>
      <c r="X827" s="1" t="s">
        <v>59</v>
      </c>
      <c r="Y827" s="167" t="s">
        <v>39</v>
      </c>
      <c r="Z827" s="4"/>
    </row>
    <row r="828" spans="1:38">
      <c r="A828" s="163" t="s">
        <v>25</v>
      </c>
      <c r="B828" s="29" t="s">
        <v>858</v>
      </c>
      <c r="C828" s="4" t="s">
        <v>4901</v>
      </c>
      <c r="D828" s="130"/>
      <c r="E828" s="2">
        <v>45621</v>
      </c>
      <c r="F828" s="2">
        <f t="shared" si="89"/>
        <v>45635</v>
      </c>
      <c r="G828" s="2" t="s">
        <v>42</v>
      </c>
      <c r="H828" s="41">
        <v>1936</v>
      </c>
      <c r="I828" s="15" t="s">
        <v>3786</v>
      </c>
      <c r="J828" s="1" t="s">
        <v>30</v>
      </c>
      <c r="K828" s="1" t="s">
        <v>31</v>
      </c>
      <c r="L828" s="1"/>
      <c r="M828" s="1" t="s">
        <v>32</v>
      </c>
      <c r="N828" s="4"/>
      <c r="O828" s="1" t="s">
        <v>4902</v>
      </c>
      <c r="P828" s="1" t="s">
        <v>4903</v>
      </c>
      <c r="Q828" s="87" t="s">
        <v>4904</v>
      </c>
      <c r="R828" s="31">
        <v>97351</v>
      </c>
      <c r="S828" s="4"/>
      <c r="T828" s="4"/>
      <c r="U828" s="4"/>
      <c r="V828" s="4" t="s">
        <v>36</v>
      </c>
      <c r="W828" s="4" t="s">
        <v>37</v>
      </c>
      <c r="X828" s="1" t="s">
        <v>59</v>
      </c>
      <c r="Y828" s="167" t="s">
        <v>39</v>
      </c>
      <c r="Z828" s="4"/>
    </row>
    <row r="829" spans="1:38">
      <c r="A829" s="163" t="s">
        <v>25</v>
      </c>
      <c r="B829" s="29" t="s">
        <v>1051</v>
      </c>
      <c r="C829" s="4" t="s">
        <v>4860</v>
      </c>
      <c r="D829" s="130"/>
      <c r="E829" s="2">
        <v>45602</v>
      </c>
      <c r="F829" s="2">
        <f>E829+28</f>
        <v>45630</v>
      </c>
      <c r="G829" s="2" t="s">
        <v>28</v>
      </c>
      <c r="H829" s="41">
        <v>2000</v>
      </c>
      <c r="I829" s="15" t="s">
        <v>4861</v>
      </c>
      <c r="J829" s="1" t="s">
        <v>3082</v>
      </c>
      <c r="K829" s="1" t="s">
        <v>31</v>
      </c>
      <c r="L829" s="1">
        <v>86004</v>
      </c>
      <c r="M829" s="1" t="s">
        <v>32</v>
      </c>
      <c r="N829" s="4"/>
      <c r="O829" s="25" t="s">
        <v>4862</v>
      </c>
      <c r="P829" s="1" t="s">
        <v>4863</v>
      </c>
      <c r="Q829" s="87" t="s">
        <v>4864</v>
      </c>
      <c r="R829" s="31">
        <v>95152</v>
      </c>
      <c r="S829" s="4"/>
      <c r="T829" s="4"/>
      <c r="U829" s="4"/>
      <c r="V829" s="4" t="s">
        <v>36</v>
      </c>
      <c r="W829" s="4" t="s">
        <v>37</v>
      </c>
      <c r="X829" s="1" t="s">
        <v>59</v>
      </c>
      <c r="Y829" s="167" t="s">
        <v>39</v>
      </c>
      <c r="Z829" s="4"/>
    </row>
    <row r="830" spans="1:38">
      <c r="A830" s="164" t="s">
        <v>812</v>
      </c>
      <c r="B830" s="29" t="s">
        <v>323</v>
      </c>
      <c r="C830" s="4" t="s">
        <v>4905</v>
      </c>
      <c r="D830" s="2">
        <v>44837</v>
      </c>
      <c r="E830" s="2">
        <v>45616</v>
      </c>
      <c r="F830" s="2">
        <f t="shared" ref="F830:F835" si="90">E830+14</f>
        <v>45630</v>
      </c>
      <c r="G830" s="2" t="s">
        <v>42</v>
      </c>
      <c r="H830" s="41">
        <v>201</v>
      </c>
      <c r="I830" s="15" t="s">
        <v>4906</v>
      </c>
      <c r="J830" s="1" t="s">
        <v>434</v>
      </c>
      <c r="K830" s="1" t="s">
        <v>31</v>
      </c>
      <c r="L830" s="1">
        <v>85043</v>
      </c>
      <c r="M830" s="1" t="s">
        <v>32</v>
      </c>
      <c r="N830" s="4"/>
      <c r="O830" s="1" t="s">
        <v>4907</v>
      </c>
      <c r="P830" s="1" t="s">
        <v>2829</v>
      </c>
      <c r="Q830" s="129" t="s">
        <v>4908</v>
      </c>
      <c r="R830" s="31">
        <v>100194</v>
      </c>
      <c r="S830" s="4"/>
      <c r="T830" s="4"/>
      <c r="U830" s="4"/>
      <c r="V830" s="4" t="s">
        <v>443</v>
      </c>
      <c r="W830" s="4" t="s">
        <v>37</v>
      </c>
      <c r="X830" s="4" t="s">
        <v>616</v>
      </c>
      <c r="Y830" s="235" t="s">
        <v>617</v>
      </c>
      <c r="Z830" s="167" t="s">
        <v>364</v>
      </c>
      <c r="AA830" s="4"/>
      <c r="AB830" s="4"/>
      <c r="AC830" s="4"/>
      <c r="AD830" s="4"/>
      <c r="AE830" s="4"/>
      <c r="AF830" s="4"/>
      <c r="AG830" s="4"/>
      <c r="AH830" s="4"/>
      <c r="AI830" s="4"/>
      <c r="AJ830" s="4"/>
      <c r="AK830" s="4"/>
      <c r="AL830" s="4"/>
    </row>
    <row r="831" spans="1:38">
      <c r="A831" s="258" t="s">
        <v>812</v>
      </c>
      <c r="B831" s="29" t="s">
        <v>478</v>
      </c>
      <c r="C831" s="4" t="s">
        <v>4909</v>
      </c>
      <c r="D831" s="130"/>
      <c r="E831" s="2">
        <v>45618</v>
      </c>
      <c r="F831" s="2">
        <f t="shared" si="90"/>
        <v>45632</v>
      </c>
      <c r="G831" s="2" t="s">
        <v>42</v>
      </c>
      <c r="H831" s="41">
        <v>13455</v>
      </c>
      <c r="I831" s="15" t="s">
        <v>4910</v>
      </c>
      <c r="J831" s="1" t="s">
        <v>975</v>
      </c>
      <c r="K831" s="1" t="s">
        <v>31</v>
      </c>
      <c r="L831" s="1">
        <v>85653</v>
      </c>
      <c r="M831" s="1" t="s">
        <v>32</v>
      </c>
      <c r="N831" s="4"/>
      <c r="O831" s="1" t="s">
        <v>4911</v>
      </c>
      <c r="P831" s="1" t="s">
        <v>4912</v>
      </c>
      <c r="Q831" s="99" t="s">
        <v>4913</v>
      </c>
      <c r="R831" s="31">
        <v>100484</v>
      </c>
      <c r="S831" s="4"/>
      <c r="T831" s="4"/>
      <c r="U831" s="4"/>
      <c r="V831" s="4" t="s">
        <v>443</v>
      </c>
      <c r="W831" s="4" t="s">
        <v>37</v>
      </c>
      <c r="X831" s="4" t="s">
        <v>616</v>
      </c>
      <c r="Y831" s="235" t="s">
        <v>617</v>
      </c>
      <c r="Z831" s="4"/>
    </row>
    <row r="832" spans="1:38">
      <c r="A832" s="258" t="s">
        <v>812</v>
      </c>
      <c r="B832" s="15" t="s">
        <v>4914</v>
      </c>
      <c r="C832" s="29" t="s">
        <v>4915</v>
      </c>
      <c r="D832" s="26">
        <v>45482</v>
      </c>
      <c r="E832" s="2">
        <v>45618</v>
      </c>
      <c r="F832" s="2">
        <f t="shared" si="90"/>
        <v>45632</v>
      </c>
      <c r="G832" s="179" t="s">
        <v>28</v>
      </c>
      <c r="H832" s="1">
        <v>4873</v>
      </c>
      <c r="I832" s="4" t="s">
        <v>4916</v>
      </c>
      <c r="J832" s="1" t="s">
        <v>916</v>
      </c>
      <c r="K832" s="1" t="s">
        <v>31</v>
      </c>
      <c r="L832" s="1">
        <v>85714</v>
      </c>
      <c r="M832" s="1" t="s">
        <v>32</v>
      </c>
      <c r="N832" s="4"/>
      <c r="O832" s="1" t="s">
        <v>4917</v>
      </c>
      <c r="P832" s="1" t="s">
        <v>4918</v>
      </c>
      <c r="Q832" s="184" t="s">
        <v>4919</v>
      </c>
      <c r="R832" s="178" t="s">
        <v>35</v>
      </c>
      <c r="S832" s="4"/>
      <c r="T832" s="4"/>
      <c r="U832" s="4"/>
      <c r="V832" s="4" t="s">
        <v>443</v>
      </c>
      <c r="W832" s="4" t="s">
        <v>37</v>
      </c>
      <c r="X832" s="4" t="s">
        <v>616</v>
      </c>
      <c r="Y832" s="235" t="s">
        <v>617</v>
      </c>
      <c r="Z832" s="167" t="s">
        <v>364</v>
      </c>
      <c r="AA832" s="4"/>
      <c r="AB832" s="4"/>
      <c r="AC832" s="4"/>
      <c r="AD832" s="4"/>
      <c r="AE832" s="4"/>
      <c r="AF832" s="4"/>
      <c r="AG832" s="4"/>
      <c r="AH832" s="4"/>
      <c r="AI832" s="4"/>
      <c r="AJ832" s="4"/>
      <c r="AK832" s="4"/>
      <c r="AL832" s="4"/>
    </row>
    <row r="833" spans="1:38">
      <c r="A833" s="164" t="s">
        <v>812</v>
      </c>
      <c r="B833" s="310" t="s">
        <v>4920</v>
      </c>
      <c r="C833" s="29" t="s">
        <v>4921</v>
      </c>
      <c r="D833" s="2"/>
      <c r="E833" s="2">
        <v>45622</v>
      </c>
      <c r="F833" s="60">
        <f t="shared" si="90"/>
        <v>45636</v>
      </c>
      <c r="G833" s="2" t="s">
        <v>42</v>
      </c>
      <c r="H833" s="1">
        <v>2332</v>
      </c>
      <c r="I833" s="15" t="s">
        <v>4922</v>
      </c>
      <c r="J833" s="1" t="s">
        <v>434</v>
      </c>
      <c r="K833" s="1" t="s">
        <v>31</v>
      </c>
      <c r="L833" s="1">
        <v>85004</v>
      </c>
      <c r="M833" s="1" t="s">
        <v>32</v>
      </c>
      <c r="N833" s="4" t="s">
        <v>1283</v>
      </c>
      <c r="O833" s="1" t="s">
        <v>4923</v>
      </c>
      <c r="P833" s="1" t="s">
        <v>993</v>
      </c>
      <c r="Q833" s="87" t="s">
        <v>4924</v>
      </c>
      <c r="R833" s="1">
        <v>90775</v>
      </c>
      <c r="S833" s="4"/>
      <c r="T833" s="4"/>
      <c r="U833" s="4"/>
      <c r="V833" s="4" t="s">
        <v>443</v>
      </c>
      <c r="W833" s="4" t="s">
        <v>37</v>
      </c>
      <c r="X833" s="4" t="s">
        <v>616</v>
      </c>
      <c r="Y833" s="235" t="s">
        <v>617</v>
      </c>
      <c r="Z833" s="167" t="s">
        <v>364</v>
      </c>
      <c r="AA833" s="4"/>
      <c r="AB833" s="4"/>
      <c r="AC833" s="4"/>
      <c r="AD833" s="4"/>
      <c r="AE833" s="4"/>
      <c r="AF833" s="4"/>
      <c r="AG833" s="4"/>
      <c r="AH833" s="4"/>
      <c r="AI833" s="4"/>
      <c r="AJ833" s="4"/>
      <c r="AK833" s="4"/>
      <c r="AL833" s="4"/>
    </row>
    <row r="834" spans="1:38">
      <c r="A834" s="164" t="s">
        <v>812</v>
      </c>
      <c r="B834" s="102" t="s">
        <v>4925</v>
      </c>
      <c r="C834" s="102" t="s">
        <v>4926</v>
      </c>
      <c r="D834" s="12"/>
      <c r="E834" s="298">
        <v>45622</v>
      </c>
      <c r="F834" s="298">
        <f t="shared" si="90"/>
        <v>45636</v>
      </c>
      <c r="G834" s="12" t="s">
        <v>42</v>
      </c>
      <c r="H834" s="12">
        <v>3701</v>
      </c>
      <c r="I834" s="17" t="s">
        <v>893</v>
      </c>
      <c r="J834" s="12" t="s">
        <v>434</v>
      </c>
      <c r="K834" s="12" t="s">
        <v>31</v>
      </c>
      <c r="L834" s="12">
        <v>85009</v>
      </c>
      <c r="M834" s="12" t="s">
        <v>32</v>
      </c>
      <c r="N834" s="17"/>
      <c r="O834" s="12"/>
      <c r="P834" s="12" t="s">
        <v>4927</v>
      </c>
      <c r="Q834" s="301" t="s">
        <v>4928</v>
      </c>
      <c r="R834" s="306">
        <v>101522</v>
      </c>
      <c r="S834" s="17"/>
      <c r="T834" s="17"/>
      <c r="U834" s="17"/>
      <c r="V834" s="17" t="s">
        <v>443</v>
      </c>
      <c r="W834" s="17" t="s">
        <v>37</v>
      </c>
      <c r="X834" s="17" t="s">
        <v>616</v>
      </c>
      <c r="Y834" s="302" t="s">
        <v>617</v>
      </c>
      <c r="Z834" s="303" t="s">
        <v>364</v>
      </c>
      <c r="AA834" s="17"/>
      <c r="AB834" s="17"/>
      <c r="AC834" s="17"/>
      <c r="AD834" s="17"/>
      <c r="AE834" s="17"/>
      <c r="AF834" s="17"/>
      <c r="AG834" s="17"/>
      <c r="AH834" s="17"/>
      <c r="AI834" s="4"/>
      <c r="AJ834" s="4"/>
      <c r="AK834" s="4"/>
      <c r="AL834" s="4"/>
    </row>
    <row r="835" spans="1:38">
      <c r="A835" s="164" t="s">
        <v>812</v>
      </c>
      <c r="B835" s="29" t="s">
        <v>1040</v>
      </c>
      <c r="C835" s="4" t="s">
        <v>4929</v>
      </c>
      <c r="D835" s="130"/>
      <c r="E835" s="2">
        <v>45621</v>
      </c>
      <c r="F835" s="2">
        <f t="shared" si="90"/>
        <v>45635</v>
      </c>
      <c r="G835" s="2" t="s">
        <v>42</v>
      </c>
      <c r="H835" s="41" t="s">
        <v>4129</v>
      </c>
      <c r="I835" s="15" t="s">
        <v>4930</v>
      </c>
      <c r="J835" s="1" t="s">
        <v>831</v>
      </c>
      <c r="K835" s="1" t="s">
        <v>31</v>
      </c>
      <c r="L835" s="1"/>
      <c r="M835" s="1" t="s">
        <v>32</v>
      </c>
      <c r="N835" s="4"/>
      <c r="O835" s="1" t="s">
        <v>4931</v>
      </c>
      <c r="P835" s="1" t="s">
        <v>4932</v>
      </c>
      <c r="Q835" s="184" t="s">
        <v>4933</v>
      </c>
      <c r="R835" s="31">
        <v>93423</v>
      </c>
      <c r="S835" s="4"/>
      <c r="T835" s="4"/>
      <c r="U835" s="4"/>
      <c r="V835" s="4" t="s">
        <v>443</v>
      </c>
      <c r="W835" s="4" t="s">
        <v>37</v>
      </c>
      <c r="X835" s="4" t="s">
        <v>616</v>
      </c>
      <c r="Y835" s="235" t="s">
        <v>617</v>
      </c>
      <c r="Z835" s="167" t="s">
        <v>364</v>
      </c>
      <c r="AA835" s="4"/>
      <c r="AB835" s="4"/>
      <c r="AC835" s="4"/>
      <c r="AD835" s="4"/>
      <c r="AE835" s="4"/>
      <c r="AF835" s="4"/>
      <c r="AG835" s="4"/>
      <c r="AH835" s="4"/>
      <c r="AI835" s="4"/>
      <c r="AJ835" s="4"/>
      <c r="AK835" s="4"/>
      <c r="AL835" s="4"/>
    </row>
    <row r="836" spans="1:38">
      <c r="A836" s="163" t="s">
        <v>25</v>
      </c>
      <c r="B836" s="118" t="s">
        <v>372</v>
      </c>
      <c r="C836" s="4" t="s">
        <v>4934</v>
      </c>
      <c r="D836" s="130"/>
      <c r="E836" s="2">
        <v>45616</v>
      </c>
      <c r="F836" s="2">
        <f>E836+28</f>
        <v>45644</v>
      </c>
      <c r="G836" s="2" t="s">
        <v>42</v>
      </c>
      <c r="H836" s="41" t="s">
        <v>364</v>
      </c>
      <c r="I836" s="15" t="s">
        <v>4935</v>
      </c>
      <c r="J836" s="1" t="s">
        <v>385</v>
      </c>
      <c r="K836" s="1" t="s">
        <v>31</v>
      </c>
      <c r="L836" s="1">
        <v>85530</v>
      </c>
      <c r="M836" s="1" t="s">
        <v>32</v>
      </c>
      <c r="N836" s="4"/>
      <c r="O836" s="1" t="s">
        <v>4936</v>
      </c>
      <c r="P836" s="1" t="s">
        <v>4937</v>
      </c>
      <c r="Q836" s="87" t="s">
        <v>4938</v>
      </c>
      <c r="R836" s="124" t="s">
        <v>156</v>
      </c>
      <c r="S836" s="4"/>
      <c r="T836" s="4"/>
      <c r="U836" s="4"/>
      <c r="V836" s="4" t="s">
        <v>36</v>
      </c>
      <c r="W836" s="4" t="s">
        <v>37</v>
      </c>
      <c r="X836" s="1" t="s">
        <v>59</v>
      </c>
      <c r="Y836" s="167" t="s">
        <v>39</v>
      </c>
      <c r="Z836" s="4"/>
    </row>
    <row r="837" spans="1:38">
      <c r="A837" s="163" t="s">
        <v>25</v>
      </c>
      <c r="B837" s="29" t="s">
        <v>1335</v>
      </c>
      <c r="C837" s="4" t="s">
        <v>4939</v>
      </c>
      <c r="D837" s="130"/>
      <c r="E837" s="2">
        <v>45621</v>
      </c>
      <c r="F837" s="2">
        <f>E837+14</f>
        <v>45635</v>
      </c>
      <c r="G837" s="2" t="s">
        <v>42</v>
      </c>
      <c r="H837" s="41">
        <v>8688</v>
      </c>
      <c r="I837" s="15" t="s">
        <v>4940</v>
      </c>
      <c r="J837" s="1" t="s">
        <v>415</v>
      </c>
      <c r="K837" s="1" t="s">
        <v>31</v>
      </c>
      <c r="L837" s="1">
        <v>85284</v>
      </c>
      <c r="M837" s="1" t="s">
        <v>32</v>
      </c>
      <c r="N837" s="4"/>
      <c r="O837" s="1" t="s">
        <v>4941</v>
      </c>
      <c r="P837" s="1" t="s">
        <v>4942</v>
      </c>
      <c r="Q837" s="87" t="s">
        <v>4943</v>
      </c>
      <c r="R837" s="31">
        <v>96767</v>
      </c>
      <c r="S837" s="4"/>
      <c r="T837" s="4"/>
      <c r="U837" s="4"/>
      <c r="V837" s="4" t="s">
        <v>36</v>
      </c>
      <c r="W837" s="4" t="s">
        <v>37</v>
      </c>
      <c r="X837" s="4" t="s">
        <v>38</v>
      </c>
      <c r="Y837" s="235" t="s">
        <v>39</v>
      </c>
      <c r="Z837" s="4"/>
    </row>
    <row r="838" spans="1:38">
      <c r="A838" s="163" t="s">
        <v>25</v>
      </c>
      <c r="B838" s="70" t="s">
        <v>168</v>
      </c>
      <c r="C838" s="4" t="s">
        <v>4944</v>
      </c>
      <c r="D838" s="130"/>
      <c r="E838" s="2">
        <v>45614</v>
      </c>
      <c r="F838" s="2">
        <f>E838+14</f>
        <v>45628</v>
      </c>
      <c r="G838" s="232" t="s">
        <v>42</v>
      </c>
      <c r="H838" s="41">
        <v>7237</v>
      </c>
      <c r="I838" s="15" t="s">
        <v>62</v>
      </c>
      <c r="J838" s="1" t="s">
        <v>63</v>
      </c>
      <c r="K838" s="1" t="s">
        <v>31</v>
      </c>
      <c r="L838" s="1">
        <v>85242</v>
      </c>
      <c r="M838" s="1" t="s">
        <v>32</v>
      </c>
      <c r="N838" s="4"/>
      <c r="O838" s="1" t="s">
        <v>172</v>
      </c>
      <c r="P838" s="1" t="s">
        <v>4945</v>
      </c>
      <c r="Q838" s="87" t="s">
        <v>4946</v>
      </c>
      <c r="R838" s="31">
        <v>103807</v>
      </c>
      <c r="S838" s="4"/>
      <c r="T838" s="4"/>
      <c r="U838" s="4"/>
      <c r="V838" s="4" t="s">
        <v>36</v>
      </c>
      <c r="W838" s="4" t="s">
        <v>37</v>
      </c>
      <c r="X838" s="1" t="s">
        <v>59</v>
      </c>
      <c r="Y838" s="167" t="s">
        <v>39</v>
      </c>
      <c r="Z838" s="4"/>
      <c r="AA838" s="4"/>
      <c r="AB838" s="4"/>
      <c r="AC838" s="4"/>
      <c r="AD838" s="4"/>
      <c r="AE838" s="4"/>
      <c r="AF838" s="4"/>
      <c r="AG838" s="4"/>
      <c r="AH838" s="4"/>
    </row>
    <row r="839" spans="1:38">
      <c r="A839" s="163" t="s">
        <v>25</v>
      </c>
      <c r="B839" s="29" t="s">
        <v>105</v>
      </c>
      <c r="C839" s="4" t="s">
        <v>4947</v>
      </c>
      <c r="D839" s="130"/>
      <c r="E839" s="2">
        <v>45615</v>
      </c>
      <c r="F839" s="2">
        <f>E839+14</f>
        <v>45629</v>
      </c>
      <c r="G839" s="2" t="s">
        <v>28</v>
      </c>
      <c r="H839" s="41">
        <v>7650</v>
      </c>
      <c r="I839" s="15" t="s">
        <v>135</v>
      </c>
      <c r="J839" s="1" t="s">
        <v>49</v>
      </c>
      <c r="K839" s="1" t="s">
        <v>31</v>
      </c>
      <c r="L839" s="1">
        <v>85286</v>
      </c>
      <c r="M839" s="1" t="s">
        <v>32</v>
      </c>
      <c r="N839" s="4"/>
      <c r="O839" s="1" t="s">
        <v>4948</v>
      </c>
      <c r="P839" s="1" t="s">
        <v>4949</v>
      </c>
      <c r="Q839" s="87" t="s">
        <v>4950</v>
      </c>
      <c r="R839" s="31">
        <v>100427</v>
      </c>
      <c r="S839" s="4"/>
      <c r="T839" s="4"/>
      <c r="U839" s="4"/>
      <c r="V839" s="4" t="s">
        <v>36</v>
      </c>
      <c r="W839" s="4" t="s">
        <v>37</v>
      </c>
      <c r="X839" s="1" t="s">
        <v>59</v>
      </c>
      <c r="Y839" s="167" t="s">
        <v>39</v>
      </c>
      <c r="Z839" s="4"/>
      <c r="AA839" s="4"/>
      <c r="AB839" s="4"/>
      <c r="AC839" s="4"/>
      <c r="AD839" s="4"/>
      <c r="AE839" s="4"/>
      <c r="AF839" s="4"/>
      <c r="AG839" s="4"/>
      <c r="AH839" s="4"/>
      <c r="AI839" s="4"/>
      <c r="AJ839" s="4"/>
      <c r="AK839" s="4"/>
      <c r="AL839" s="4"/>
    </row>
    <row r="840" spans="1:38">
      <c r="A840" s="164" t="s">
        <v>812</v>
      </c>
      <c r="B840" s="233" t="s">
        <v>4951</v>
      </c>
      <c r="C840" s="118" t="s">
        <v>4952</v>
      </c>
      <c r="D840" s="232"/>
      <c r="E840" s="2">
        <v>45624</v>
      </c>
      <c r="F840" s="2">
        <f>E840+14</f>
        <v>45638</v>
      </c>
      <c r="G840" s="179" t="s">
        <v>28</v>
      </c>
      <c r="H840" s="179">
        <v>2121</v>
      </c>
      <c r="I840" s="119" t="s">
        <v>4624</v>
      </c>
      <c r="J840" s="179" t="s">
        <v>434</v>
      </c>
      <c r="K840" s="179" t="s">
        <v>31</v>
      </c>
      <c r="L840" s="179">
        <v>85022</v>
      </c>
      <c r="M840" s="179" t="s">
        <v>32</v>
      </c>
      <c r="N840" s="119"/>
      <c r="O840" s="173"/>
      <c r="P840" s="173"/>
      <c r="Q840" s="263"/>
      <c r="R840" s="173"/>
      <c r="S840" s="119"/>
      <c r="T840" s="119"/>
      <c r="U840" s="119"/>
      <c r="V840" s="119" t="s">
        <v>443</v>
      </c>
      <c r="W840" s="119" t="s">
        <v>37</v>
      </c>
      <c r="X840" s="119" t="s">
        <v>616</v>
      </c>
      <c r="Y840" s="235" t="s">
        <v>617</v>
      </c>
      <c r="Z840" s="167" t="s">
        <v>364</v>
      </c>
      <c r="AA840" s="4"/>
      <c r="AB840" s="4"/>
      <c r="AC840" s="4"/>
      <c r="AD840" s="4"/>
      <c r="AE840" s="4"/>
      <c r="AF840" s="4"/>
      <c r="AG840" s="4"/>
      <c r="AH840" s="4"/>
      <c r="AI840" s="4"/>
      <c r="AJ840" s="4"/>
      <c r="AK840" s="4"/>
      <c r="AL840" s="4"/>
    </row>
    <row r="841" spans="1:38">
      <c r="A841" s="163" t="s">
        <v>25</v>
      </c>
      <c r="B841" s="29" t="s">
        <v>60</v>
      </c>
      <c r="C841" s="4" t="s">
        <v>4953</v>
      </c>
      <c r="D841" s="130"/>
      <c r="E841" s="2">
        <v>45639</v>
      </c>
      <c r="F841" s="2">
        <f>E841+14</f>
        <v>45653</v>
      </c>
      <c r="G841" s="2" t="s">
        <v>42</v>
      </c>
      <c r="H841" s="41">
        <v>2058</v>
      </c>
      <c r="I841" s="15" t="s">
        <v>414</v>
      </c>
      <c r="J841" s="1" t="s">
        <v>415</v>
      </c>
      <c r="K841" s="1" t="s">
        <v>31</v>
      </c>
      <c r="L841" s="1">
        <v>85281</v>
      </c>
      <c r="M841" s="1" t="s">
        <v>32</v>
      </c>
      <c r="N841" s="4"/>
      <c r="O841" s="1" t="s">
        <v>4954</v>
      </c>
      <c r="P841" s="1" t="s">
        <v>4955</v>
      </c>
      <c r="Q841" s="87" t="s">
        <v>4956</v>
      </c>
      <c r="R841" s="31">
        <v>90172</v>
      </c>
      <c r="S841" s="4"/>
      <c r="T841" s="4"/>
      <c r="U841" s="4"/>
      <c r="V841" s="4" t="s">
        <v>36</v>
      </c>
      <c r="W841" s="4" t="s">
        <v>37</v>
      </c>
      <c r="X841" s="1" t="s">
        <v>59</v>
      </c>
      <c r="Y841" s="167" t="s">
        <v>39</v>
      </c>
      <c r="Z841" s="168"/>
    </row>
    <row r="842" spans="1:38">
      <c r="A842" s="164" t="s">
        <v>812</v>
      </c>
      <c r="B842" s="29" t="s">
        <v>157</v>
      </c>
      <c r="C842" s="4" t="s">
        <v>4957</v>
      </c>
      <c r="D842" s="130" t="s">
        <v>516</v>
      </c>
      <c r="E842" s="2">
        <v>45624</v>
      </c>
      <c r="F842" s="2">
        <f>E842+28</f>
        <v>45652</v>
      </c>
      <c r="G842" s="2" t="s">
        <v>28</v>
      </c>
      <c r="H842" s="41">
        <v>3420</v>
      </c>
      <c r="I842" s="15" t="s">
        <v>692</v>
      </c>
      <c r="J842" s="1" t="s">
        <v>434</v>
      </c>
      <c r="K842" s="1" t="s">
        <v>31</v>
      </c>
      <c r="L842" s="1"/>
      <c r="M842" s="1" t="s">
        <v>32</v>
      </c>
      <c r="N842" s="4"/>
      <c r="O842" s="1" t="s">
        <v>3277</v>
      </c>
      <c r="P842" s="1" t="s">
        <v>4958</v>
      </c>
      <c r="Q842" s="87" t="s">
        <v>4959</v>
      </c>
      <c r="R842" s="31">
        <v>97422</v>
      </c>
      <c r="S842" s="4"/>
      <c r="T842" s="4"/>
      <c r="U842" s="4"/>
      <c r="V842" s="4" t="s">
        <v>443</v>
      </c>
      <c r="W842" s="4" t="s">
        <v>37</v>
      </c>
      <c r="X842" s="4" t="s">
        <v>616</v>
      </c>
      <c r="Y842" s="235" t="s">
        <v>617</v>
      </c>
      <c r="Z842" s="167" t="s">
        <v>364</v>
      </c>
    </row>
    <row r="843" spans="1:38">
      <c r="A843" s="164" t="s">
        <v>812</v>
      </c>
      <c r="B843" s="29" t="s">
        <v>4960</v>
      </c>
      <c r="C843" s="4" t="s">
        <v>4961</v>
      </c>
      <c r="D843" s="2"/>
      <c r="E843" s="2">
        <v>45629</v>
      </c>
      <c r="F843" s="2">
        <f t="shared" ref="F843:F849" si="91">E843+14</f>
        <v>45643</v>
      </c>
      <c r="G843" s="2" t="s">
        <v>42</v>
      </c>
      <c r="H843" s="41">
        <v>5245</v>
      </c>
      <c r="I843" s="15" t="s">
        <v>2619</v>
      </c>
      <c r="J843" s="1" t="s">
        <v>612</v>
      </c>
      <c r="K843" s="1" t="s">
        <v>31</v>
      </c>
      <c r="L843" s="1">
        <v>85340</v>
      </c>
      <c r="M843" s="1" t="s">
        <v>32</v>
      </c>
      <c r="N843" s="4"/>
      <c r="O843" s="253" t="s">
        <v>4962</v>
      </c>
      <c r="P843" s="1" t="s">
        <v>4963</v>
      </c>
      <c r="Q843" s="87" t="s">
        <v>4964</v>
      </c>
      <c r="R843" s="178">
        <v>103182</v>
      </c>
      <c r="S843" s="4"/>
      <c r="T843" s="4"/>
      <c r="U843" s="4"/>
      <c r="V843" s="4" t="s">
        <v>443</v>
      </c>
      <c r="W843" s="4" t="s">
        <v>37</v>
      </c>
      <c r="X843" s="4" t="s">
        <v>616</v>
      </c>
      <c r="Y843" s="235" t="s">
        <v>617</v>
      </c>
      <c r="Z843" s="167" t="s">
        <v>364</v>
      </c>
      <c r="AA843" s="4"/>
      <c r="AB843" s="4"/>
      <c r="AC843" s="4"/>
      <c r="AD843" s="4"/>
      <c r="AE843" s="4"/>
      <c r="AF843" s="4"/>
      <c r="AG843" s="4"/>
      <c r="AH843" s="4"/>
      <c r="AI843" s="4"/>
      <c r="AJ843" s="4"/>
      <c r="AK843" s="4"/>
      <c r="AL843" s="4"/>
    </row>
    <row r="844" spans="1:38">
      <c r="A844" s="163" t="s">
        <v>25</v>
      </c>
      <c r="B844" s="29" t="s">
        <v>276</v>
      </c>
      <c r="C844" s="4" t="s">
        <v>4965</v>
      </c>
      <c r="D844" s="130"/>
      <c r="E844" s="2">
        <v>45632</v>
      </c>
      <c r="F844" s="2">
        <f t="shared" si="91"/>
        <v>45646</v>
      </c>
      <c r="G844" s="2" t="s">
        <v>42</v>
      </c>
      <c r="H844" s="41">
        <v>3220</v>
      </c>
      <c r="I844" s="15" t="s">
        <v>4966</v>
      </c>
      <c r="J844" s="1" t="s">
        <v>69</v>
      </c>
      <c r="K844" s="1" t="s">
        <v>31</v>
      </c>
      <c r="L844" s="1">
        <v>85286</v>
      </c>
      <c r="M844" s="1" t="s">
        <v>32</v>
      </c>
      <c r="N844" s="4"/>
      <c r="O844" s="1" t="s">
        <v>3875</v>
      </c>
      <c r="P844" s="1" t="s">
        <v>4967</v>
      </c>
      <c r="Q844" s="87" t="s">
        <v>4968</v>
      </c>
      <c r="R844" s="31">
        <v>98901</v>
      </c>
      <c r="S844" s="4"/>
      <c r="T844" s="4"/>
      <c r="U844" s="4"/>
      <c r="V844" s="4" t="s">
        <v>36</v>
      </c>
      <c r="W844" s="4" t="s">
        <v>37</v>
      </c>
      <c r="X844" s="1" t="s">
        <v>59</v>
      </c>
      <c r="Y844" s="167" t="s">
        <v>39</v>
      </c>
      <c r="Z844" s="4"/>
    </row>
    <row r="845" spans="1:38">
      <c r="A845" s="164" t="s">
        <v>812</v>
      </c>
      <c r="B845" s="29" t="s">
        <v>478</v>
      </c>
      <c r="C845" s="4" t="s">
        <v>4969</v>
      </c>
      <c r="D845" s="130"/>
      <c r="E845" s="2">
        <v>45637</v>
      </c>
      <c r="F845" s="2">
        <f t="shared" si="91"/>
        <v>45651</v>
      </c>
      <c r="G845" s="2" t="s">
        <v>28</v>
      </c>
      <c r="H845" s="41"/>
      <c r="I845" s="15" t="s">
        <v>4970</v>
      </c>
      <c r="J845" s="1" t="s">
        <v>844</v>
      </c>
      <c r="K845" s="1" t="s">
        <v>31</v>
      </c>
      <c r="L845" s="1">
        <v>85395</v>
      </c>
      <c r="M845" s="1"/>
      <c r="N845" s="4"/>
      <c r="O845" s="1" t="s">
        <v>1631</v>
      </c>
      <c r="P845" s="1" t="s">
        <v>1632</v>
      </c>
      <c r="Q845" s="184" t="s">
        <v>4971</v>
      </c>
      <c r="R845" s="31">
        <v>100851</v>
      </c>
      <c r="S845" s="4"/>
      <c r="T845" s="4"/>
      <c r="U845" s="4"/>
      <c r="V845" s="4" t="s">
        <v>443</v>
      </c>
      <c r="W845" s="4" t="s">
        <v>37</v>
      </c>
      <c r="X845" s="4" t="s">
        <v>616</v>
      </c>
      <c r="Y845" s="235" t="s">
        <v>617</v>
      </c>
      <c r="Z845" s="167" t="s">
        <v>364</v>
      </c>
    </row>
    <row r="846" spans="1:38">
      <c r="A846" s="164" t="s">
        <v>812</v>
      </c>
      <c r="B846" s="102" t="s">
        <v>1213</v>
      </c>
      <c r="C846" s="17" t="s">
        <v>4972</v>
      </c>
      <c r="D846" s="312"/>
      <c r="E846" s="2">
        <v>45630</v>
      </c>
      <c r="F846" s="2">
        <f t="shared" si="91"/>
        <v>45644</v>
      </c>
      <c r="G846" s="298" t="s">
        <v>42</v>
      </c>
      <c r="H846" s="299" t="s">
        <v>379</v>
      </c>
      <c r="I846" s="141" t="s">
        <v>4973</v>
      </c>
      <c r="J846" s="12" t="s">
        <v>434</v>
      </c>
      <c r="K846" s="12" t="s">
        <v>31</v>
      </c>
      <c r="L846" s="12"/>
      <c r="M846" s="12" t="s">
        <v>32</v>
      </c>
      <c r="N846" s="17"/>
      <c r="O846" s="12" t="s">
        <v>4974</v>
      </c>
      <c r="P846" s="12" t="s">
        <v>4975</v>
      </c>
      <c r="Q846" s="314" t="s">
        <v>4976</v>
      </c>
      <c r="R846" s="315">
        <v>100765</v>
      </c>
      <c r="S846" s="17"/>
      <c r="T846" s="17"/>
      <c r="U846" s="17"/>
      <c r="V846" s="17" t="s">
        <v>443</v>
      </c>
      <c r="W846" s="17" t="s">
        <v>37</v>
      </c>
      <c r="X846" s="17" t="s">
        <v>616</v>
      </c>
      <c r="Y846" s="308" t="s">
        <v>617</v>
      </c>
      <c r="Z846" s="303" t="s">
        <v>364</v>
      </c>
      <c r="AA846" s="4"/>
      <c r="AB846" s="4"/>
      <c r="AC846" s="4"/>
      <c r="AD846" s="4"/>
      <c r="AE846" s="4"/>
      <c r="AF846" s="4"/>
      <c r="AG846" s="4"/>
      <c r="AH846" s="4"/>
    </row>
    <row r="847" spans="1:38">
      <c r="A847" s="164" t="s">
        <v>812</v>
      </c>
      <c r="B847" s="29" t="s">
        <v>258</v>
      </c>
      <c r="C847" s="4" t="s">
        <v>4977</v>
      </c>
      <c r="D847" s="2"/>
      <c r="E847" s="2">
        <v>45630</v>
      </c>
      <c r="F847" s="2">
        <f t="shared" si="91"/>
        <v>45644</v>
      </c>
      <c r="G847" s="2" t="s">
        <v>42</v>
      </c>
      <c r="H847" s="41">
        <v>8950</v>
      </c>
      <c r="I847" s="15" t="s">
        <v>906</v>
      </c>
      <c r="J847" s="1" t="s">
        <v>434</v>
      </c>
      <c r="K847" s="1" t="s">
        <v>31</v>
      </c>
      <c r="L847" s="1">
        <v>85339</v>
      </c>
      <c r="M847" s="1" t="s">
        <v>32</v>
      </c>
      <c r="N847" s="4"/>
      <c r="O847" s="179" t="s">
        <v>260</v>
      </c>
      <c r="P847" s="179" t="s">
        <v>4978</v>
      </c>
      <c r="Q847" s="184" t="s">
        <v>4979</v>
      </c>
      <c r="R847" s="31">
        <v>95703</v>
      </c>
      <c r="S847" s="4"/>
      <c r="T847" s="4"/>
      <c r="U847" s="4"/>
      <c r="V847" s="4" t="s">
        <v>443</v>
      </c>
      <c r="W847" s="4" t="s">
        <v>37</v>
      </c>
      <c r="X847" s="4" t="s">
        <v>616</v>
      </c>
      <c r="Y847" s="235" t="s">
        <v>617</v>
      </c>
      <c r="Z847" s="167" t="s">
        <v>364</v>
      </c>
      <c r="AA847" s="4"/>
      <c r="AB847" s="4"/>
      <c r="AC847" s="4"/>
      <c r="AD847" s="4"/>
      <c r="AE847" s="4"/>
      <c r="AF847" s="4"/>
      <c r="AG847" s="4"/>
      <c r="AH847" s="4"/>
      <c r="AI847" s="4"/>
      <c r="AJ847" s="4"/>
      <c r="AK847" s="4"/>
      <c r="AL847" s="4"/>
    </row>
    <row r="848" spans="1:38">
      <c r="A848" s="164" t="s">
        <v>812</v>
      </c>
      <c r="B848" s="29" t="s">
        <v>2444</v>
      </c>
      <c r="C848" s="4" t="s">
        <v>4980</v>
      </c>
      <c r="D848" s="2"/>
      <c r="E848" s="2">
        <v>45636</v>
      </c>
      <c r="F848" s="2">
        <f t="shared" si="91"/>
        <v>45650</v>
      </c>
      <c r="G848" s="2"/>
      <c r="H848" s="41">
        <v>550</v>
      </c>
      <c r="I848" s="15" t="s">
        <v>1625</v>
      </c>
      <c r="J848" s="1" t="s">
        <v>434</v>
      </c>
      <c r="K848" s="1" t="s">
        <v>31</v>
      </c>
      <c r="L848" s="1">
        <v>85004</v>
      </c>
      <c r="M848" s="1" t="s">
        <v>32</v>
      </c>
      <c r="N848" s="4"/>
      <c r="O848" s="1" t="s">
        <v>4981</v>
      </c>
      <c r="P848" s="1" t="s">
        <v>4982</v>
      </c>
      <c r="Q848" s="87" t="s">
        <v>4983</v>
      </c>
      <c r="R848" s="31"/>
      <c r="S848" s="4"/>
      <c r="T848" s="4"/>
      <c r="U848" s="4"/>
      <c r="V848" s="4" t="s">
        <v>443</v>
      </c>
      <c r="W848" s="4" t="s">
        <v>37</v>
      </c>
      <c r="X848" s="4" t="s">
        <v>616</v>
      </c>
      <c r="Y848" s="235" t="s">
        <v>617</v>
      </c>
      <c r="Z848" s="167"/>
      <c r="AA848" s="4"/>
      <c r="AB848" s="4"/>
      <c r="AC848" s="4"/>
      <c r="AD848" s="4"/>
      <c r="AE848" s="4"/>
      <c r="AF848" s="4"/>
      <c r="AG848" s="4"/>
      <c r="AH848" s="4"/>
      <c r="AI848" s="4"/>
      <c r="AJ848" s="4"/>
      <c r="AK848" s="4"/>
      <c r="AL848" s="4"/>
    </row>
    <row r="849" spans="1:38">
      <c r="A849" s="163" t="s">
        <v>25</v>
      </c>
      <c r="B849" s="15" t="s">
        <v>4865</v>
      </c>
      <c r="C849" s="29" t="s">
        <v>4984</v>
      </c>
      <c r="D849" s="2">
        <v>44819</v>
      </c>
      <c r="E849" s="2">
        <v>45631</v>
      </c>
      <c r="F849" s="2">
        <f t="shared" si="91"/>
        <v>45645</v>
      </c>
      <c r="G849" s="1" t="s">
        <v>28</v>
      </c>
      <c r="H849" s="1">
        <v>7935</v>
      </c>
      <c r="I849" s="15" t="s">
        <v>4985</v>
      </c>
      <c r="J849" s="1" t="s">
        <v>398</v>
      </c>
      <c r="K849" s="1" t="s">
        <v>31</v>
      </c>
      <c r="L849" s="1">
        <v>85255</v>
      </c>
      <c r="M849" s="1" t="s">
        <v>32</v>
      </c>
      <c r="N849" s="4"/>
      <c r="O849" s="25" t="s">
        <v>4986</v>
      </c>
      <c r="P849" s="1" t="s">
        <v>4987</v>
      </c>
      <c r="Q849" s="87" t="s">
        <v>4988</v>
      </c>
      <c r="R849" s="1">
        <v>95263</v>
      </c>
      <c r="S849" s="4"/>
      <c r="T849" s="4"/>
      <c r="U849" s="4"/>
      <c r="V849" s="4" t="s">
        <v>36</v>
      </c>
      <c r="W849" s="4" t="s">
        <v>37</v>
      </c>
      <c r="X849" s="1" t="s">
        <v>59</v>
      </c>
      <c r="Y849" s="167" t="s">
        <v>39</v>
      </c>
      <c r="Z849" s="168"/>
    </row>
    <row r="850" spans="1:38">
      <c r="A850" s="164" t="s">
        <v>812</v>
      </c>
      <c r="B850" s="29" t="s">
        <v>2496</v>
      </c>
      <c r="C850" s="4" t="s">
        <v>4989</v>
      </c>
      <c r="D850" s="130" t="s">
        <v>516</v>
      </c>
      <c r="E850" s="2">
        <v>45615</v>
      </c>
      <c r="F850" s="2">
        <f>E850+28</f>
        <v>45643</v>
      </c>
      <c r="G850" s="2" t="s">
        <v>42</v>
      </c>
      <c r="H850" s="41" t="s">
        <v>184</v>
      </c>
      <c r="I850" s="15" t="s">
        <v>4990</v>
      </c>
      <c r="J850" s="1" t="s">
        <v>873</v>
      </c>
      <c r="K850" s="1" t="s">
        <v>31</v>
      </c>
      <c r="L850" s="1">
        <v>85323</v>
      </c>
      <c r="M850" s="1" t="s">
        <v>32</v>
      </c>
      <c r="N850" s="4"/>
      <c r="O850" s="1" t="s">
        <v>4991</v>
      </c>
      <c r="P850" s="1" t="s">
        <v>4992</v>
      </c>
      <c r="Q850" s="129" t="s">
        <v>4993</v>
      </c>
      <c r="R850" s="31">
        <v>94806</v>
      </c>
      <c r="S850" s="4"/>
      <c r="T850" s="4"/>
      <c r="U850" s="4"/>
      <c r="V850" s="4" t="s">
        <v>36</v>
      </c>
      <c r="W850" s="4" t="s">
        <v>37</v>
      </c>
      <c r="X850" s="4" t="s">
        <v>616</v>
      </c>
      <c r="Y850" s="235" t="s">
        <v>617</v>
      </c>
      <c r="Z850" s="167" t="s">
        <v>364</v>
      </c>
      <c r="AA850" s="119"/>
      <c r="AB850" s="119"/>
      <c r="AC850" s="119"/>
      <c r="AD850" s="119"/>
      <c r="AE850" s="119"/>
      <c r="AF850" s="119"/>
      <c r="AG850" s="119"/>
      <c r="AH850" s="119"/>
      <c r="AI850" s="119"/>
      <c r="AJ850" s="119"/>
      <c r="AK850" s="119"/>
      <c r="AL850" s="119"/>
    </row>
    <row r="851" spans="1:38">
      <c r="A851" s="164" t="s">
        <v>812</v>
      </c>
      <c r="B851" s="29" t="s">
        <v>761</v>
      </c>
      <c r="C851" s="4" t="s">
        <v>4994</v>
      </c>
      <c r="D851" s="130"/>
      <c r="E851" s="2">
        <v>45637</v>
      </c>
      <c r="F851" s="2">
        <f>E851+14</f>
        <v>45651</v>
      </c>
      <c r="G851" s="2" t="s">
        <v>28</v>
      </c>
      <c r="H851" s="41">
        <v>1025</v>
      </c>
      <c r="I851" s="15" t="s">
        <v>4995</v>
      </c>
      <c r="J851" s="1" t="s">
        <v>844</v>
      </c>
      <c r="K851" s="1" t="s">
        <v>3456</v>
      </c>
      <c r="L851" s="1">
        <v>85338</v>
      </c>
      <c r="M851" s="1" t="s">
        <v>32</v>
      </c>
      <c r="N851" s="4"/>
      <c r="O851" s="1" t="s">
        <v>4996</v>
      </c>
      <c r="P851" s="1" t="s">
        <v>766</v>
      </c>
      <c r="Q851" s="87" t="s">
        <v>767</v>
      </c>
      <c r="R851" s="178" t="s">
        <v>314</v>
      </c>
      <c r="S851" s="4"/>
      <c r="T851" s="4"/>
      <c r="U851" s="4"/>
      <c r="V851" s="4" t="s">
        <v>443</v>
      </c>
      <c r="W851" s="4" t="s">
        <v>37</v>
      </c>
      <c r="X851" s="4" t="s">
        <v>616</v>
      </c>
      <c r="Y851" s="235" t="s">
        <v>617</v>
      </c>
      <c r="Z851" s="167" t="s">
        <v>364</v>
      </c>
      <c r="AA851" s="4"/>
      <c r="AB851" s="4"/>
      <c r="AC851" s="4"/>
      <c r="AD851" s="4"/>
      <c r="AE851" s="4"/>
      <c r="AF851" s="4"/>
      <c r="AG851" s="4"/>
      <c r="AH851" s="4"/>
      <c r="AI851" s="4"/>
      <c r="AJ851" s="4"/>
      <c r="AK851" s="4"/>
      <c r="AL851" s="4"/>
    </row>
    <row r="852" spans="1:38">
      <c r="A852" s="164" t="s">
        <v>812</v>
      </c>
      <c r="B852" s="29" t="s">
        <v>2593</v>
      </c>
      <c r="C852" s="4" t="s">
        <v>4997</v>
      </c>
      <c r="D852" s="130" t="s">
        <v>516</v>
      </c>
      <c r="E852" s="2">
        <v>45628</v>
      </c>
      <c r="F852" s="2">
        <f>E852+28</f>
        <v>45656</v>
      </c>
      <c r="G852" s="2" t="s">
        <v>28</v>
      </c>
      <c r="H852" s="41">
        <v>23625</v>
      </c>
      <c r="I852" s="15" t="s">
        <v>3337</v>
      </c>
      <c r="J852" s="1" t="s">
        <v>434</v>
      </c>
      <c r="K852" s="1" t="s">
        <v>31</v>
      </c>
      <c r="L852" s="1">
        <v>85085</v>
      </c>
      <c r="M852" s="1" t="s">
        <v>32</v>
      </c>
      <c r="N852" s="4"/>
      <c r="O852" s="1" t="s">
        <v>4998</v>
      </c>
      <c r="P852" s="1" t="s">
        <v>4999</v>
      </c>
      <c r="Q852" s="129" t="s">
        <v>5000</v>
      </c>
      <c r="R852" s="31">
        <v>96301</v>
      </c>
      <c r="S852" s="4"/>
      <c r="T852" s="4"/>
      <c r="U852" s="4"/>
      <c r="V852" s="4" t="s">
        <v>443</v>
      </c>
      <c r="W852" s="4" t="s">
        <v>37</v>
      </c>
      <c r="X852" s="4" t="s">
        <v>616</v>
      </c>
      <c r="Y852" s="241" t="s">
        <v>617</v>
      </c>
      <c r="Z852" s="167" t="s">
        <v>364</v>
      </c>
      <c r="AA852" s="4"/>
      <c r="AB852" s="4"/>
      <c r="AC852" s="4"/>
      <c r="AD852" s="4"/>
      <c r="AE852" s="4"/>
      <c r="AF852" s="4"/>
      <c r="AG852" s="4"/>
      <c r="AH852" s="4"/>
      <c r="AI852" s="4"/>
      <c r="AJ852" s="4"/>
      <c r="AK852" s="4"/>
      <c r="AL852" s="4"/>
    </row>
    <row r="853" spans="1:38">
      <c r="A853" s="258" t="s">
        <v>812</v>
      </c>
      <c r="B853" s="29" t="s">
        <v>858</v>
      </c>
      <c r="C853" s="4" t="s">
        <v>5001</v>
      </c>
      <c r="D853" s="130"/>
      <c r="E853" s="2">
        <v>45646</v>
      </c>
      <c r="F853" s="2">
        <f>E853+14</f>
        <v>45660</v>
      </c>
      <c r="G853" s="2" t="s">
        <v>42</v>
      </c>
      <c r="H853" s="41">
        <v>3615</v>
      </c>
      <c r="I853" s="15" t="s">
        <v>5002</v>
      </c>
      <c r="J853" s="1" t="s">
        <v>916</v>
      </c>
      <c r="K853" s="1" t="s">
        <v>31</v>
      </c>
      <c r="L853" s="1">
        <v>85756</v>
      </c>
      <c r="M853" s="1" t="s">
        <v>32</v>
      </c>
      <c r="N853" s="4"/>
      <c r="O853" s="1" t="s">
        <v>5003</v>
      </c>
      <c r="P853" s="1" t="s">
        <v>5004</v>
      </c>
      <c r="Q853" s="87" t="s">
        <v>5005</v>
      </c>
      <c r="R853" s="174"/>
      <c r="S853" s="4"/>
      <c r="T853" s="4"/>
      <c r="U853" s="4"/>
      <c r="V853" s="4" t="s">
        <v>443</v>
      </c>
      <c r="W853" s="4" t="s">
        <v>37</v>
      </c>
      <c r="X853" s="4" t="s">
        <v>616</v>
      </c>
      <c r="Y853" s="235" t="s">
        <v>617</v>
      </c>
      <c r="Z853" s="4"/>
      <c r="AA853" s="4"/>
      <c r="AB853" s="4"/>
      <c r="AC853" s="4"/>
      <c r="AD853" s="4"/>
      <c r="AE853" s="4"/>
      <c r="AF853" s="4"/>
      <c r="AG853" s="4"/>
      <c r="AH853" s="4"/>
      <c r="AI853" s="4"/>
      <c r="AJ853" s="4"/>
      <c r="AK853" s="4"/>
      <c r="AL853" s="4"/>
    </row>
    <row r="854" spans="1:38">
      <c r="A854" s="164" t="s">
        <v>812</v>
      </c>
      <c r="B854" s="29" t="s">
        <v>792</v>
      </c>
      <c r="C854" s="4" t="s">
        <v>5006</v>
      </c>
      <c r="D854" s="2">
        <v>44823</v>
      </c>
      <c r="E854" s="2">
        <v>45643</v>
      </c>
      <c r="F854" s="2">
        <f>E854+14</f>
        <v>45657</v>
      </c>
      <c r="G854" s="272" t="s">
        <v>5007</v>
      </c>
      <c r="H854" s="41">
        <v>11330</v>
      </c>
      <c r="I854" s="15" t="s">
        <v>893</v>
      </c>
      <c r="J854" s="1" t="s">
        <v>873</v>
      </c>
      <c r="K854" s="1" t="s">
        <v>31</v>
      </c>
      <c r="L854" s="1">
        <v>85323</v>
      </c>
      <c r="M854" s="1" t="s">
        <v>32</v>
      </c>
      <c r="N854" s="4"/>
      <c r="O854" s="1" t="s">
        <v>5008</v>
      </c>
      <c r="P854" s="1" t="s">
        <v>5009</v>
      </c>
      <c r="Q854" s="87" t="s">
        <v>5010</v>
      </c>
      <c r="R854" s="31">
        <v>95285</v>
      </c>
      <c r="S854" s="4"/>
      <c r="T854" s="4"/>
      <c r="U854" s="4"/>
      <c r="V854" s="4" t="s">
        <v>443</v>
      </c>
      <c r="W854" s="4" t="s">
        <v>37</v>
      </c>
      <c r="X854" s="4" t="s">
        <v>616</v>
      </c>
      <c r="Y854" s="235" t="s">
        <v>617</v>
      </c>
      <c r="Z854" s="167" t="s">
        <v>364</v>
      </c>
    </row>
    <row r="855" spans="1:38" ht="30">
      <c r="A855" s="164" t="s">
        <v>812</v>
      </c>
      <c r="B855" s="70" t="s">
        <v>4723</v>
      </c>
      <c r="C855" s="56" t="s">
        <v>5011</v>
      </c>
      <c r="D855" s="60"/>
      <c r="E855" s="2">
        <v>45644</v>
      </c>
      <c r="F855" s="2">
        <f>E855+14</f>
        <v>45658</v>
      </c>
      <c r="G855" s="2" t="s">
        <v>28</v>
      </c>
      <c r="H855" s="41">
        <v>5680</v>
      </c>
      <c r="I855" s="80" t="s">
        <v>5012</v>
      </c>
      <c r="J855" s="55" t="s">
        <v>434</v>
      </c>
      <c r="K855" s="55" t="s">
        <v>31</v>
      </c>
      <c r="L855" s="1">
        <v>85041</v>
      </c>
      <c r="M855" s="55" t="s">
        <v>32</v>
      </c>
      <c r="N855" s="56"/>
      <c r="O855" s="55" t="s">
        <v>5013</v>
      </c>
      <c r="P855" s="55"/>
      <c r="Q855" s="89" t="s">
        <v>5014</v>
      </c>
      <c r="R855" s="259">
        <v>101951</v>
      </c>
      <c r="S855" s="4"/>
      <c r="T855" s="4"/>
      <c r="U855" s="4"/>
      <c r="V855" s="4" t="s">
        <v>443</v>
      </c>
      <c r="W855" s="4" t="s">
        <v>37</v>
      </c>
      <c r="X855" s="4" t="s">
        <v>616</v>
      </c>
      <c r="Y855" s="235" t="s">
        <v>617</v>
      </c>
      <c r="Z855" s="167" t="s">
        <v>364</v>
      </c>
      <c r="AA855" s="4"/>
      <c r="AB855" s="4"/>
      <c r="AC855" s="4"/>
      <c r="AD855" s="4"/>
      <c r="AE855" s="4"/>
      <c r="AF855" s="4"/>
      <c r="AG855" s="4"/>
      <c r="AH855" s="4"/>
    </row>
    <row r="856" spans="1:38">
      <c r="A856" s="163" t="s">
        <v>25</v>
      </c>
      <c r="B856" s="29" t="s">
        <v>5015</v>
      </c>
      <c r="C856" s="4" t="s">
        <v>5016</v>
      </c>
      <c r="D856" s="130"/>
      <c r="E856" s="2">
        <v>45643</v>
      </c>
      <c r="F856" s="2">
        <f>E856+14</f>
        <v>45657</v>
      </c>
      <c r="G856" s="269"/>
      <c r="H856" s="41">
        <v>9512</v>
      </c>
      <c r="I856" s="15" t="s">
        <v>5017</v>
      </c>
      <c r="J856" s="1" t="s">
        <v>63</v>
      </c>
      <c r="K856" s="1" t="s">
        <v>31</v>
      </c>
      <c r="L856" s="1"/>
      <c r="M856" s="1" t="s">
        <v>32</v>
      </c>
      <c r="N856" s="4"/>
      <c r="O856" s="173"/>
      <c r="P856" s="173"/>
      <c r="Q856" s="173"/>
      <c r="R856" s="174"/>
      <c r="S856" s="4"/>
      <c r="T856" s="4"/>
      <c r="U856" s="4"/>
      <c r="V856" s="4" t="s">
        <v>36</v>
      </c>
      <c r="W856" s="4" t="s">
        <v>37</v>
      </c>
      <c r="X856" s="1" t="s">
        <v>59</v>
      </c>
      <c r="Y856" s="167" t="s">
        <v>39</v>
      </c>
      <c r="Z856" s="4"/>
      <c r="AA856" s="4"/>
      <c r="AB856" s="4"/>
      <c r="AC856" s="4"/>
      <c r="AD856" s="4"/>
      <c r="AE856" s="4"/>
      <c r="AF856" s="4"/>
      <c r="AG856" s="4"/>
      <c r="AH856" s="4"/>
      <c r="AI856" s="4"/>
      <c r="AJ856" s="4"/>
      <c r="AK856" s="4"/>
      <c r="AL856" s="4"/>
    </row>
    <row r="857" spans="1:38">
      <c r="A857" s="258" t="s">
        <v>812</v>
      </c>
      <c r="B857" s="29" t="s">
        <v>951</v>
      </c>
      <c r="C857" s="158" t="s">
        <v>973</v>
      </c>
      <c r="D857" s="2"/>
      <c r="E857" s="2">
        <v>45646</v>
      </c>
      <c r="F857" s="2">
        <f>E857+14</f>
        <v>45660</v>
      </c>
      <c r="G857" s="2" t="s">
        <v>42</v>
      </c>
      <c r="H857" s="41"/>
      <c r="I857" s="158" t="s">
        <v>974</v>
      </c>
      <c r="J857" s="1" t="s">
        <v>975</v>
      </c>
      <c r="K857" s="1" t="s">
        <v>31</v>
      </c>
      <c r="L857" s="1">
        <v>85741</v>
      </c>
      <c r="M857" s="1" t="s">
        <v>32</v>
      </c>
      <c r="N857" s="4"/>
      <c r="O857" s="73" t="s">
        <v>5018</v>
      </c>
      <c r="P857" s="1" t="s">
        <v>5019</v>
      </c>
      <c r="Q857" s="87" t="s">
        <v>5020</v>
      </c>
      <c r="R857" s="31">
        <v>91037</v>
      </c>
      <c r="S857" s="4"/>
      <c r="T857" s="4"/>
      <c r="U857" s="4"/>
      <c r="V857" s="4" t="s">
        <v>443</v>
      </c>
      <c r="W857" s="4" t="s">
        <v>37</v>
      </c>
      <c r="X857" s="4" t="s">
        <v>616</v>
      </c>
      <c r="Y857" s="235" t="s">
        <v>617</v>
      </c>
      <c r="Z857" s="4"/>
    </row>
    <row r="858" spans="1:38">
      <c r="A858" s="258" t="s">
        <v>812</v>
      </c>
      <c r="B858" s="29" t="s">
        <v>5021</v>
      </c>
      <c r="C858" s="4" t="s">
        <v>5022</v>
      </c>
      <c r="D858" s="130" t="s">
        <v>516</v>
      </c>
      <c r="E858" s="2">
        <v>45646</v>
      </c>
      <c r="F858" s="2">
        <f>E858+28</f>
        <v>45674</v>
      </c>
      <c r="G858" s="2" t="s">
        <v>28</v>
      </c>
      <c r="H858" s="41"/>
      <c r="I858" s="15" t="s">
        <v>5023</v>
      </c>
      <c r="J858" s="1" t="s">
        <v>916</v>
      </c>
      <c r="K858" s="1" t="s">
        <v>31</v>
      </c>
      <c r="L858" s="1">
        <v>85747</v>
      </c>
      <c r="M858" s="1" t="s">
        <v>32</v>
      </c>
      <c r="N858" s="4"/>
      <c r="O858" s="179" t="s">
        <v>5024</v>
      </c>
      <c r="P858" s="179" t="s">
        <v>5025</v>
      </c>
      <c r="Q858" s="316" t="s">
        <v>5026</v>
      </c>
      <c r="R858" s="178">
        <v>103329</v>
      </c>
      <c r="S858" s="4"/>
      <c r="T858" s="4"/>
      <c r="U858" s="4"/>
      <c r="V858" s="4" t="s">
        <v>443</v>
      </c>
      <c r="W858" s="4" t="s">
        <v>37</v>
      </c>
      <c r="X858" s="4" t="s">
        <v>616</v>
      </c>
      <c r="Y858" s="235" t="s">
        <v>617</v>
      </c>
      <c r="Z858" s="4"/>
      <c r="AA858" s="4"/>
      <c r="AB858" s="4"/>
      <c r="AC858" s="4"/>
      <c r="AD858" s="4"/>
      <c r="AE858" s="4"/>
      <c r="AF858" s="4"/>
      <c r="AG858" s="4"/>
      <c r="AH858" s="4"/>
      <c r="AI858" s="4"/>
      <c r="AJ858" s="4"/>
      <c r="AK858" s="4"/>
      <c r="AL858" s="4"/>
    </row>
    <row r="859" spans="1:38">
      <c r="A859" s="164" t="s">
        <v>812</v>
      </c>
      <c r="B859" s="29" t="s">
        <v>5027</v>
      </c>
      <c r="C859" s="4" t="s">
        <v>5028</v>
      </c>
      <c r="D859" s="130"/>
      <c r="E859" s="2">
        <v>45645</v>
      </c>
      <c r="F859" s="2">
        <f>E859+14</f>
        <v>45659</v>
      </c>
      <c r="G859" s="2" t="s">
        <v>42</v>
      </c>
      <c r="H859" s="41" t="s">
        <v>528</v>
      </c>
      <c r="I859" s="15" t="s">
        <v>5029</v>
      </c>
      <c r="J859" s="1" t="s">
        <v>837</v>
      </c>
      <c r="K859" s="1" t="s">
        <v>3456</v>
      </c>
      <c r="L859" s="1">
        <v>85379</v>
      </c>
      <c r="M859" s="1" t="s">
        <v>32</v>
      </c>
      <c r="N859" s="4"/>
      <c r="O859" s="1" t="s">
        <v>5030</v>
      </c>
      <c r="P859" s="1" t="s">
        <v>5031</v>
      </c>
      <c r="Q859" s="87" t="s">
        <v>5032</v>
      </c>
      <c r="R859" s="31">
        <v>98341</v>
      </c>
      <c r="S859" s="4"/>
      <c r="T859" s="4"/>
      <c r="U859" s="4"/>
      <c r="V859" s="4" t="s">
        <v>443</v>
      </c>
      <c r="W859" s="4" t="s">
        <v>37</v>
      </c>
      <c r="X859" s="4" t="s">
        <v>616</v>
      </c>
      <c r="Y859" s="235" t="s">
        <v>617</v>
      </c>
      <c r="Z859" s="167" t="s">
        <v>364</v>
      </c>
    </row>
    <row r="860" spans="1:38">
      <c r="A860" s="163" t="s">
        <v>25</v>
      </c>
      <c r="B860" s="29" t="s">
        <v>781</v>
      </c>
      <c r="C860" s="4" t="s">
        <v>5033</v>
      </c>
      <c r="D860" s="130"/>
      <c r="E860" s="2">
        <v>45652</v>
      </c>
      <c r="F860" s="2">
        <f>E860+14</f>
        <v>45666</v>
      </c>
      <c r="G860" s="2" t="s">
        <v>42</v>
      </c>
      <c r="H860" s="41"/>
      <c r="I860" s="15" t="s">
        <v>5034</v>
      </c>
      <c r="J860" s="1" t="s">
        <v>63</v>
      </c>
      <c r="K860" s="1" t="s">
        <v>31</v>
      </c>
      <c r="L860" s="1"/>
      <c r="M860" s="1" t="s">
        <v>32</v>
      </c>
      <c r="N860" s="4"/>
      <c r="O860" s="1" t="s">
        <v>5035</v>
      </c>
      <c r="P860" s="1" t="s">
        <v>5036</v>
      </c>
      <c r="Q860" s="87" t="s">
        <v>5037</v>
      </c>
      <c r="R860" s="31">
        <v>100276</v>
      </c>
      <c r="S860" s="4"/>
      <c r="T860" s="4"/>
      <c r="U860" s="4"/>
      <c r="V860" s="4" t="s">
        <v>36</v>
      </c>
      <c r="W860" s="4" t="s">
        <v>37</v>
      </c>
      <c r="X860" s="4" t="s">
        <v>38</v>
      </c>
      <c r="Y860" s="235" t="s">
        <v>39</v>
      </c>
      <c r="Z860" s="4"/>
      <c r="AA860" s="4"/>
      <c r="AB860" s="4"/>
      <c r="AC860" s="4"/>
      <c r="AD860" s="4"/>
      <c r="AE860" s="4"/>
      <c r="AF860" s="4"/>
      <c r="AG860" s="4"/>
      <c r="AH860" s="4"/>
      <c r="AI860" s="4"/>
      <c r="AJ860" s="4"/>
      <c r="AK860" s="4"/>
      <c r="AL860" s="4"/>
    </row>
    <row r="861" spans="1:38">
      <c r="A861" s="164" t="s">
        <v>812</v>
      </c>
      <c r="B861" s="118" t="s">
        <v>5038</v>
      </c>
      <c r="C861" s="4" t="s">
        <v>5039</v>
      </c>
      <c r="D861" s="130" t="s">
        <v>516</v>
      </c>
      <c r="E861" s="2">
        <v>45631</v>
      </c>
      <c r="F861" s="2">
        <f>E861+28</f>
        <v>45659</v>
      </c>
      <c r="G861" s="2" t="s">
        <v>28</v>
      </c>
      <c r="H861" s="41" t="s">
        <v>379</v>
      </c>
      <c r="I861" s="15" t="s">
        <v>5040</v>
      </c>
      <c r="J861" s="1" t="s">
        <v>837</v>
      </c>
      <c r="K861" s="1" t="s">
        <v>31</v>
      </c>
      <c r="L861" s="1">
        <v>85382</v>
      </c>
      <c r="M861" s="1" t="s">
        <v>32</v>
      </c>
      <c r="N861" s="4"/>
      <c r="O861" s="179" t="s">
        <v>5041</v>
      </c>
      <c r="P861" s="179" t="s">
        <v>5042</v>
      </c>
      <c r="Q861" s="184" t="s">
        <v>5043</v>
      </c>
      <c r="R861" s="178">
        <v>97474</v>
      </c>
      <c r="S861" s="4"/>
      <c r="T861" s="4"/>
      <c r="U861" s="4"/>
      <c r="V861" s="4" t="s">
        <v>443</v>
      </c>
      <c r="W861" s="4" t="s">
        <v>37</v>
      </c>
      <c r="X861" s="4" t="s">
        <v>616</v>
      </c>
      <c r="Y861" s="241" t="s">
        <v>617</v>
      </c>
      <c r="Z861" s="167" t="s">
        <v>364</v>
      </c>
      <c r="AA861" s="4"/>
      <c r="AB861" s="4"/>
      <c r="AC861" s="4"/>
      <c r="AD861" s="4"/>
      <c r="AE861" s="4"/>
      <c r="AF861" s="4"/>
      <c r="AG861" s="4"/>
      <c r="AH861" s="4"/>
      <c r="AI861" s="4"/>
      <c r="AJ861" s="4"/>
      <c r="AK861" s="4"/>
      <c r="AL861" s="4"/>
    </row>
    <row r="862" spans="1:38">
      <c r="A862" s="164" t="s">
        <v>812</v>
      </c>
      <c r="B862" s="118" t="s">
        <v>5038</v>
      </c>
      <c r="C862" s="119" t="s">
        <v>5044</v>
      </c>
      <c r="D862" s="2"/>
      <c r="E862" s="2">
        <v>45652</v>
      </c>
      <c r="F862" s="2">
        <f t="shared" ref="F862:F868" si="92">E862+14</f>
        <v>45666</v>
      </c>
      <c r="G862" s="2" t="s">
        <v>28</v>
      </c>
      <c r="H862" s="41">
        <v>21152</v>
      </c>
      <c r="I862" s="15" t="s">
        <v>5045</v>
      </c>
      <c r="J862" s="1" t="s">
        <v>434</v>
      </c>
      <c r="K862" s="1" t="s">
        <v>31</v>
      </c>
      <c r="L862" s="1">
        <v>85024</v>
      </c>
      <c r="M862" s="1" t="s">
        <v>32</v>
      </c>
      <c r="N862" s="4"/>
      <c r="O862" s="1" t="s">
        <v>2746</v>
      </c>
      <c r="P862" s="1" t="s">
        <v>5046</v>
      </c>
      <c r="Q862" s="87" t="s">
        <v>5047</v>
      </c>
      <c r="R862" s="31">
        <v>97473</v>
      </c>
      <c r="S862" s="4"/>
      <c r="T862" s="4"/>
      <c r="U862" s="4"/>
      <c r="V862" s="4" t="s">
        <v>443</v>
      </c>
      <c r="W862" s="4" t="s">
        <v>37</v>
      </c>
      <c r="X862" s="4" t="s">
        <v>616</v>
      </c>
      <c r="Y862" s="235" t="s">
        <v>617</v>
      </c>
      <c r="Z862" s="167" t="s">
        <v>364</v>
      </c>
      <c r="AA862" s="4"/>
      <c r="AB862" s="4"/>
      <c r="AC862" s="4"/>
      <c r="AD862" s="4"/>
      <c r="AE862" s="4"/>
      <c r="AF862" s="4"/>
      <c r="AG862" s="4"/>
      <c r="AH862" s="4"/>
      <c r="AI862" s="4"/>
      <c r="AJ862" s="4"/>
      <c r="AK862" s="4"/>
      <c r="AL862" s="4"/>
    </row>
    <row r="863" spans="1:38">
      <c r="A863" s="163" t="s">
        <v>25</v>
      </c>
      <c r="B863" s="70" t="s">
        <v>792</v>
      </c>
      <c r="C863" s="4" t="s">
        <v>5048</v>
      </c>
      <c r="D863" s="130"/>
      <c r="E863" s="2">
        <v>45642</v>
      </c>
      <c r="F863" s="2">
        <f t="shared" si="92"/>
        <v>45656</v>
      </c>
      <c r="G863" s="272" t="s">
        <v>5007</v>
      </c>
      <c r="H863" s="41">
        <v>50</v>
      </c>
      <c r="I863" s="15" t="s">
        <v>5049</v>
      </c>
      <c r="J863" s="1" t="s">
        <v>49</v>
      </c>
      <c r="K863" s="1" t="s">
        <v>31</v>
      </c>
      <c r="L863" s="1">
        <v>85233</v>
      </c>
      <c r="M863" s="1" t="s">
        <v>5050</v>
      </c>
      <c r="N863" s="4"/>
      <c r="O863" s="1" t="s">
        <v>3267</v>
      </c>
      <c r="P863" s="1" t="s">
        <v>3268</v>
      </c>
      <c r="Q863" s="87" t="s">
        <v>5051</v>
      </c>
      <c r="R863" s="31">
        <v>95286</v>
      </c>
      <c r="S863" s="4"/>
      <c r="T863" s="4"/>
      <c r="U863" s="4"/>
      <c r="V863" s="4" t="s">
        <v>36</v>
      </c>
      <c r="W863" s="4" t="s">
        <v>37</v>
      </c>
      <c r="X863" s="1" t="s">
        <v>59</v>
      </c>
      <c r="Y863" s="167" t="s">
        <v>39</v>
      </c>
      <c r="Z863" s="4"/>
      <c r="AA863" s="119"/>
      <c r="AB863" s="119"/>
      <c r="AC863" s="119"/>
      <c r="AD863" s="119"/>
      <c r="AE863" s="119"/>
      <c r="AF863" s="119"/>
      <c r="AG863" s="119"/>
      <c r="AH863" s="119"/>
      <c r="AI863" s="119"/>
      <c r="AJ863" s="119"/>
      <c r="AK863" s="119"/>
      <c r="AL863" s="119"/>
    </row>
    <row r="864" spans="1:38">
      <c r="A864" s="164" t="s">
        <v>812</v>
      </c>
      <c r="B864" s="29" t="s">
        <v>5052</v>
      </c>
      <c r="C864" s="4" t="s">
        <v>5053</v>
      </c>
      <c r="D864" s="2"/>
      <c r="E864" s="2">
        <v>45665</v>
      </c>
      <c r="F864" s="2">
        <f t="shared" si="92"/>
        <v>45679</v>
      </c>
      <c r="G864" s="2" t="s">
        <v>42</v>
      </c>
      <c r="H864" s="41"/>
      <c r="I864" s="15" t="s">
        <v>5054</v>
      </c>
      <c r="J864" s="1" t="s">
        <v>844</v>
      </c>
      <c r="K864" s="1" t="s">
        <v>31</v>
      </c>
      <c r="L864" s="1"/>
      <c r="M864" s="1" t="s">
        <v>32</v>
      </c>
      <c r="N864" s="4"/>
      <c r="O864" s="1" t="s">
        <v>4835</v>
      </c>
      <c r="P864" s="1" t="s">
        <v>4836</v>
      </c>
      <c r="Q864" s="184" t="s">
        <v>4837</v>
      </c>
      <c r="R864" s="174"/>
      <c r="S864" s="4"/>
      <c r="T864" s="4"/>
      <c r="U864" s="4"/>
      <c r="V864" s="4" t="s">
        <v>443</v>
      </c>
      <c r="W864" s="4" t="s">
        <v>37</v>
      </c>
      <c r="X864" s="4" t="s">
        <v>616</v>
      </c>
      <c r="Y864" s="235" t="s">
        <v>617</v>
      </c>
      <c r="Z864" s="167" t="s">
        <v>364</v>
      </c>
      <c r="AA864" s="4"/>
      <c r="AB864" s="4"/>
      <c r="AC864" s="4"/>
      <c r="AD864" s="4"/>
      <c r="AE864" s="4"/>
      <c r="AF864" s="4"/>
      <c r="AG864" s="4"/>
      <c r="AH864" s="4"/>
      <c r="AI864" s="4"/>
      <c r="AJ864" s="4"/>
      <c r="AK864" s="4"/>
      <c r="AL864" s="4"/>
    </row>
    <row r="865" spans="1:38">
      <c r="A865" s="164" t="s">
        <v>812</v>
      </c>
      <c r="B865" s="15" t="s">
        <v>226</v>
      </c>
      <c r="C865" s="4" t="s">
        <v>5055</v>
      </c>
      <c r="D865" s="130"/>
      <c r="E865" s="2">
        <v>45656</v>
      </c>
      <c r="F865" s="2">
        <f t="shared" si="92"/>
        <v>45670</v>
      </c>
      <c r="G865" s="269"/>
      <c r="H865" s="41"/>
      <c r="I865" s="15" t="s">
        <v>5056</v>
      </c>
      <c r="J865" s="1" t="s">
        <v>434</v>
      </c>
      <c r="K865" s="1" t="s">
        <v>31</v>
      </c>
      <c r="L865" s="1">
        <v>85085</v>
      </c>
      <c r="M865" s="1" t="s">
        <v>32</v>
      </c>
      <c r="N865" s="4"/>
      <c r="O865" s="1" t="s">
        <v>4810</v>
      </c>
      <c r="P865" s="179" t="s">
        <v>5057</v>
      </c>
      <c r="Q865" s="265" t="s">
        <v>5058</v>
      </c>
      <c r="R865" s="178">
        <v>100770</v>
      </c>
      <c r="S865" s="4"/>
      <c r="T865" s="4"/>
      <c r="U865" s="4"/>
      <c r="V865" s="4" t="s">
        <v>443</v>
      </c>
      <c r="W865" s="4" t="s">
        <v>37</v>
      </c>
      <c r="X865" s="4" t="s">
        <v>616</v>
      </c>
      <c r="Y865" s="235" t="s">
        <v>617</v>
      </c>
      <c r="Z865" s="167" t="s">
        <v>364</v>
      </c>
      <c r="AA865" s="4"/>
      <c r="AB865" s="4"/>
      <c r="AC865" s="4"/>
      <c r="AD865" s="4"/>
      <c r="AE865" s="4"/>
      <c r="AF865" s="4"/>
      <c r="AG865" s="4"/>
      <c r="AH865" s="4"/>
    </row>
    <row r="866" spans="1:38">
      <c r="A866" s="163" t="s">
        <v>25</v>
      </c>
      <c r="B866" s="29" t="s">
        <v>412</v>
      </c>
      <c r="C866" s="4" t="s">
        <v>5059</v>
      </c>
      <c r="D866" s="130"/>
      <c r="E866" s="2">
        <v>45660</v>
      </c>
      <c r="F866" s="2">
        <f t="shared" si="92"/>
        <v>45674</v>
      </c>
      <c r="G866" s="2" t="s">
        <v>28</v>
      </c>
      <c r="H866" s="41">
        <v>737</v>
      </c>
      <c r="I866" s="15" t="s">
        <v>4518</v>
      </c>
      <c r="J866" s="1" t="s">
        <v>415</v>
      </c>
      <c r="K866" s="1" t="s">
        <v>31</v>
      </c>
      <c r="L866" s="1">
        <v>85281</v>
      </c>
      <c r="M866" s="1" t="s">
        <v>32</v>
      </c>
      <c r="N866" s="4"/>
      <c r="O866" s="1" t="s">
        <v>364</v>
      </c>
      <c r="P866" s="1" t="s">
        <v>5060</v>
      </c>
      <c r="Q866" s="87"/>
      <c r="R866" s="31" t="s">
        <v>35</v>
      </c>
      <c r="S866" s="4"/>
      <c r="T866" s="4"/>
      <c r="U866" s="4"/>
      <c r="V866" s="4" t="s">
        <v>36</v>
      </c>
      <c r="W866" s="4" t="s">
        <v>37</v>
      </c>
      <c r="X866" s="1" t="s">
        <v>59</v>
      </c>
      <c r="Y866" s="167" t="s">
        <v>39</v>
      </c>
      <c r="Z866" s="4"/>
    </row>
    <row r="867" spans="1:38">
      <c r="A867" s="164" t="s">
        <v>812</v>
      </c>
      <c r="B867" s="29" t="s">
        <v>150</v>
      </c>
      <c r="C867" s="4" t="s">
        <v>5061</v>
      </c>
      <c r="D867" s="130"/>
      <c r="E867" s="2">
        <v>45663</v>
      </c>
      <c r="F867" s="2">
        <f t="shared" si="92"/>
        <v>45677</v>
      </c>
      <c r="G867" s="2" t="s">
        <v>42</v>
      </c>
      <c r="H867" s="41">
        <v>20080</v>
      </c>
      <c r="I867" s="15" t="s">
        <v>2268</v>
      </c>
      <c r="J867" s="1" t="s">
        <v>831</v>
      </c>
      <c r="K867" s="1" t="s">
        <v>31</v>
      </c>
      <c r="L867" s="1">
        <v>85326</v>
      </c>
      <c r="M867" s="1" t="s">
        <v>32</v>
      </c>
      <c r="N867" s="4"/>
      <c r="O867" s="1" t="s">
        <v>5062</v>
      </c>
      <c r="P867" s="1" t="s">
        <v>5063</v>
      </c>
      <c r="Q867" s="87" t="s">
        <v>5064</v>
      </c>
      <c r="R867" s="31">
        <v>101115</v>
      </c>
      <c r="S867" s="4"/>
      <c r="T867" s="4"/>
      <c r="U867" s="4"/>
      <c r="V867" s="4" t="s">
        <v>443</v>
      </c>
      <c r="W867" s="4" t="s">
        <v>37</v>
      </c>
      <c r="X867" s="4" t="s">
        <v>616</v>
      </c>
      <c r="Y867" s="235" t="s">
        <v>617</v>
      </c>
      <c r="Z867" s="167" t="s">
        <v>364</v>
      </c>
    </row>
    <row r="868" spans="1:38">
      <c r="A868" s="164" t="s">
        <v>812</v>
      </c>
      <c r="B868" s="29" t="s">
        <v>258</v>
      </c>
      <c r="C868" s="4" t="s">
        <v>5065</v>
      </c>
      <c r="D868" s="130"/>
      <c r="E868" s="2">
        <v>45664</v>
      </c>
      <c r="F868" s="2">
        <f t="shared" si="92"/>
        <v>45678</v>
      </c>
      <c r="G868" s="2" t="s">
        <v>42</v>
      </c>
      <c r="H868" s="41">
        <v>5885</v>
      </c>
      <c r="I868" s="15" t="s">
        <v>5066</v>
      </c>
      <c r="J868" s="1" t="s">
        <v>434</v>
      </c>
      <c r="K868" s="1" t="s">
        <v>31</v>
      </c>
      <c r="L868" s="1">
        <v>85040</v>
      </c>
      <c r="M868" s="1" t="s">
        <v>32</v>
      </c>
      <c r="N868" s="4"/>
      <c r="O868" s="1" t="s">
        <v>5067</v>
      </c>
      <c r="P868" s="1" t="s">
        <v>5068</v>
      </c>
      <c r="Q868" s="87" t="s">
        <v>5069</v>
      </c>
      <c r="R868" s="31">
        <v>96808</v>
      </c>
      <c r="S868" s="4"/>
      <c r="T868" s="4"/>
      <c r="U868" s="4"/>
      <c r="V868" s="4" t="s">
        <v>443</v>
      </c>
      <c r="W868" s="4" t="s">
        <v>37</v>
      </c>
      <c r="X868" s="4" t="s">
        <v>616</v>
      </c>
      <c r="Y868" s="235" t="s">
        <v>617</v>
      </c>
      <c r="Z868" s="167" t="s">
        <v>364</v>
      </c>
      <c r="AA868" s="4"/>
      <c r="AB868" s="4"/>
      <c r="AC868" s="4"/>
      <c r="AD868" s="4"/>
      <c r="AE868" s="4"/>
      <c r="AF868" s="4"/>
      <c r="AG868" s="4"/>
      <c r="AH868" s="4"/>
      <c r="AI868" s="4"/>
      <c r="AJ868" s="4"/>
      <c r="AK868" s="4"/>
      <c r="AL868" s="4"/>
    </row>
    <row r="869" spans="1:38">
      <c r="A869" s="163" t="s">
        <v>25</v>
      </c>
      <c r="B869" s="29" t="s">
        <v>5070</v>
      </c>
      <c r="C869" s="4" t="s">
        <v>5071</v>
      </c>
      <c r="D869" s="130"/>
      <c r="E869" s="2">
        <v>45672</v>
      </c>
      <c r="F869" s="2">
        <f>E869+28</f>
        <v>45700</v>
      </c>
      <c r="G869" s="232" t="s">
        <v>42</v>
      </c>
      <c r="H869" s="41">
        <v>100</v>
      </c>
      <c r="I869" s="15" t="s">
        <v>5072</v>
      </c>
      <c r="J869" s="1" t="s">
        <v>5073</v>
      </c>
      <c r="K869" s="1" t="s">
        <v>31</v>
      </c>
      <c r="L869" s="1">
        <v>85137</v>
      </c>
      <c r="M869" s="1" t="s">
        <v>32</v>
      </c>
      <c r="N869" s="4"/>
      <c r="O869" s="1" t="s">
        <v>5074</v>
      </c>
      <c r="P869" s="1" t="s">
        <v>5075</v>
      </c>
      <c r="Q869" s="318" t="s">
        <v>5076</v>
      </c>
      <c r="R869" s="31">
        <v>100980</v>
      </c>
      <c r="S869" s="4"/>
      <c r="T869" s="4"/>
      <c r="U869" s="4"/>
      <c r="V869" s="4" t="s">
        <v>36</v>
      </c>
      <c r="W869" s="4" t="s">
        <v>37</v>
      </c>
      <c r="X869" s="1" t="s">
        <v>59</v>
      </c>
      <c r="Y869" s="167" t="s">
        <v>39</v>
      </c>
      <c r="Z869" s="4"/>
      <c r="AA869" s="4"/>
      <c r="AB869" s="4"/>
      <c r="AC869" s="4"/>
      <c r="AD869" s="4"/>
      <c r="AE869" s="4"/>
      <c r="AF869" s="4"/>
      <c r="AG869" s="4"/>
      <c r="AH869" s="4"/>
      <c r="AI869" s="4"/>
      <c r="AJ869" s="4"/>
      <c r="AK869" s="4"/>
      <c r="AL869" s="4"/>
    </row>
    <row r="870" spans="1:38">
      <c r="A870" s="164" t="s">
        <v>812</v>
      </c>
      <c r="B870" s="29" t="s">
        <v>4254</v>
      </c>
      <c r="C870" s="4" t="s">
        <v>5077</v>
      </c>
      <c r="D870" s="2"/>
      <c r="E870" s="2">
        <v>45666</v>
      </c>
      <c r="F870" s="2">
        <f t="shared" ref="F870:F882" si="93">E870+14</f>
        <v>45680</v>
      </c>
      <c r="G870" s="2" t="s">
        <v>28</v>
      </c>
      <c r="H870" s="41">
        <v>7811</v>
      </c>
      <c r="I870" s="15" t="s">
        <v>5078</v>
      </c>
      <c r="J870" s="1" t="s">
        <v>822</v>
      </c>
      <c r="K870" s="1" t="s">
        <v>31</v>
      </c>
      <c r="L870" s="1">
        <v>85305</v>
      </c>
      <c r="M870" s="1" t="s">
        <v>32</v>
      </c>
      <c r="N870" s="4"/>
      <c r="O870" s="1" t="s">
        <v>5079</v>
      </c>
      <c r="P870" s="1" t="s">
        <v>5080</v>
      </c>
      <c r="Q870" s="129" t="s">
        <v>5081</v>
      </c>
      <c r="R870" s="31">
        <v>94546</v>
      </c>
      <c r="S870" s="4"/>
      <c r="T870" s="4"/>
      <c r="U870" s="4"/>
      <c r="V870" s="4" t="s">
        <v>443</v>
      </c>
      <c r="W870" s="4" t="s">
        <v>37</v>
      </c>
      <c r="X870" s="4" t="s">
        <v>616</v>
      </c>
      <c r="Y870" s="235" t="s">
        <v>617</v>
      </c>
      <c r="Z870" s="167" t="s">
        <v>364</v>
      </c>
      <c r="AA870" s="4"/>
      <c r="AB870" s="4"/>
      <c r="AC870" s="4"/>
      <c r="AD870" s="4"/>
      <c r="AE870" s="4"/>
      <c r="AF870" s="4"/>
      <c r="AG870" s="4"/>
      <c r="AH870" s="4"/>
    </row>
    <row r="871" spans="1:38">
      <c r="A871" s="164" t="s">
        <v>812</v>
      </c>
      <c r="B871" s="29" t="s">
        <v>3979</v>
      </c>
      <c r="C871" s="4" t="s">
        <v>5082</v>
      </c>
      <c r="D871" s="130"/>
      <c r="E871" s="2">
        <v>45677</v>
      </c>
      <c r="F871" s="2">
        <f t="shared" si="93"/>
        <v>45691</v>
      </c>
      <c r="G871" s="269"/>
      <c r="H871" s="41">
        <v>16750</v>
      </c>
      <c r="I871" s="15" t="s">
        <v>5083</v>
      </c>
      <c r="J871" s="1" t="s">
        <v>844</v>
      </c>
      <c r="K871" s="1" t="s">
        <v>31</v>
      </c>
      <c r="L871" s="1">
        <v>85338</v>
      </c>
      <c r="M871" s="1" t="s">
        <v>32</v>
      </c>
      <c r="N871" s="4"/>
      <c r="O871" s="1"/>
      <c r="P871" s="1"/>
      <c r="Q871" s="239"/>
      <c r="R871" s="178"/>
      <c r="S871" s="4"/>
      <c r="T871" s="4"/>
      <c r="U871" s="4"/>
      <c r="V871" s="4" t="s">
        <v>443</v>
      </c>
      <c r="W871" s="4" t="s">
        <v>37</v>
      </c>
      <c r="X871" s="4" t="s">
        <v>616</v>
      </c>
      <c r="Y871" s="235" t="s">
        <v>617</v>
      </c>
      <c r="Z871" s="4"/>
    </row>
    <row r="872" spans="1:38">
      <c r="A872" s="163" t="s">
        <v>25</v>
      </c>
      <c r="B872" s="70" t="s">
        <v>150</v>
      </c>
      <c r="C872" s="4" t="s">
        <v>5084</v>
      </c>
      <c r="D872" s="130"/>
      <c r="E872" s="2">
        <v>45680</v>
      </c>
      <c r="F872" s="2">
        <f t="shared" si="93"/>
        <v>45694</v>
      </c>
      <c r="G872" s="232" t="s">
        <v>28</v>
      </c>
      <c r="H872" s="41">
        <v>1501</v>
      </c>
      <c r="I872" s="15" t="s">
        <v>492</v>
      </c>
      <c r="J872" s="1" t="s">
        <v>415</v>
      </c>
      <c r="K872" s="1" t="s">
        <v>31</v>
      </c>
      <c r="L872" s="1">
        <v>85281</v>
      </c>
      <c r="M872" s="1" t="s">
        <v>32</v>
      </c>
      <c r="N872" s="4"/>
      <c r="O872" s="1" t="s">
        <v>5085</v>
      </c>
      <c r="P872" s="1" t="s">
        <v>5086</v>
      </c>
      <c r="Q872" s="87" t="s">
        <v>5087</v>
      </c>
      <c r="R872" s="31">
        <v>98263</v>
      </c>
      <c r="S872" s="4"/>
      <c r="T872" s="4"/>
      <c r="U872" s="4"/>
      <c r="V872" s="4" t="s">
        <v>36</v>
      </c>
      <c r="W872" s="4" t="s">
        <v>37</v>
      </c>
      <c r="X872" s="1" t="s">
        <v>59</v>
      </c>
      <c r="Y872" s="167" t="s">
        <v>39</v>
      </c>
      <c r="Z872" s="4"/>
      <c r="AA872" s="4"/>
      <c r="AB872" s="4"/>
      <c r="AC872" s="4"/>
      <c r="AD872" s="4"/>
      <c r="AE872" s="4"/>
      <c r="AF872" s="4"/>
      <c r="AG872" s="4"/>
      <c r="AH872" s="4"/>
    </row>
    <row r="873" spans="1:38">
      <c r="A873" s="164" t="s">
        <v>812</v>
      </c>
      <c r="B873" s="29" t="s">
        <v>5088</v>
      </c>
      <c r="C873" s="4" t="s">
        <v>5089</v>
      </c>
      <c r="D873" s="2"/>
      <c r="E873" s="2">
        <v>45673</v>
      </c>
      <c r="F873" s="2">
        <f t="shared" si="93"/>
        <v>45687</v>
      </c>
      <c r="G873" s="2" t="s">
        <v>42</v>
      </c>
      <c r="H873" s="41">
        <v>13700</v>
      </c>
      <c r="I873" s="15" t="s">
        <v>2619</v>
      </c>
      <c r="J873" s="1" t="s">
        <v>837</v>
      </c>
      <c r="K873" s="1" t="s">
        <v>31</v>
      </c>
      <c r="L873" s="1">
        <v>85374</v>
      </c>
      <c r="M873" s="1" t="s">
        <v>32</v>
      </c>
      <c r="N873" s="4"/>
      <c r="O873" s="253" t="s">
        <v>5090</v>
      </c>
      <c r="P873" s="1" t="s">
        <v>5091</v>
      </c>
      <c r="Q873" s="87" t="s">
        <v>5092</v>
      </c>
      <c r="R873" s="178">
        <v>100823</v>
      </c>
      <c r="S873" s="4"/>
      <c r="T873" s="4"/>
      <c r="U873" s="4"/>
      <c r="V873" s="4" t="s">
        <v>443</v>
      </c>
      <c r="W873" s="4" t="s">
        <v>37</v>
      </c>
      <c r="X873" s="4" t="s">
        <v>616</v>
      </c>
      <c r="Y873" s="235" t="s">
        <v>617</v>
      </c>
      <c r="Z873" s="167" t="s">
        <v>364</v>
      </c>
    </row>
    <row r="874" spans="1:38">
      <c r="A874" s="164" t="s">
        <v>812</v>
      </c>
      <c r="B874" s="29" t="s">
        <v>5093</v>
      </c>
      <c r="C874" s="4" t="s">
        <v>5094</v>
      </c>
      <c r="D874" s="130"/>
      <c r="E874" s="2">
        <v>45670</v>
      </c>
      <c r="F874" s="2">
        <f t="shared" si="93"/>
        <v>45684</v>
      </c>
      <c r="G874" s="2" t="s">
        <v>28</v>
      </c>
      <c r="H874" s="41">
        <v>1526</v>
      </c>
      <c r="I874" s="15" t="s">
        <v>5095</v>
      </c>
      <c r="J874" s="1" t="s">
        <v>434</v>
      </c>
      <c r="K874" s="1" t="s">
        <v>31</v>
      </c>
      <c r="L874" s="1">
        <v>85029</v>
      </c>
      <c r="M874" s="1" t="s">
        <v>32</v>
      </c>
      <c r="N874" s="4"/>
      <c r="O874" s="1" t="s">
        <v>5096</v>
      </c>
      <c r="P874" s="1" t="s">
        <v>5097</v>
      </c>
      <c r="Q874" s="98" t="s">
        <v>5098</v>
      </c>
      <c r="R874" s="31">
        <v>97087</v>
      </c>
      <c r="S874" s="4"/>
      <c r="T874" s="4"/>
      <c r="U874" s="4"/>
      <c r="V874" s="4" t="s">
        <v>443</v>
      </c>
      <c r="W874" s="4" t="s">
        <v>37</v>
      </c>
      <c r="X874" s="4" t="s">
        <v>616</v>
      </c>
      <c r="Y874" s="235" t="s">
        <v>617</v>
      </c>
      <c r="Z874" s="4"/>
    </row>
    <row r="875" spans="1:38" ht="14.25" customHeight="1">
      <c r="A875" s="164" t="s">
        <v>812</v>
      </c>
      <c r="B875" s="70" t="s">
        <v>2096</v>
      </c>
      <c r="C875" s="56" t="s">
        <v>5099</v>
      </c>
      <c r="D875" s="60"/>
      <c r="E875" s="2">
        <v>45670</v>
      </c>
      <c r="F875" s="60">
        <f t="shared" si="93"/>
        <v>45684</v>
      </c>
      <c r="G875" s="60" t="s">
        <v>28</v>
      </c>
      <c r="H875" s="76">
        <v>33455</v>
      </c>
      <c r="I875" s="80" t="s">
        <v>2235</v>
      </c>
      <c r="J875" s="55" t="s">
        <v>434</v>
      </c>
      <c r="K875" s="55" t="s">
        <v>31</v>
      </c>
      <c r="L875" s="55" t="s">
        <v>802</v>
      </c>
      <c r="M875" s="55" t="s">
        <v>32</v>
      </c>
      <c r="N875" s="56"/>
      <c r="O875" s="55" t="s">
        <v>2111</v>
      </c>
      <c r="P875" s="55" t="s">
        <v>5100</v>
      </c>
      <c r="Q875" s="240" t="s">
        <v>5101</v>
      </c>
      <c r="R875" s="57">
        <v>97155</v>
      </c>
      <c r="S875" s="4"/>
      <c r="T875" s="4"/>
      <c r="U875" s="4"/>
      <c r="V875" s="4" t="s">
        <v>443</v>
      </c>
      <c r="W875" s="4" t="s">
        <v>37</v>
      </c>
      <c r="X875" s="4" t="s">
        <v>616</v>
      </c>
      <c r="Y875" s="241" t="s">
        <v>617</v>
      </c>
      <c r="Z875" s="168"/>
      <c r="AA875" s="4"/>
      <c r="AB875" s="4"/>
      <c r="AC875" s="4"/>
      <c r="AD875" s="4"/>
      <c r="AE875" s="4"/>
      <c r="AF875" s="4"/>
      <c r="AG875" s="4"/>
      <c r="AH875" s="4"/>
      <c r="AI875" s="4"/>
      <c r="AJ875" s="4"/>
      <c r="AK875" s="4"/>
      <c r="AL875" s="4"/>
    </row>
    <row r="876" spans="1:38">
      <c r="A876" s="164" t="s">
        <v>812</v>
      </c>
      <c r="B876" s="29" t="s">
        <v>4692</v>
      </c>
      <c r="C876" s="17" t="s">
        <v>5102</v>
      </c>
      <c r="D876" s="298"/>
      <c r="E876" s="2">
        <v>45672</v>
      </c>
      <c r="F876" s="298">
        <f t="shared" si="93"/>
        <v>45686</v>
      </c>
      <c r="G876" s="298" t="s">
        <v>42</v>
      </c>
      <c r="H876" s="299">
        <v>2804</v>
      </c>
      <c r="I876" s="141" t="s">
        <v>549</v>
      </c>
      <c r="J876" s="12" t="s">
        <v>434</v>
      </c>
      <c r="K876" s="12" t="s">
        <v>31</v>
      </c>
      <c r="L876" s="12">
        <v>85009</v>
      </c>
      <c r="M876" s="12" t="s">
        <v>32</v>
      </c>
      <c r="N876" s="17"/>
      <c r="O876" s="320"/>
      <c r="P876" s="306" t="s">
        <v>3239</v>
      </c>
      <c r="Q876" s="317" t="s">
        <v>5103</v>
      </c>
      <c r="R876" s="319">
        <v>103445</v>
      </c>
      <c r="S876" s="17"/>
      <c r="T876" s="17"/>
      <c r="U876" s="17"/>
      <c r="V876" s="17" t="s">
        <v>443</v>
      </c>
      <c r="W876" s="17" t="s">
        <v>37</v>
      </c>
      <c r="X876" s="17" t="s">
        <v>616</v>
      </c>
      <c r="Y876" s="302" t="s">
        <v>617</v>
      </c>
      <c r="Z876" s="303" t="s">
        <v>364</v>
      </c>
      <c r="AA876" s="17"/>
      <c r="AB876" s="17"/>
      <c r="AC876" s="17"/>
      <c r="AD876" s="17"/>
      <c r="AE876" s="17"/>
      <c r="AF876" s="17"/>
      <c r="AG876" s="17"/>
      <c r="AH876" s="17"/>
    </row>
    <row r="877" spans="1:38">
      <c r="A877" s="163" t="s">
        <v>25</v>
      </c>
      <c r="B877" s="118" t="s">
        <v>372</v>
      </c>
      <c r="C877" s="29" t="s">
        <v>5104</v>
      </c>
      <c r="D877" s="4"/>
      <c r="E877" s="2">
        <v>45677</v>
      </c>
      <c r="F877" s="2">
        <f t="shared" si="93"/>
        <v>45691</v>
      </c>
      <c r="G877" s="2" t="s">
        <v>42</v>
      </c>
      <c r="H877" s="1">
        <v>6505</v>
      </c>
      <c r="I877" s="4" t="s">
        <v>1325</v>
      </c>
      <c r="J877" s="1" t="s">
        <v>69</v>
      </c>
      <c r="K877" s="1" t="s">
        <v>31</v>
      </c>
      <c r="L877" s="1">
        <v>85226</v>
      </c>
      <c r="M877" s="1" t="s">
        <v>32</v>
      </c>
      <c r="N877" s="4"/>
      <c r="O877" s="1" t="s">
        <v>3871</v>
      </c>
      <c r="P877" s="1" t="s">
        <v>5105</v>
      </c>
      <c r="Q877" s="98" t="s">
        <v>3873</v>
      </c>
      <c r="R877" s="1">
        <v>110736</v>
      </c>
      <c r="S877" s="4"/>
      <c r="T877" s="4"/>
      <c r="U877" s="4"/>
      <c r="V877" s="4" t="s">
        <v>36</v>
      </c>
      <c r="W877" s="4" t="s">
        <v>37</v>
      </c>
      <c r="X877" s="4" t="s">
        <v>38</v>
      </c>
      <c r="Y877" s="235" t="s">
        <v>39</v>
      </c>
      <c r="Z877" s="168"/>
    </row>
    <row r="878" spans="1:38" ht="15.75">
      <c r="A878" s="164" t="s">
        <v>812</v>
      </c>
      <c r="B878" s="29" t="s">
        <v>478</v>
      </c>
      <c r="C878" s="4" t="s">
        <v>5106</v>
      </c>
      <c r="D878" s="130"/>
      <c r="E878" s="2">
        <v>45672</v>
      </c>
      <c r="F878" s="2">
        <f t="shared" si="93"/>
        <v>45686</v>
      </c>
      <c r="G878" s="2" t="s">
        <v>28</v>
      </c>
      <c r="H878" s="41">
        <v>6830</v>
      </c>
      <c r="I878" s="15" t="s">
        <v>5107</v>
      </c>
      <c r="J878" s="1" t="s">
        <v>434</v>
      </c>
      <c r="K878" s="1" t="s">
        <v>31</v>
      </c>
      <c r="L878" s="1">
        <v>85004</v>
      </c>
      <c r="M878" s="1" t="s">
        <v>32</v>
      </c>
      <c r="N878" s="4"/>
      <c r="O878" s="1" t="s">
        <v>1635</v>
      </c>
      <c r="P878" s="274" t="s">
        <v>5108</v>
      </c>
      <c r="Q878" s="87" t="s">
        <v>5109</v>
      </c>
      <c r="R878" s="31">
        <v>102801</v>
      </c>
      <c r="S878" s="4"/>
      <c r="T878" s="4"/>
      <c r="U878" s="4"/>
      <c r="V878" s="4" t="s">
        <v>443</v>
      </c>
      <c r="W878" s="4" t="s">
        <v>37</v>
      </c>
      <c r="X878" s="4" t="s">
        <v>616</v>
      </c>
      <c r="Y878" s="235" t="s">
        <v>617</v>
      </c>
      <c r="Z878" s="4"/>
    </row>
    <row r="879" spans="1:38">
      <c r="A879" s="164" t="s">
        <v>812</v>
      </c>
      <c r="B879" s="29" t="s">
        <v>1084</v>
      </c>
      <c r="C879" s="4" t="s">
        <v>5110</v>
      </c>
      <c r="D879" s="2"/>
      <c r="E879" s="2">
        <v>45673</v>
      </c>
      <c r="F879" s="2">
        <f t="shared" si="93"/>
        <v>45687</v>
      </c>
      <c r="G879" s="2" t="s">
        <v>42</v>
      </c>
      <c r="H879" s="41">
        <v>12901</v>
      </c>
      <c r="I879" s="15" t="s">
        <v>1260</v>
      </c>
      <c r="J879" s="1" t="s">
        <v>934</v>
      </c>
      <c r="K879" s="1" t="s">
        <v>31</v>
      </c>
      <c r="L879" s="1">
        <v>85335</v>
      </c>
      <c r="M879" s="1" t="s">
        <v>32</v>
      </c>
      <c r="N879" s="4"/>
      <c r="O879" s="1" t="s">
        <v>5111</v>
      </c>
      <c r="P879" s="1" t="s">
        <v>5112</v>
      </c>
      <c r="Q879" s="87" t="s">
        <v>5113</v>
      </c>
      <c r="R879" s="31" t="s">
        <v>35</v>
      </c>
      <c r="S879" s="4"/>
      <c r="T879" s="4"/>
      <c r="U879" s="4"/>
      <c r="V879" s="4" t="s">
        <v>443</v>
      </c>
      <c r="W879" s="4" t="s">
        <v>37</v>
      </c>
      <c r="X879" s="4" t="s">
        <v>616</v>
      </c>
      <c r="Y879" s="235" t="s">
        <v>617</v>
      </c>
      <c r="Z879" s="167" t="s">
        <v>364</v>
      </c>
      <c r="AA879" s="4"/>
      <c r="AB879" s="4"/>
      <c r="AC879" s="4"/>
      <c r="AD879" s="4"/>
      <c r="AE879" s="4"/>
      <c r="AF879" s="4"/>
      <c r="AG879" s="4"/>
      <c r="AH879" s="4"/>
      <c r="AI879" s="4"/>
      <c r="AJ879" s="4"/>
      <c r="AK879" s="4"/>
      <c r="AL879" s="4"/>
    </row>
    <row r="880" spans="1:38">
      <c r="A880" s="163" t="s">
        <v>25</v>
      </c>
      <c r="B880" s="15" t="s">
        <v>478</v>
      </c>
      <c r="C880" s="29" t="s">
        <v>5114</v>
      </c>
      <c r="D880" s="4"/>
      <c r="E880" s="2">
        <v>45678</v>
      </c>
      <c r="F880" s="2">
        <f t="shared" si="93"/>
        <v>45692</v>
      </c>
      <c r="G880" s="1" t="s">
        <v>42</v>
      </c>
      <c r="H880" s="1">
        <v>745</v>
      </c>
      <c r="I880" s="4" t="s">
        <v>5115</v>
      </c>
      <c r="J880" s="1" t="s">
        <v>69</v>
      </c>
      <c r="K880" s="1" t="s">
        <v>31</v>
      </c>
      <c r="L880" s="1">
        <v>85286</v>
      </c>
      <c r="M880" s="1" t="s">
        <v>32</v>
      </c>
      <c r="N880" s="4"/>
      <c r="O880" s="1" t="s">
        <v>5116</v>
      </c>
      <c r="P880" s="1" t="s">
        <v>5117</v>
      </c>
      <c r="Q880" s="87" t="s">
        <v>5118</v>
      </c>
      <c r="R880" s="1">
        <v>101399</v>
      </c>
      <c r="S880" s="4"/>
      <c r="T880" s="4"/>
      <c r="U880" s="4"/>
      <c r="V880" s="4" t="s">
        <v>36</v>
      </c>
      <c r="W880" s="4" t="s">
        <v>37</v>
      </c>
      <c r="X880" s="4" t="s">
        <v>38</v>
      </c>
      <c r="Y880" s="235" t="s">
        <v>39</v>
      </c>
      <c r="Z880" s="168"/>
      <c r="AA880" s="4"/>
      <c r="AB880" s="4"/>
      <c r="AC880" s="4"/>
      <c r="AD880" s="4"/>
      <c r="AE880" s="4"/>
      <c r="AF880" s="4"/>
      <c r="AG880" s="4"/>
      <c r="AH880" s="4"/>
      <c r="AI880" s="4"/>
      <c r="AJ880" s="4"/>
      <c r="AK880" s="4"/>
      <c r="AL880" s="4"/>
    </row>
    <row r="881" spans="1:38">
      <c r="A881" s="164" t="s">
        <v>812</v>
      </c>
      <c r="B881" s="29" t="s">
        <v>4692</v>
      </c>
      <c r="C881" s="4" t="s">
        <v>5119</v>
      </c>
      <c r="D881" s="2"/>
      <c r="E881" s="2">
        <v>45679</v>
      </c>
      <c r="F881" s="2">
        <f t="shared" si="93"/>
        <v>45693</v>
      </c>
      <c r="G881" s="2" t="s">
        <v>42</v>
      </c>
      <c r="H881" s="41">
        <v>17222</v>
      </c>
      <c r="I881" s="15" t="s">
        <v>1333</v>
      </c>
      <c r="J881" s="1" t="s">
        <v>844</v>
      </c>
      <c r="K881" s="1" t="s">
        <v>31</v>
      </c>
      <c r="L881" s="1">
        <v>85338</v>
      </c>
      <c r="M881" s="1" t="s">
        <v>32</v>
      </c>
      <c r="N881" s="4"/>
      <c r="O881" s="253" t="s">
        <v>5120</v>
      </c>
      <c r="P881" s="1" t="s">
        <v>5121</v>
      </c>
      <c r="Q881" s="87" t="s">
        <v>5122</v>
      </c>
      <c r="R881" s="31">
        <v>99409</v>
      </c>
      <c r="S881" s="4"/>
      <c r="T881" s="4"/>
      <c r="U881" s="4"/>
      <c r="V881" s="4" t="s">
        <v>443</v>
      </c>
      <c r="W881" s="4" t="s">
        <v>37</v>
      </c>
      <c r="X881" s="4" t="s">
        <v>616</v>
      </c>
      <c r="Y881" s="235" t="s">
        <v>617</v>
      </c>
      <c r="Z881" s="167" t="s">
        <v>364</v>
      </c>
    </row>
    <row r="882" spans="1:38">
      <c r="A882" s="163" t="s">
        <v>25</v>
      </c>
      <c r="B882" s="29" t="s">
        <v>258</v>
      </c>
      <c r="C882" s="4" t="s">
        <v>5123</v>
      </c>
      <c r="D882" s="130">
        <v>44656</v>
      </c>
      <c r="E882" s="2">
        <v>45695</v>
      </c>
      <c r="F882" s="2">
        <f t="shared" si="93"/>
        <v>45709</v>
      </c>
      <c r="G882" s="2" t="s">
        <v>42</v>
      </c>
      <c r="H882" s="41">
        <v>1445</v>
      </c>
      <c r="I882" s="15" t="s">
        <v>5124</v>
      </c>
      <c r="J882" s="1" t="s">
        <v>580</v>
      </c>
      <c r="K882" s="1" t="s">
        <v>31</v>
      </c>
      <c r="L882" s="1">
        <v>85209</v>
      </c>
      <c r="M882" s="1" t="s">
        <v>32</v>
      </c>
      <c r="N882" s="4"/>
      <c r="O882" s="1" t="s">
        <v>5125</v>
      </c>
      <c r="P882" s="1" t="s">
        <v>5126</v>
      </c>
      <c r="Q882" s="160" t="s">
        <v>5127</v>
      </c>
      <c r="R882" s="31">
        <v>93667</v>
      </c>
      <c r="S882" s="4"/>
      <c r="T882" s="4"/>
      <c r="U882" s="4"/>
      <c r="V882" s="4" t="s">
        <v>36</v>
      </c>
      <c r="W882" s="4" t="s">
        <v>37</v>
      </c>
      <c r="X882" s="1" t="s">
        <v>59</v>
      </c>
      <c r="Y882" s="167" t="s">
        <v>39</v>
      </c>
      <c r="Z882" s="168"/>
    </row>
    <row r="883" spans="1:38">
      <c r="A883" s="164" t="s">
        <v>812</v>
      </c>
      <c r="B883" s="29" t="s">
        <v>194</v>
      </c>
      <c r="C883" s="4" t="s">
        <v>5128</v>
      </c>
      <c r="D883" s="130" t="s">
        <v>516</v>
      </c>
      <c r="E883" s="2">
        <v>45684</v>
      </c>
      <c r="F883" s="2">
        <f>E883+28</f>
        <v>45712</v>
      </c>
      <c r="G883" s="2" t="s">
        <v>28</v>
      </c>
      <c r="H883" s="41">
        <v>3202</v>
      </c>
      <c r="I883" s="65" t="s">
        <v>5129</v>
      </c>
      <c r="J883" s="1" t="s">
        <v>434</v>
      </c>
      <c r="K883" s="1" t="s">
        <v>31</v>
      </c>
      <c r="L883" s="1">
        <v>85027</v>
      </c>
      <c r="M883" s="1" t="s">
        <v>32</v>
      </c>
      <c r="N883" s="4" t="s">
        <v>645</v>
      </c>
      <c r="O883" s="41" t="s">
        <v>5130</v>
      </c>
      <c r="P883" s="1" t="s">
        <v>5131</v>
      </c>
      <c r="Q883" s="87" t="s">
        <v>5132</v>
      </c>
      <c r="R883" s="1"/>
      <c r="S883" s="4"/>
      <c r="T883" s="4"/>
      <c r="U883" s="4"/>
      <c r="V883" s="4" t="s">
        <v>443</v>
      </c>
      <c r="W883" s="4" t="s">
        <v>37</v>
      </c>
      <c r="X883" s="4" t="s">
        <v>616</v>
      </c>
      <c r="Y883" s="235" t="s">
        <v>617</v>
      </c>
      <c r="Z883" s="167" t="s">
        <v>364</v>
      </c>
    </row>
    <row r="884" spans="1:38" ht="18" customHeight="1">
      <c r="A884" s="164" t="s">
        <v>812</v>
      </c>
      <c r="B884" s="323" t="s">
        <v>5133</v>
      </c>
      <c r="C884" s="4" t="s">
        <v>5134</v>
      </c>
      <c r="D884" s="60"/>
      <c r="E884" s="2">
        <v>45686</v>
      </c>
      <c r="F884" s="60">
        <f>E884+14</f>
        <v>45700</v>
      </c>
      <c r="G884" s="60" t="s">
        <v>42</v>
      </c>
      <c r="H884" s="76" t="s">
        <v>5135</v>
      </c>
      <c r="I884" s="80" t="s">
        <v>5136</v>
      </c>
      <c r="J884" s="55" t="s">
        <v>822</v>
      </c>
      <c r="K884" s="55" t="s">
        <v>31</v>
      </c>
      <c r="L884" s="55" t="s">
        <v>5137</v>
      </c>
      <c r="M884" s="55" t="s">
        <v>32</v>
      </c>
      <c r="N884" s="56"/>
      <c r="O884" s="55" t="s">
        <v>5138</v>
      </c>
      <c r="P884" s="55" t="s">
        <v>5139</v>
      </c>
      <c r="Q884" s="89" t="s">
        <v>5140</v>
      </c>
      <c r="R884" s="57"/>
      <c r="S884" s="4"/>
      <c r="T884" s="4"/>
      <c r="U884" s="4"/>
      <c r="V884" s="4" t="s">
        <v>443</v>
      </c>
      <c r="W884" s="4" t="s">
        <v>37</v>
      </c>
      <c r="X884" s="4" t="s">
        <v>616</v>
      </c>
      <c r="Y884" s="235" t="s">
        <v>617</v>
      </c>
      <c r="Z884" s="167" t="s">
        <v>364</v>
      </c>
    </row>
    <row r="885" spans="1:38">
      <c r="A885" s="163" t="s">
        <v>25</v>
      </c>
      <c r="B885" s="15" t="s">
        <v>2947</v>
      </c>
      <c r="C885" s="4" t="s">
        <v>5141</v>
      </c>
      <c r="D885" s="130"/>
      <c r="E885" s="2">
        <v>45684</v>
      </c>
      <c r="F885" s="2">
        <f>E885+14</f>
        <v>45698</v>
      </c>
      <c r="G885" s="2" t="s">
        <v>28</v>
      </c>
      <c r="H885" s="41">
        <v>24815</v>
      </c>
      <c r="I885" s="15" t="s">
        <v>89</v>
      </c>
      <c r="J885" s="1" t="s">
        <v>129</v>
      </c>
      <c r="K885" s="1" t="s">
        <v>31</v>
      </c>
      <c r="L885" s="1">
        <v>85142</v>
      </c>
      <c r="M885" s="1" t="s">
        <v>32</v>
      </c>
      <c r="N885" s="4"/>
      <c r="O885" s="1" t="s">
        <v>364</v>
      </c>
      <c r="P885" s="1" t="s">
        <v>364</v>
      </c>
      <c r="Q885" s="87" t="s">
        <v>5142</v>
      </c>
      <c r="R885" s="31"/>
      <c r="S885" s="4"/>
      <c r="T885" s="4"/>
      <c r="U885" s="4"/>
      <c r="V885" s="4" t="s">
        <v>36</v>
      </c>
      <c r="W885" s="4" t="s">
        <v>37</v>
      </c>
      <c r="X885" s="1" t="s">
        <v>59</v>
      </c>
      <c r="Y885" s="167" t="s">
        <v>39</v>
      </c>
      <c r="Z885" s="4"/>
    </row>
    <row r="886" spans="1:38">
      <c r="A886" s="163" t="s">
        <v>25</v>
      </c>
      <c r="B886" s="29" t="s">
        <v>5143</v>
      </c>
      <c r="C886" s="4" t="s">
        <v>5144</v>
      </c>
      <c r="D886" s="130">
        <v>45495</v>
      </c>
      <c r="E886" s="2">
        <v>45684</v>
      </c>
      <c r="F886" s="2">
        <f>E886+14</f>
        <v>45698</v>
      </c>
      <c r="G886" s="2" t="s">
        <v>28</v>
      </c>
      <c r="H886" s="41">
        <v>20152</v>
      </c>
      <c r="I886" s="15" t="s">
        <v>89</v>
      </c>
      <c r="J886" s="1" t="s">
        <v>129</v>
      </c>
      <c r="K886" s="1" t="s">
        <v>31</v>
      </c>
      <c r="L886" s="1">
        <v>85142</v>
      </c>
      <c r="M886" s="1" t="s">
        <v>32</v>
      </c>
      <c r="N886" s="4"/>
      <c r="O886" s="1" t="s">
        <v>5145</v>
      </c>
      <c r="P886" s="1" t="s">
        <v>5146</v>
      </c>
      <c r="Q886" s="129" t="s">
        <v>5147</v>
      </c>
      <c r="R886" s="174"/>
      <c r="S886" s="4"/>
      <c r="T886" s="4"/>
      <c r="U886" s="4"/>
      <c r="V886" s="4" t="s">
        <v>36</v>
      </c>
      <c r="W886" s="4" t="s">
        <v>37</v>
      </c>
      <c r="X886" s="1" t="s">
        <v>59</v>
      </c>
      <c r="Y886" s="167" t="s">
        <v>39</v>
      </c>
      <c r="Z886" s="4"/>
      <c r="AA886" s="4"/>
      <c r="AB886" s="4"/>
      <c r="AC886" s="4"/>
      <c r="AD886" s="4"/>
      <c r="AE886" s="4"/>
      <c r="AF886" s="4"/>
      <c r="AG886" s="4"/>
      <c r="AH886" s="4"/>
      <c r="AI886" s="4"/>
      <c r="AJ886" s="4"/>
      <c r="AK886" s="4"/>
      <c r="AL886" s="4"/>
    </row>
    <row r="887" spans="1:38">
      <c r="A887" s="163" t="s">
        <v>25</v>
      </c>
      <c r="B887" s="29" t="s">
        <v>781</v>
      </c>
      <c r="C887" s="4" t="s">
        <v>5148</v>
      </c>
      <c r="D887" s="130"/>
      <c r="E887" s="2">
        <v>45693</v>
      </c>
      <c r="F887" s="2">
        <f>E887+14</f>
        <v>45707</v>
      </c>
      <c r="G887" s="2" t="s">
        <v>42</v>
      </c>
      <c r="H887" s="41">
        <v>5901</v>
      </c>
      <c r="I887" s="15" t="s">
        <v>596</v>
      </c>
      <c r="J887" s="1" t="s">
        <v>434</v>
      </c>
      <c r="K887" s="1" t="s">
        <v>31</v>
      </c>
      <c r="L887" s="1">
        <v>85054</v>
      </c>
      <c r="M887" s="1" t="s">
        <v>32</v>
      </c>
      <c r="N887" s="4"/>
      <c r="O887" s="1" t="s">
        <v>5149</v>
      </c>
      <c r="P887" s="1" t="s">
        <v>5150</v>
      </c>
      <c r="Q887" s="99" t="s">
        <v>5151</v>
      </c>
      <c r="R887" s="174"/>
      <c r="S887" s="4"/>
      <c r="T887" s="4"/>
      <c r="U887" s="4"/>
      <c r="V887" s="4" t="s">
        <v>36</v>
      </c>
      <c r="W887" s="4" t="s">
        <v>37</v>
      </c>
      <c r="X887" s="4" t="s">
        <v>38</v>
      </c>
      <c r="Y887" s="235" t="s">
        <v>39</v>
      </c>
      <c r="Z887" s="4"/>
    </row>
    <row r="888" spans="1:38">
      <c r="A888" s="164" t="s">
        <v>812</v>
      </c>
      <c r="B888" s="29" t="s">
        <v>4692</v>
      </c>
      <c r="C888" t="s">
        <v>5119</v>
      </c>
      <c r="D888" s="2"/>
      <c r="E888" s="2">
        <v>45693</v>
      </c>
      <c r="F888" s="2">
        <f>E888+14</f>
        <v>45707</v>
      </c>
      <c r="G888" s="2" t="s">
        <v>42</v>
      </c>
      <c r="H888" s="41">
        <v>17222</v>
      </c>
      <c r="I888" s="15" t="s">
        <v>1333</v>
      </c>
      <c r="J888" s="1" t="s">
        <v>844</v>
      </c>
      <c r="K888" s="1" t="s">
        <v>31</v>
      </c>
      <c r="L888" s="1">
        <v>85338</v>
      </c>
      <c r="M888" s="1" t="s">
        <v>32</v>
      </c>
      <c r="N888" s="4"/>
      <c r="O888" s="253" t="s">
        <v>5120</v>
      </c>
      <c r="P888" s="1" t="s">
        <v>5121</v>
      </c>
      <c r="Q888" s="87" t="s">
        <v>5122</v>
      </c>
      <c r="R888" s="31">
        <v>99409</v>
      </c>
      <c r="S888" s="4"/>
      <c r="T888" s="4"/>
      <c r="U888" s="4"/>
      <c r="V888" s="4" t="s">
        <v>443</v>
      </c>
      <c r="W888" s="4" t="s">
        <v>37</v>
      </c>
      <c r="X888" s="4" t="s">
        <v>616</v>
      </c>
      <c r="Y888" s="235" t="s">
        <v>617</v>
      </c>
      <c r="Z888" s="167" t="s">
        <v>364</v>
      </c>
    </row>
    <row r="889" spans="1:38">
      <c r="A889" s="164" t="s">
        <v>812</v>
      </c>
      <c r="B889" s="29" t="s">
        <v>111</v>
      </c>
      <c r="C889" s="4" t="s">
        <v>5152</v>
      </c>
      <c r="D889" s="130" t="s">
        <v>516</v>
      </c>
      <c r="E889" s="2">
        <v>45678</v>
      </c>
      <c r="F889" s="2">
        <f>E889+28</f>
        <v>45706</v>
      </c>
      <c r="G889" s="2" t="s">
        <v>28</v>
      </c>
      <c r="H889" s="41">
        <v>328</v>
      </c>
      <c r="I889" s="15" t="s">
        <v>342</v>
      </c>
      <c r="J889" s="1" t="s">
        <v>434</v>
      </c>
      <c r="K889" s="1" t="s">
        <v>31</v>
      </c>
      <c r="L889" s="1">
        <v>85012</v>
      </c>
      <c r="M889" s="1" t="s">
        <v>32</v>
      </c>
      <c r="N889" s="4"/>
      <c r="O889" s="1" t="s">
        <v>5153</v>
      </c>
      <c r="P889" s="1" t="s">
        <v>5154</v>
      </c>
      <c r="Q889" s="239" t="s">
        <v>5155</v>
      </c>
      <c r="R889" s="266" t="s">
        <v>314</v>
      </c>
      <c r="S889" s="4"/>
      <c r="T889" s="4"/>
      <c r="U889" s="4"/>
      <c r="V889" s="4" t="s">
        <v>443</v>
      </c>
      <c r="W889" s="4" t="s">
        <v>37</v>
      </c>
      <c r="X889" s="4" t="s">
        <v>616</v>
      </c>
      <c r="Y889" s="235" t="s">
        <v>617</v>
      </c>
      <c r="Z889" s="4"/>
    </row>
    <row r="890" spans="1:38">
      <c r="A890" s="164" t="s">
        <v>812</v>
      </c>
      <c r="B890" s="102" t="s">
        <v>4669</v>
      </c>
      <c r="C890" s="17" t="s">
        <v>5156</v>
      </c>
      <c r="D890" s="312"/>
      <c r="E890" s="2">
        <v>45706</v>
      </c>
      <c r="F890" s="2">
        <f t="shared" ref="F890:F899" si="94">E890+14</f>
        <v>45720</v>
      </c>
      <c r="G890" s="298" t="s">
        <v>42</v>
      </c>
      <c r="H890" s="299">
        <v>1602</v>
      </c>
      <c r="I890" s="141" t="s">
        <v>5157</v>
      </c>
      <c r="J890" s="12" t="s">
        <v>434</v>
      </c>
      <c r="K890" s="12" t="s">
        <v>31</v>
      </c>
      <c r="L890" s="12">
        <v>85034</v>
      </c>
      <c r="M890" s="12" t="s">
        <v>32</v>
      </c>
      <c r="N890" s="17"/>
      <c r="O890" s="306" t="s">
        <v>4671</v>
      </c>
      <c r="P890" s="306" t="s">
        <v>5158</v>
      </c>
      <c r="Q890" s="317" t="s">
        <v>5159</v>
      </c>
      <c r="R890" s="319">
        <v>102806</v>
      </c>
      <c r="S890" s="17"/>
      <c r="T890" s="17"/>
      <c r="U890" s="17"/>
      <c r="V890" s="17" t="s">
        <v>443</v>
      </c>
      <c r="W890" s="17" t="s">
        <v>37</v>
      </c>
      <c r="X890" s="17" t="s">
        <v>616</v>
      </c>
      <c r="Y890" s="302" t="s">
        <v>617</v>
      </c>
      <c r="Z890" s="303" t="s">
        <v>364</v>
      </c>
      <c r="AA890" s="4"/>
      <c r="AB890" s="4"/>
      <c r="AC890" s="4"/>
      <c r="AD890" s="4"/>
      <c r="AE890" s="4"/>
      <c r="AF890" s="4"/>
      <c r="AG890" s="4"/>
      <c r="AH890" s="4"/>
      <c r="AI890" s="4"/>
      <c r="AJ890" s="4"/>
      <c r="AK890" s="4"/>
      <c r="AL890" s="4"/>
    </row>
    <row r="891" spans="1:38">
      <c r="A891" s="164" t="s">
        <v>812</v>
      </c>
      <c r="B891" s="311" t="s">
        <v>5160</v>
      </c>
      <c r="C891" s="4" t="s">
        <v>5161</v>
      </c>
      <c r="D891" s="2"/>
      <c r="E891" s="2">
        <v>45708</v>
      </c>
      <c r="F891" s="2">
        <f t="shared" si="94"/>
        <v>45722</v>
      </c>
      <c r="G891" s="232" t="s">
        <v>42</v>
      </c>
      <c r="H891" s="41">
        <v>7922</v>
      </c>
      <c r="I891" s="15" t="s">
        <v>5162</v>
      </c>
      <c r="J891" s="1" t="s">
        <v>822</v>
      </c>
      <c r="K891" s="1" t="s">
        <v>31</v>
      </c>
      <c r="L891" s="1">
        <v>85307</v>
      </c>
      <c r="M891" s="1" t="s">
        <v>32</v>
      </c>
      <c r="N891" s="4"/>
      <c r="O891" s="1" t="s">
        <v>3107</v>
      </c>
      <c r="P891" s="1" t="s">
        <v>3108</v>
      </c>
      <c r="Q891" s="184" t="s">
        <v>3109</v>
      </c>
      <c r="R891" s="178">
        <v>104291</v>
      </c>
      <c r="S891" s="4"/>
      <c r="T891" s="4"/>
      <c r="U891" s="4"/>
      <c r="V891" s="4" t="s">
        <v>443</v>
      </c>
      <c r="W891" s="4" t="s">
        <v>37</v>
      </c>
      <c r="X891" s="4" t="s">
        <v>616</v>
      </c>
      <c r="Y891" s="235" t="s">
        <v>617</v>
      </c>
      <c r="Z891" s="167" t="s">
        <v>364</v>
      </c>
      <c r="AA891" s="4"/>
      <c r="AB891" s="4"/>
      <c r="AC891" s="4"/>
      <c r="AD891" s="4"/>
      <c r="AE891" s="4"/>
      <c r="AF891" s="4"/>
      <c r="AG891" s="4"/>
      <c r="AH891" s="4"/>
      <c r="AI891" s="4"/>
      <c r="AJ891" s="4"/>
      <c r="AK891" s="4"/>
      <c r="AL891" s="4"/>
    </row>
    <row r="892" spans="1:38">
      <c r="A892" s="164" t="s">
        <v>812</v>
      </c>
      <c r="B892" s="310" t="s">
        <v>5163</v>
      </c>
      <c r="C892" s="29" t="s">
        <v>5164</v>
      </c>
      <c r="D892" s="26"/>
      <c r="E892" s="2">
        <v>45700</v>
      </c>
      <c r="F892" s="2">
        <f t="shared" si="94"/>
        <v>45714</v>
      </c>
      <c r="G892" s="2" t="s">
        <v>28</v>
      </c>
      <c r="H892" s="1"/>
      <c r="I892" s="4" t="s">
        <v>5165</v>
      </c>
      <c r="J892" s="1" t="s">
        <v>434</v>
      </c>
      <c r="K892" s="1" t="s">
        <v>31</v>
      </c>
      <c r="L892" s="1">
        <v>85004</v>
      </c>
      <c r="M892" s="1" t="s">
        <v>32</v>
      </c>
      <c r="N892" s="4"/>
      <c r="O892" s="1" t="s">
        <v>5166</v>
      </c>
      <c r="P892" s="1" t="s">
        <v>5167</v>
      </c>
      <c r="Q892" s="184" t="s">
        <v>5168</v>
      </c>
      <c r="R892" s="179">
        <v>106097</v>
      </c>
      <c r="S892" s="4"/>
      <c r="T892" s="4"/>
      <c r="U892" s="4"/>
      <c r="V892" s="4" t="s">
        <v>443</v>
      </c>
      <c r="W892" s="4" t="s">
        <v>37</v>
      </c>
      <c r="X892" s="4" t="s">
        <v>616</v>
      </c>
      <c r="Y892" s="235" t="s">
        <v>617</v>
      </c>
      <c r="Z892" s="4"/>
      <c r="AA892" s="4"/>
      <c r="AB892" s="4"/>
      <c r="AC892" s="4"/>
      <c r="AD892" s="4"/>
      <c r="AE892" s="4"/>
      <c r="AF892" s="4"/>
      <c r="AG892" s="4"/>
      <c r="AH892" s="4"/>
      <c r="AI892" s="4"/>
      <c r="AJ892" s="4"/>
      <c r="AK892" s="4"/>
      <c r="AL892" s="4"/>
    </row>
    <row r="893" spans="1:38">
      <c r="A893" s="164" t="s">
        <v>812</v>
      </c>
      <c r="B893" s="311" t="s">
        <v>5169</v>
      </c>
      <c r="C893" s="4" t="s">
        <v>5170</v>
      </c>
      <c r="D893" s="2"/>
      <c r="E893" s="2">
        <v>45701</v>
      </c>
      <c r="F893" s="2">
        <f t="shared" si="94"/>
        <v>45715</v>
      </c>
      <c r="G893" s="2" t="s">
        <v>649</v>
      </c>
      <c r="H893" s="41" t="s">
        <v>184</v>
      </c>
      <c r="I893" s="15" t="s">
        <v>5171</v>
      </c>
      <c r="J893" s="1" t="s">
        <v>1969</v>
      </c>
      <c r="K893" s="1" t="s">
        <v>31</v>
      </c>
      <c r="L893" s="1">
        <v>85340</v>
      </c>
      <c r="M893" s="1" t="s">
        <v>32</v>
      </c>
      <c r="N893" s="4"/>
      <c r="O893" s="253" t="s">
        <v>5172</v>
      </c>
      <c r="P893" s="1" t="s">
        <v>5173</v>
      </c>
      <c r="Q893" s="87" t="s">
        <v>5174</v>
      </c>
      <c r="R893" s="31"/>
      <c r="S893" s="4"/>
      <c r="T893" s="4"/>
      <c r="U893" s="4"/>
      <c r="V893" s="4" t="s">
        <v>443</v>
      </c>
      <c r="W893" s="4" t="s">
        <v>37</v>
      </c>
      <c r="X893" s="4" t="s">
        <v>616</v>
      </c>
      <c r="Y893" s="235" t="s">
        <v>617</v>
      </c>
      <c r="Z893" s="167" t="s">
        <v>364</v>
      </c>
      <c r="AA893" s="4"/>
      <c r="AB893" s="4"/>
      <c r="AC893" s="4"/>
      <c r="AD893" s="4"/>
      <c r="AE893" s="4"/>
      <c r="AF893" s="4"/>
      <c r="AG893" s="4"/>
      <c r="AH893" s="4"/>
    </row>
    <row r="894" spans="1:38">
      <c r="A894" s="164" t="s">
        <v>812</v>
      </c>
      <c r="B894" s="15" t="s">
        <v>4749</v>
      </c>
      <c r="C894" s="4" t="s">
        <v>5175</v>
      </c>
      <c r="D894" s="257"/>
      <c r="E894" s="2">
        <v>45701</v>
      </c>
      <c r="F894" s="2">
        <f t="shared" si="94"/>
        <v>45715</v>
      </c>
      <c r="G894" s="2" t="s">
        <v>28</v>
      </c>
      <c r="H894" s="41">
        <v>16601</v>
      </c>
      <c r="I894" s="15" t="s">
        <v>850</v>
      </c>
      <c r="J894" s="1" t="s">
        <v>837</v>
      </c>
      <c r="K894" s="1" t="s">
        <v>31</v>
      </c>
      <c r="L894" s="1">
        <v>85388</v>
      </c>
      <c r="M894" s="1" t="s">
        <v>32</v>
      </c>
      <c r="N894" s="4"/>
      <c r="O894" s="1" t="s">
        <v>5176</v>
      </c>
      <c r="P894" s="1" t="s">
        <v>5177</v>
      </c>
      <c r="Q894" s="87" t="s">
        <v>5178</v>
      </c>
      <c r="R894" s="31">
        <v>98535</v>
      </c>
      <c r="S894" s="4"/>
      <c r="T894" s="4"/>
      <c r="U894" s="4"/>
      <c r="V894" s="4" t="s">
        <v>443</v>
      </c>
      <c r="W894" s="4" t="s">
        <v>37</v>
      </c>
      <c r="X894" s="4" t="s">
        <v>616</v>
      </c>
      <c r="Y894" s="235" t="s">
        <v>617</v>
      </c>
      <c r="Z894" s="167" t="s">
        <v>364</v>
      </c>
      <c r="AA894" s="4"/>
      <c r="AB894" s="4"/>
      <c r="AC894" s="4"/>
      <c r="AD894" s="4"/>
      <c r="AE894" s="4"/>
      <c r="AF894" s="4"/>
      <c r="AG894" s="4"/>
      <c r="AH894" s="4"/>
      <c r="AI894" s="4"/>
      <c r="AJ894" s="4"/>
      <c r="AK894" s="4"/>
      <c r="AL894" s="4"/>
    </row>
    <row r="895" spans="1:38">
      <c r="A895" s="164" t="s">
        <v>812</v>
      </c>
      <c r="B895" s="29" t="s">
        <v>5179</v>
      </c>
      <c r="C895" s="4" t="s">
        <v>5180</v>
      </c>
      <c r="D895" s="130"/>
      <c r="E895" s="298">
        <v>45701</v>
      </c>
      <c r="F895" s="2">
        <f t="shared" si="94"/>
        <v>45715</v>
      </c>
      <c r="G895" s="2" t="s">
        <v>28</v>
      </c>
      <c r="H895" s="41">
        <v>14075</v>
      </c>
      <c r="I895" s="15" t="s">
        <v>2798</v>
      </c>
      <c r="J895" s="1" t="s">
        <v>1111</v>
      </c>
      <c r="K895" s="1" t="s">
        <v>31</v>
      </c>
      <c r="L895" s="1">
        <v>85379</v>
      </c>
      <c r="M895" s="1" t="s">
        <v>32</v>
      </c>
      <c r="N895" s="4"/>
      <c r="O895" s="1" t="s">
        <v>5181</v>
      </c>
      <c r="P895" s="1" t="s">
        <v>5182</v>
      </c>
      <c r="Q895" s="228" t="s">
        <v>5183</v>
      </c>
      <c r="R895" s="31">
        <v>103962</v>
      </c>
      <c r="S895" s="4"/>
      <c r="T895" s="4"/>
      <c r="U895" s="4"/>
      <c r="V895" s="4" t="s">
        <v>443</v>
      </c>
      <c r="W895" s="4" t="s">
        <v>37</v>
      </c>
      <c r="X895" s="4" t="s">
        <v>616</v>
      </c>
      <c r="Y895" s="241" t="s">
        <v>617</v>
      </c>
      <c r="Z895" s="167" t="s">
        <v>364</v>
      </c>
      <c r="AA895" s="4"/>
      <c r="AB895" s="4"/>
      <c r="AC895" s="4"/>
      <c r="AD895" s="4"/>
      <c r="AE895" s="4"/>
      <c r="AF895" s="4"/>
      <c r="AG895" s="4"/>
      <c r="AH895" s="4"/>
      <c r="AI895" s="4"/>
      <c r="AJ895" s="4"/>
      <c r="AK895" s="4"/>
      <c r="AL895" s="4"/>
    </row>
    <row r="896" spans="1:38">
      <c r="A896" s="163" t="s">
        <v>25</v>
      </c>
      <c r="B896" s="29" t="s">
        <v>5184</v>
      </c>
      <c r="C896" s="4" t="s">
        <v>5185</v>
      </c>
      <c r="D896" s="130"/>
      <c r="E896" s="2">
        <v>45706</v>
      </c>
      <c r="F896" s="2">
        <f t="shared" si="94"/>
        <v>45720</v>
      </c>
      <c r="G896" s="2" t="s">
        <v>722</v>
      </c>
      <c r="H896" s="41"/>
      <c r="I896" s="15" t="s">
        <v>5186</v>
      </c>
      <c r="J896" s="1" t="s">
        <v>207</v>
      </c>
      <c r="K896" s="1" t="s">
        <v>31</v>
      </c>
      <c r="L896" s="1"/>
      <c r="M896" s="1" t="s">
        <v>76</v>
      </c>
      <c r="N896" s="4"/>
      <c r="O896" s="1" t="s">
        <v>5187</v>
      </c>
      <c r="P896" s="1" t="s">
        <v>5188</v>
      </c>
      <c r="Q896" s="129" t="s">
        <v>5189</v>
      </c>
      <c r="R896" s="124" t="s">
        <v>35</v>
      </c>
      <c r="S896" s="4"/>
      <c r="T896" s="4"/>
      <c r="U896" s="4"/>
      <c r="V896" s="4" t="s">
        <v>36</v>
      </c>
      <c r="W896" s="4" t="s">
        <v>37</v>
      </c>
      <c r="X896" s="1" t="s">
        <v>59</v>
      </c>
      <c r="Y896" s="167" t="s">
        <v>39</v>
      </c>
      <c r="Z896" s="4"/>
      <c r="AA896" s="4"/>
      <c r="AB896" s="4"/>
      <c r="AC896" s="4"/>
      <c r="AD896" s="4"/>
      <c r="AE896" s="4"/>
      <c r="AF896" s="4"/>
      <c r="AG896" s="4"/>
      <c r="AH896" s="4"/>
      <c r="AI896" s="4"/>
      <c r="AJ896" s="4"/>
      <c r="AK896" s="4"/>
      <c r="AL896" s="4"/>
    </row>
    <row r="897" spans="1:38" ht="16.5" customHeight="1">
      <c r="A897" s="164" t="s">
        <v>812</v>
      </c>
      <c r="B897" s="70" t="s">
        <v>1040</v>
      </c>
      <c r="C897" s="56" t="s">
        <v>5190</v>
      </c>
      <c r="D897" s="60">
        <v>44770</v>
      </c>
      <c r="E897" s="2">
        <v>45707</v>
      </c>
      <c r="F897" s="60">
        <f t="shared" si="94"/>
        <v>45721</v>
      </c>
      <c r="G897" s="60" t="s">
        <v>42</v>
      </c>
      <c r="H897" s="54" t="s">
        <v>528</v>
      </c>
      <c r="I897" s="80" t="s">
        <v>5191</v>
      </c>
      <c r="J897" s="55" t="s">
        <v>434</v>
      </c>
      <c r="K897" s="55" t="s">
        <v>31</v>
      </c>
      <c r="L897" s="55"/>
      <c r="M897" s="55" t="s">
        <v>32</v>
      </c>
      <c r="N897" s="56"/>
      <c r="O897" s="55" t="s">
        <v>4931</v>
      </c>
      <c r="P897" s="55" t="s">
        <v>5192</v>
      </c>
      <c r="Q897" s="89" t="s">
        <v>5193</v>
      </c>
      <c r="R897" s="178" t="s">
        <v>314</v>
      </c>
      <c r="S897" s="4"/>
      <c r="T897" s="4"/>
      <c r="U897" s="4"/>
      <c r="V897" s="4" t="s">
        <v>827</v>
      </c>
      <c r="W897" s="4" t="s">
        <v>37</v>
      </c>
      <c r="X897" s="4" t="s">
        <v>616</v>
      </c>
      <c r="Y897" s="235" t="s">
        <v>617</v>
      </c>
      <c r="Z897" s="167" t="s">
        <v>364</v>
      </c>
      <c r="AA897" s="4"/>
      <c r="AB897" s="4"/>
      <c r="AC897" s="4"/>
      <c r="AD897" s="4"/>
      <c r="AE897" s="4"/>
      <c r="AF897" s="4"/>
      <c r="AG897" s="4"/>
      <c r="AH897" s="4"/>
      <c r="AI897" s="4"/>
      <c r="AJ897" s="4"/>
      <c r="AK897" s="4"/>
      <c r="AL897" s="4"/>
    </row>
    <row r="898" spans="1:38">
      <c r="A898" s="164" t="s">
        <v>812</v>
      </c>
      <c r="B898" s="29" t="s">
        <v>792</v>
      </c>
      <c r="C898" s="4" t="s">
        <v>5194</v>
      </c>
      <c r="D898" s="2"/>
      <c r="E898" s="2">
        <v>45707</v>
      </c>
      <c r="F898" s="2">
        <f t="shared" si="94"/>
        <v>45721</v>
      </c>
      <c r="G898" s="272" t="s">
        <v>5007</v>
      </c>
      <c r="H898" s="41" t="s">
        <v>528</v>
      </c>
      <c r="I898" s="15" t="s">
        <v>5195</v>
      </c>
      <c r="J898" s="1" t="s">
        <v>844</v>
      </c>
      <c r="K898" s="1" t="s">
        <v>31</v>
      </c>
      <c r="L898" s="1">
        <v>85395</v>
      </c>
      <c r="M898" s="1" t="s">
        <v>32</v>
      </c>
      <c r="N898" s="4"/>
      <c r="O898" s="1" t="s">
        <v>165</v>
      </c>
      <c r="P898" s="1" t="s">
        <v>5196</v>
      </c>
      <c r="Q898" s="87" t="s">
        <v>5197</v>
      </c>
      <c r="R898" s="31">
        <v>95658</v>
      </c>
      <c r="S898" s="4"/>
      <c r="T898" s="4"/>
      <c r="U898" s="4"/>
      <c r="V898" s="4" t="s">
        <v>443</v>
      </c>
      <c r="W898" s="4" t="s">
        <v>37</v>
      </c>
      <c r="X898" s="4" t="s">
        <v>616</v>
      </c>
      <c r="Y898" s="235" t="s">
        <v>617</v>
      </c>
      <c r="Z898" s="167" t="s">
        <v>364</v>
      </c>
      <c r="AA898" s="4"/>
      <c r="AB898" s="4"/>
      <c r="AC898" s="4"/>
      <c r="AD898" s="4"/>
      <c r="AE898" s="4"/>
      <c r="AF898" s="4"/>
      <c r="AG898" s="4"/>
      <c r="AH898" s="4"/>
      <c r="AI898" s="4"/>
      <c r="AJ898" s="4"/>
      <c r="AK898" s="4"/>
      <c r="AL898" s="4"/>
    </row>
    <row r="899" spans="1:38" ht="14.25" customHeight="1">
      <c r="A899" s="163" t="s">
        <v>25</v>
      </c>
      <c r="B899" s="69" t="s">
        <v>252</v>
      </c>
      <c r="C899" s="5" t="s">
        <v>5198</v>
      </c>
      <c r="D899" s="59">
        <v>44834</v>
      </c>
      <c r="E899" s="2">
        <v>45706</v>
      </c>
      <c r="F899" s="2">
        <f t="shared" si="94"/>
        <v>45720</v>
      </c>
      <c r="G899" s="2" t="s">
        <v>42</v>
      </c>
      <c r="H899" s="49">
        <v>16000</v>
      </c>
      <c r="I899" s="7" t="s">
        <v>420</v>
      </c>
      <c r="J899" s="33" t="s">
        <v>398</v>
      </c>
      <c r="K899" s="33" t="s">
        <v>31</v>
      </c>
      <c r="L899" s="33"/>
      <c r="M899" s="33" t="s">
        <v>32</v>
      </c>
      <c r="N899" s="5"/>
      <c r="O899" s="33" t="s">
        <v>5199</v>
      </c>
      <c r="P899" s="33" t="s">
        <v>5200</v>
      </c>
      <c r="Q899" s="321" t="s">
        <v>5201</v>
      </c>
      <c r="R899" s="37">
        <v>94124</v>
      </c>
      <c r="S899" s="4"/>
      <c r="T899" s="4"/>
      <c r="U899" s="4"/>
      <c r="V899" s="4" t="s">
        <v>36</v>
      </c>
      <c r="W899" s="4" t="s">
        <v>37</v>
      </c>
      <c r="X899" s="1" t="s">
        <v>59</v>
      </c>
      <c r="Y899" s="167" t="s">
        <v>39</v>
      </c>
      <c r="Z899" s="167" t="s">
        <v>364</v>
      </c>
      <c r="AA899" s="4"/>
      <c r="AB899" s="4"/>
      <c r="AC899" s="4"/>
      <c r="AD899" s="4"/>
      <c r="AE899" s="4"/>
      <c r="AF899" s="4"/>
      <c r="AG899" s="4"/>
      <c r="AH899" s="4"/>
      <c r="AI899" s="4"/>
      <c r="AJ899" s="4"/>
      <c r="AK899" s="4"/>
      <c r="AL899" s="4"/>
    </row>
    <row r="900" spans="1:38">
      <c r="A900" s="164" t="s">
        <v>812</v>
      </c>
      <c r="B900" s="29" t="s">
        <v>139</v>
      </c>
      <c r="C900" s="4" t="s">
        <v>5202</v>
      </c>
      <c r="D900" s="130" t="s">
        <v>516</v>
      </c>
      <c r="E900" s="2">
        <v>45720</v>
      </c>
      <c r="F900" s="2">
        <f>E900+28</f>
        <v>45748</v>
      </c>
      <c r="G900" s="2" t="s">
        <v>42</v>
      </c>
      <c r="H900" s="41">
        <v>201</v>
      </c>
      <c r="I900" s="15" t="s">
        <v>3384</v>
      </c>
      <c r="J900" s="1" t="s">
        <v>434</v>
      </c>
      <c r="K900" s="1" t="s">
        <v>31</v>
      </c>
      <c r="L900" s="1">
        <v>85003</v>
      </c>
      <c r="M900" s="1" t="s">
        <v>32</v>
      </c>
      <c r="N900" s="4"/>
      <c r="O900" s="1" t="s">
        <v>5203</v>
      </c>
      <c r="P900" s="1" t="s">
        <v>5204</v>
      </c>
      <c r="Q900" s="87" t="s">
        <v>5205</v>
      </c>
      <c r="R900" s="178" t="s">
        <v>314</v>
      </c>
      <c r="S900" s="4"/>
      <c r="T900" s="4"/>
      <c r="U900" s="4"/>
      <c r="V900" s="4" t="s">
        <v>443</v>
      </c>
      <c r="W900" s="4" t="s">
        <v>37</v>
      </c>
      <c r="X900" s="4" t="s">
        <v>616</v>
      </c>
      <c r="Y900" s="235" t="s">
        <v>617</v>
      </c>
      <c r="Z900" s="167" t="s">
        <v>364</v>
      </c>
    </row>
    <row r="901" spans="1:38" ht="14.25" customHeight="1">
      <c r="A901" s="164" t="s">
        <v>812</v>
      </c>
      <c r="B901" s="70" t="s">
        <v>4240</v>
      </c>
      <c r="C901" s="56" t="s">
        <v>5206</v>
      </c>
      <c r="D901" s="60"/>
      <c r="E901" s="2">
        <v>45715</v>
      </c>
      <c r="F901" s="2">
        <f t="shared" ref="F901:F909" si="95">E901+14</f>
        <v>45729</v>
      </c>
      <c r="G901" s="2" t="s">
        <v>42</v>
      </c>
      <c r="H901" s="54" t="s">
        <v>528</v>
      </c>
      <c r="I901" s="80" t="s">
        <v>5207</v>
      </c>
      <c r="J901" s="55" t="s">
        <v>1111</v>
      </c>
      <c r="K901" s="55" t="s">
        <v>31</v>
      </c>
      <c r="L901" s="55"/>
      <c r="M901" s="55" t="s">
        <v>32</v>
      </c>
      <c r="N901" s="56"/>
      <c r="O901" s="55" t="s">
        <v>5208</v>
      </c>
      <c r="P901" s="55" t="s">
        <v>5209</v>
      </c>
      <c r="Q901" s="89" t="s">
        <v>5210</v>
      </c>
      <c r="R901" s="259">
        <v>100481</v>
      </c>
      <c r="S901" s="4"/>
      <c r="T901" s="4"/>
      <c r="U901" s="4"/>
      <c r="V901" s="4" t="s">
        <v>443</v>
      </c>
      <c r="W901" s="4" t="s">
        <v>37</v>
      </c>
      <c r="X901" s="4" t="s">
        <v>616</v>
      </c>
      <c r="Y901" s="235" t="s">
        <v>617</v>
      </c>
      <c r="Z901" s="167" t="s">
        <v>364</v>
      </c>
      <c r="AA901" s="4"/>
      <c r="AB901" s="4"/>
      <c r="AC901" s="4"/>
      <c r="AD901" s="4"/>
      <c r="AE901" s="4"/>
      <c r="AF901" s="4"/>
      <c r="AG901" s="4"/>
      <c r="AH901" s="4"/>
      <c r="AI901" s="4"/>
      <c r="AJ901" s="4"/>
      <c r="AK901" s="4"/>
      <c r="AL901" s="4"/>
    </row>
    <row r="902" spans="1:38">
      <c r="A902" s="164" t="s">
        <v>812</v>
      </c>
      <c r="B902" s="29" t="s">
        <v>1213</v>
      </c>
      <c r="C902" t="s">
        <v>5211</v>
      </c>
      <c r="D902" s="2">
        <v>45218</v>
      </c>
      <c r="E902" s="2">
        <v>45712</v>
      </c>
      <c r="F902" s="2">
        <f t="shared" si="95"/>
        <v>45726</v>
      </c>
      <c r="G902" s="2" t="s">
        <v>42</v>
      </c>
      <c r="H902" s="41" t="s">
        <v>364</v>
      </c>
      <c r="I902" s="134" t="s">
        <v>5212</v>
      </c>
      <c r="J902" s="1" t="s">
        <v>434</v>
      </c>
      <c r="K902" s="1" t="s">
        <v>31</v>
      </c>
      <c r="L902" s="1">
        <v>85027</v>
      </c>
      <c r="M902" s="1" t="s">
        <v>32</v>
      </c>
      <c r="N902" s="4"/>
      <c r="O902" s="1" t="s">
        <v>5213</v>
      </c>
      <c r="P902" s="1" t="s">
        <v>5214</v>
      </c>
      <c r="Q902" s="325" t="s">
        <v>5215</v>
      </c>
      <c r="R902" s="31">
        <v>96114</v>
      </c>
      <c r="S902" s="4"/>
      <c r="T902" s="4"/>
      <c r="U902" s="4"/>
      <c r="V902" s="4" t="s">
        <v>443</v>
      </c>
      <c r="W902" s="4" t="s">
        <v>37</v>
      </c>
      <c r="X902" s="4" t="s">
        <v>616</v>
      </c>
      <c r="Y902" s="241" t="s">
        <v>617</v>
      </c>
      <c r="Z902" s="167" t="s">
        <v>364</v>
      </c>
      <c r="AA902" s="4"/>
      <c r="AB902" s="4"/>
      <c r="AC902" s="4"/>
      <c r="AD902" s="4"/>
      <c r="AE902" s="4"/>
      <c r="AF902" s="4"/>
      <c r="AG902" s="4"/>
      <c r="AH902" s="4"/>
    </row>
    <row r="903" spans="1:38">
      <c r="A903" s="163" t="s">
        <v>25</v>
      </c>
      <c r="B903" s="29" t="s">
        <v>4845</v>
      </c>
      <c r="C903" s="4" t="s">
        <v>5216</v>
      </c>
      <c r="D903" s="130"/>
      <c r="E903" s="2">
        <v>45722</v>
      </c>
      <c r="F903" s="2">
        <f t="shared" si="95"/>
        <v>45736</v>
      </c>
      <c r="G903" s="2" t="s">
        <v>42</v>
      </c>
      <c r="H903" s="41"/>
      <c r="I903" s="15" t="s">
        <v>5217</v>
      </c>
      <c r="J903" s="1" t="s">
        <v>75</v>
      </c>
      <c r="K903" s="1" t="s">
        <v>31</v>
      </c>
      <c r="L903" s="1">
        <v>85142</v>
      </c>
      <c r="M903" s="1" t="s">
        <v>32</v>
      </c>
      <c r="N903" s="4"/>
      <c r="O903" s="1" t="s">
        <v>5218</v>
      </c>
      <c r="P903" s="1" t="s">
        <v>5219</v>
      </c>
      <c r="Q903" s="87" t="s">
        <v>5220</v>
      </c>
      <c r="R903" s="31">
        <v>98869</v>
      </c>
      <c r="S903" s="4"/>
      <c r="T903" s="4"/>
      <c r="U903" s="4"/>
      <c r="V903" s="4" t="s">
        <v>36</v>
      </c>
      <c r="W903" s="4" t="s">
        <v>37</v>
      </c>
      <c r="X903" s="1" t="s">
        <v>59</v>
      </c>
      <c r="Y903" s="167" t="s">
        <v>39</v>
      </c>
      <c r="Z903" s="4"/>
    </row>
    <row r="904" spans="1:38">
      <c r="A904" s="163" t="s">
        <v>25</v>
      </c>
      <c r="B904" s="29" t="s">
        <v>276</v>
      </c>
      <c r="C904" s="4" t="s">
        <v>5221</v>
      </c>
      <c r="D904" s="130"/>
      <c r="E904" s="2">
        <v>45721</v>
      </c>
      <c r="F904" s="2">
        <f t="shared" si="95"/>
        <v>45735</v>
      </c>
      <c r="G904" s="2" t="s">
        <v>42</v>
      </c>
      <c r="H904" s="41"/>
      <c r="I904" s="15" t="s">
        <v>5222</v>
      </c>
      <c r="J904" s="1" t="s">
        <v>69</v>
      </c>
      <c r="K904" s="1" t="s">
        <v>31</v>
      </c>
      <c r="L904" s="1">
        <v>85286</v>
      </c>
      <c r="M904" s="1" t="s">
        <v>32</v>
      </c>
      <c r="N904" s="4"/>
      <c r="O904" s="1" t="s">
        <v>5223</v>
      </c>
      <c r="P904" s="1" t="s">
        <v>5224</v>
      </c>
      <c r="Q904" s="87" t="s">
        <v>5225</v>
      </c>
      <c r="R904" s="174"/>
      <c r="S904" s="4"/>
      <c r="T904" s="4"/>
      <c r="U904" s="4"/>
      <c r="V904" s="4" t="s">
        <v>36</v>
      </c>
      <c r="W904" s="4" t="s">
        <v>37</v>
      </c>
      <c r="X904" s="1" t="s">
        <v>59</v>
      </c>
      <c r="Y904" s="167" t="s">
        <v>39</v>
      </c>
      <c r="Z904" s="4"/>
    </row>
    <row r="905" spans="1:38">
      <c r="A905" s="163" t="s">
        <v>25</v>
      </c>
      <c r="B905" s="29" t="s">
        <v>144</v>
      </c>
      <c r="C905" s="4" t="s">
        <v>5226</v>
      </c>
      <c r="D905" s="130"/>
      <c r="E905" s="2">
        <v>45716</v>
      </c>
      <c r="F905" s="2">
        <f t="shared" si="95"/>
        <v>45730</v>
      </c>
      <c r="G905" s="232" t="s">
        <v>42</v>
      </c>
      <c r="H905" s="41">
        <v>24759</v>
      </c>
      <c r="I905" s="15" t="s">
        <v>135</v>
      </c>
      <c r="J905" s="1" t="s">
        <v>129</v>
      </c>
      <c r="K905" s="1" t="s">
        <v>31</v>
      </c>
      <c r="L905" s="1">
        <v>85142</v>
      </c>
      <c r="M905" s="1" t="s">
        <v>32</v>
      </c>
      <c r="N905" s="4"/>
      <c r="O905" s="1" t="s">
        <v>5227</v>
      </c>
      <c r="P905" s="1" t="s">
        <v>5228</v>
      </c>
      <c r="Q905" s="98" t="s">
        <v>5229</v>
      </c>
      <c r="R905" s="31">
        <v>100786</v>
      </c>
      <c r="S905" s="4"/>
      <c r="T905" s="4"/>
      <c r="U905" s="4"/>
      <c r="V905" s="4" t="s">
        <v>36</v>
      </c>
      <c r="W905" s="4" t="s">
        <v>37</v>
      </c>
      <c r="X905" s="1" t="s">
        <v>59</v>
      </c>
      <c r="Y905" s="167" t="s">
        <v>39</v>
      </c>
      <c r="Z905" s="4"/>
      <c r="AA905" s="4"/>
      <c r="AB905" s="4"/>
      <c r="AC905" s="4"/>
      <c r="AD905" s="4"/>
      <c r="AE905" s="4"/>
      <c r="AF905" s="4"/>
      <c r="AG905" s="4"/>
      <c r="AH905" s="4"/>
    </row>
    <row r="906" spans="1:38">
      <c r="A906" s="258" t="s">
        <v>812</v>
      </c>
      <c r="B906" s="311" t="s">
        <v>5230</v>
      </c>
      <c r="C906" s="4" t="s">
        <v>5231</v>
      </c>
      <c r="D906" s="130"/>
      <c r="E906" s="2">
        <v>45716</v>
      </c>
      <c r="F906" s="2">
        <f t="shared" si="95"/>
        <v>45730</v>
      </c>
      <c r="G906" s="232" t="s">
        <v>42</v>
      </c>
      <c r="H906" s="41">
        <v>455</v>
      </c>
      <c r="I906" s="15" t="s">
        <v>5232</v>
      </c>
      <c r="J906" s="1" t="s">
        <v>916</v>
      </c>
      <c r="K906" s="1" t="s">
        <v>31</v>
      </c>
      <c r="L906" s="1">
        <v>85704</v>
      </c>
      <c r="M906" s="1" t="s">
        <v>32</v>
      </c>
      <c r="N906" s="4"/>
      <c r="O906" s="1" t="s">
        <v>5233</v>
      </c>
      <c r="P906" s="1" t="s">
        <v>5234</v>
      </c>
      <c r="Q906" s="87" t="s">
        <v>5235</v>
      </c>
      <c r="R906" s="178"/>
      <c r="S906" s="4"/>
      <c r="T906" s="4"/>
      <c r="U906" s="4"/>
      <c r="V906" s="4" t="s">
        <v>443</v>
      </c>
      <c r="W906" s="4" t="s">
        <v>37</v>
      </c>
      <c r="X906" s="4" t="s">
        <v>616</v>
      </c>
      <c r="Y906" s="235" t="s">
        <v>617</v>
      </c>
      <c r="Z906" s="4"/>
      <c r="AA906" s="4"/>
      <c r="AB906" s="4"/>
      <c r="AC906" s="4"/>
      <c r="AD906" s="4"/>
      <c r="AE906" s="4"/>
      <c r="AF906" s="4"/>
      <c r="AG906" s="4"/>
      <c r="AH906" s="4"/>
    </row>
    <row r="907" spans="1:38">
      <c r="A907" s="163" t="s">
        <v>25</v>
      </c>
      <c r="B907" s="15" t="s">
        <v>5236</v>
      </c>
      <c r="C907" s="29" t="s">
        <v>5237</v>
      </c>
      <c r="D907" s="4"/>
      <c r="E907" s="2">
        <v>45737</v>
      </c>
      <c r="F907" s="2">
        <f t="shared" si="95"/>
        <v>45751</v>
      </c>
      <c r="G907" s="1" t="s">
        <v>28</v>
      </c>
      <c r="H907" s="1">
        <v>4815</v>
      </c>
      <c r="I907" s="4" t="s">
        <v>5238</v>
      </c>
      <c r="J907" s="1" t="s">
        <v>129</v>
      </c>
      <c r="K907" s="1" t="s">
        <v>31</v>
      </c>
      <c r="L907" s="1">
        <v>85242</v>
      </c>
      <c r="M907" s="1" t="s">
        <v>32</v>
      </c>
      <c r="N907" s="4"/>
      <c r="O907" s="1" t="s">
        <v>5239</v>
      </c>
      <c r="P907" s="1" t="s">
        <v>5240</v>
      </c>
      <c r="Q907" s="87" t="s">
        <v>5241</v>
      </c>
      <c r="R907" s="1">
        <v>99785</v>
      </c>
      <c r="S907" s="4"/>
      <c r="T907" s="4"/>
      <c r="U907" s="4"/>
      <c r="V907" s="4" t="s">
        <v>36</v>
      </c>
      <c r="W907" s="4" t="s">
        <v>37</v>
      </c>
      <c r="X907" s="4" t="s">
        <v>38</v>
      </c>
      <c r="Y907" s="235" t="s">
        <v>39</v>
      </c>
      <c r="Z907" s="4"/>
    </row>
    <row r="908" spans="1:38">
      <c r="A908" s="163" t="s">
        <v>25</v>
      </c>
      <c r="B908" s="29" t="s">
        <v>5242</v>
      </c>
      <c r="C908" s="4" t="s">
        <v>5243</v>
      </c>
      <c r="D908" s="130"/>
      <c r="E908" s="2">
        <v>45733</v>
      </c>
      <c r="F908" s="2">
        <f t="shared" si="95"/>
        <v>45747</v>
      </c>
      <c r="G908" s="2" t="s">
        <v>28</v>
      </c>
      <c r="H908" s="41">
        <v>6888</v>
      </c>
      <c r="I908" s="15" t="s">
        <v>5244</v>
      </c>
      <c r="J908" s="1" t="s">
        <v>69</v>
      </c>
      <c r="K908" s="1" t="s">
        <v>31</v>
      </c>
      <c r="L908" s="1">
        <v>85226</v>
      </c>
      <c r="M908" s="1" t="s">
        <v>32</v>
      </c>
      <c r="N908" s="4"/>
      <c r="O908" s="1" t="s">
        <v>5245</v>
      </c>
      <c r="P908" s="1" t="s">
        <v>5246</v>
      </c>
      <c r="Q908" s="1" t="s">
        <v>5247</v>
      </c>
      <c r="R908" s="178" t="s">
        <v>35</v>
      </c>
      <c r="S908" s="4"/>
      <c r="T908" s="4"/>
      <c r="U908" s="4"/>
      <c r="V908" s="4" t="s">
        <v>36</v>
      </c>
      <c r="W908" s="4" t="s">
        <v>37</v>
      </c>
      <c r="X908" s="1" t="s">
        <v>59</v>
      </c>
      <c r="Y908" s="167" t="s">
        <v>39</v>
      </c>
      <c r="Z908" s="4"/>
    </row>
    <row r="909" spans="1:38">
      <c r="A909" s="163" t="s">
        <v>25</v>
      </c>
      <c r="B909" s="29" t="s">
        <v>3824</v>
      </c>
      <c r="C909" s="4" t="s">
        <v>5248</v>
      </c>
      <c r="D909" s="2"/>
      <c r="E909" s="2">
        <v>45728</v>
      </c>
      <c r="F909" s="2">
        <f t="shared" si="95"/>
        <v>45742</v>
      </c>
      <c r="G909" s="2" t="s">
        <v>42</v>
      </c>
      <c r="H909" s="1" t="s">
        <v>379</v>
      </c>
      <c r="I909" s="65" t="s">
        <v>5249</v>
      </c>
      <c r="J909" s="1" t="s">
        <v>1358</v>
      </c>
      <c r="K909" s="1" t="s">
        <v>31</v>
      </c>
      <c r="L909" s="1"/>
      <c r="M909" s="1" t="s">
        <v>32</v>
      </c>
      <c r="N909" s="4"/>
      <c r="O909" s="1" t="s">
        <v>1013</v>
      </c>
      <c r="P909" s="73" t="s">
        <v>1014</v>
      </c>
      <c r="Q909" s="255" t="s">
        <v>1015</v>
      </c>
      <c r="R909" s="31">
        <v>100078</v>
      </c>
      <c r="S909" s="4"/>
      <c r="T909" s="4"/>
      <c r="U909" s="4"/>
      <c r="V909" s="4" t="s">
        <v>36</v>
      </c>
      <c r="W909" s="4" t="s">
        <v>37</v>
      </c>
      <c r="X909" s="4" t="s">
        <v>38</v>
      </c>
      <c r="Y909" s="235" t="s">
        <v>39</v>
      </c>
      <c r="Z909" s="167" t="s">
        <v>364</v>
      </c>
    </row>
    <row r="910" spans="1:38">
      <c r="A910" s="164" t="s">
        <v>812</v>
      </c>
      <c r="B910" s="29" t="s">
        <v>4791</v>
      </c>
      <c r="C910" s="4" t="s">
        <v>5250</v>
      </c>
      <c r="D910" s="130" t="s">
        <v>516</v>
      </c>
      <c r="E910" s="2">
        <v>45713</v>
      </c>
      <c r="F910" s="2">
        <f>E910+28</f>
        <v>45741</v>
      </c>
      <c r="G910" s="2" t="s">
        <v>28</v>
      </c>
      <c r="H910" s="41">
        <v>12905</v>
      </c>
      <c r="I910" s="15" t="s">
        <v>2345</v>
      </c>
      <c r="J910" s="1" t="s">
        <v>873</v>
      </c>
      <c r="K910" s="1" t="s">
        <v>31</v>
      </c>
      <c r="L910" s="1">
        <v>85392</v>
      </c>
      <c r="M910" s="1" t="s">
        <v>32</v>
      </c>
      <c r="N910" s="4"/>
      <c r="O910" s="25" t="s">
        <v>5251</v>
      </c>
      <c r="P910" s="1" t="s">
        <v>5252</v>
      </c>
      <c r="Q910" s="184" t="s">
        <v>5253</v>
      </c>
      <c r="R910" s="178">
        <v>94823</v>
      </c>
      <c r="S910" s="4"/>
      <c r="T910" s="4"/>
      <c r="U910" s="4"/>
      <c r="V910" s="4" t="s">
        <v>443</v>
      </c>
      <c r="W910" s="4" t="s">
        <v>37</v>
      </c>
      <c r="X910" s="4" t="s">
        <v>616</v>
      </c>
      <c r="Y910" s="235" t="s">
        <v>617</v>
      </c>
      <c r="Z910" s="167" t="s">
        <v>364</v>
      </c>
    </row>
    <row r="911" spans="1:38">
      <c r="A911" s="163" t="s">
        <v>25</v>
      </c>
      <c r="B911" s="29" t="s">
        <v>4865</v>
      </c>
      <c r="C911" s="4" t="s">
        <v>5254</v>
      </c>
      <c r="D911" s="130"/>
      <c r="E911" s="2">
        <v>45729</v>
      </c>
      <c r="F911" s="2">
        <f t="shared" ref="F911:F926" si="96">E911+14</f>
        <v>45743</v>
      </c>
      <c r="G911" s="2" t="s">
        <v>42</v>
      </c>
      <c r="H911" s="41"/>
      <c r="I911" s="15" t="s">
        <v>5255</v>
      </c>
      <c r="J911" s="1" t="s">
        <v>434</v>
      </c>
      <c r="K911" s="1" t="s">
        <v>31</v>
      </c>
      <c r="L911" s="1"/>
      <c r="M911" s="1" t="s">
        <v>32</v>
      </c>
      <c r="N911" s="4"/>
      <c r="O911" s="1" t="s">
        <v>5256</v>
      </c>
      <c r="P911" s="1" t="s">
        <v>3624</v>
      </c>
      <c r="Q911" s="87" t="s">
        <v>5257</v>
      </c>
      <c r="R911" s="31">
        <v>93558</v>
      </c>
      <c r="S911" s="4"/>
      <c r="T911" s="4"/>
      <c r="U911" s="4"/>
      <c r="V911" s="4" t="s">
        <v>36</v>
      </c>
      <c r="W911" s="4" t="s">
        <v>37</v>
      </c>
      <c r="X911" s="1" t="s">
        <v>59</v>
      </c>
      <c r="Y911" s="167" t="s">
        <v>39</v>
      </c>
      <c r="Z911" s="168"/>
      <c r="AA911" s="4"/>
      <c r="AB911" s="4"/>
      <c r="AC911" s="4"/>
      <c r="AD911" s="4"/>
      <c r="AE911" s="4"/>
      <c r="AF911" s="4"/>
      <c r="AG911" s="4"/>
      <c r="AH911" s="4"/>
      <c r="AI911" s="4"/>
      <c r="AJ911" s="4"/>
      <c r="AK911" s="4"/>
      <c r="AL911" s="4"/>
    </row>
    <row r="912" spans="1:38">
      <c r="A912" s="163" t="s">
        <v>25</v>
      </c>
      <c r="B912" s="29" t="s">
        <v>792</v>
      </c>
      <c r="C912" s="4" t="s">
        <v>5258</v>
      </c>
      <c r="D912" s="130"/>
      <c r="E912" s="2">
        <v>45730</v>
      </c>
      <c r="F912" s="2">
        <f t="shared" si="96"/>
        <v>45744</v>
      </c>
      <c r="G912" s="272" t="s">
        <v>5007</v>
      </c>
      <c r="H912" s="41">
        <v>123</v>
      </c>
      <c r="I912" s="15" t="s">
        <v>5259</v>
      </c>
      <c r="J912" s="1" t="s">
        <v>69</v>
      </c>
      <c r="K912" s="1" t="s">
        <v>31</v>
      </c>
      <c r="L912" s="1">
        <v>85225</v>
      </c>
      <c r="M912" s="1" t="s">
        <v>32</v>
      </c>
      <c r="N912" s="4"/>
      <c r="O912" s="1" t="s">
        <v>796</v>
      </c>
      <c r="P912" s="1" t="s">
        <v>3526</v>
      </c>
      <c r="Q912" s="89" t="s">
        <v>3527</v>
      </c>
      <c r="R912" s="31">
        <v>97037</v>
      </c>
      <c r="S912" s="4"/>
      <c r="T912" s="4"/>
      <c r="U912" s="4"/>
      <c r="V912" s="4" t="s">
        <v>36</v>
      </c>
      <c r="W912" s="4" t="s">
        <v>37</v>
      </c>
      <c r="X912" s="1" t="s">
        <v>59</v>
      </c>
      <c r="Y912" s="167" t="s">
        <v>39</v>
      </c>
      <c r="Z912" s="168"/>
    </row>
    <row r="913" spans="1:38">
      <c r="A913" s="163" t="s">
        <v>25</v>
      </c>
      <c r="B913" s="29" t="s">
        <v>5260</v>
      </c>
      <c r="C913" s="4" t="s">
        <v>5261</v>
      </c>
      <c r="D913" s="130"/>
      <c r="E913" s="2">
        <v>45730</v>
      </c>
      <c r="F913" s="2">
        <f t="shared" si="96"/>
        <v>45744</v>
      </c>
      <c r="G913" s="2" t="s">
        <v>28</v>
      </c>
      <c r="H913" s="41">
        <v>4119</v>
      </c>
      <c r="I913" s="15" t="s">
        <v>5262</v>
      </c>
      <c r="J913" s="1" t="s">
        <v>69</v>
      </c>
      <c r="K913" s="1" t="s">
        <v>31</v>
      </c>
      <c r="L913" s="1">
        <v>85226</v>
      </c>
      <c r="M913" s="1"/>
      <c r="N913" s="4"/>
      <c r="O913" s="1" t="s">
        <v>5263</v>
      </c>
      <c r="P913" s="1" t="s">
        <v>5264</v>
      </c>
      <c r="Q913" s="87" t="s">
        <v>5265</v>
      </c>
      <c r="R913" s="31">
        <v>97778</v>
      </c>
      <c r="S913" s="4"/>
      <c r="T913" s="4"/>
      <c r="U913" s="4"/>
      <c r="V913" s="4" t="s">
        <v>36</v>
      </c>
      <c r="W913" s="4" t="s">
        <v>37</v>
      </c>
      <c r="X913" s="4" t="s">
        <v>38</v>
      </c>
      <c r="Y913" s="235" t="s">
        <v>39</v>
      </c>
      <c r="Z913" s="168"/>
      <c r="AA913" s="4"/>
      <c r="AB913" s="4"/>
      <c r="AC913" s="4"/>
      <c r="AD913" s="4"/>
      <c r="AE913" s="4"/>
      <c r="AF913" s="4"/>
      <c r="AG913" s="4"/>
      <c r="AH913" s="4"/>
    </row>
    <row r="914" spans="1:38">
      <c r="A914" s="163" t="s">
        <v>25</v>
      </c>
      <c r="B914" s="29" t="s">
        <v>1157</v>
      </c>
      <c r="C914" s="4" t="s">
        <v>5266</v>
      </c>
      <c r="D914" s="130"/>
      <c r="E914" s="2">
        <v>45733</v>
      </c>
      <c r="F914" s="2">
        <f t="shared" si="96"/>
        <v>45747</v>
      </c>
      <c r="G914" s="2" t="s">
        <v>28</v>
      </c>
      <c r="H914" s="41"/>
      <c r="I914" s="15" t="s">
        <v>5267</v>
      </c>
      <c r="J914" s="1" t="s">
        <v>30</v>
      </c>
      <c r="K914" s="1" t="s">
        <v>31</v>
      </c>
      <c r="L914" s="1"/>
      <c r="M914" s="1" t="s">
        <v>32</v>
      </c>
      <c r="N914" s="4"/>
      <c r="O914" s="1" t="s">
        <v>5268</v>
      </c>
      <c r="P914" s="1" t="s">
        <v>5269</v>
      </c>
      <c r="Q914" s="87" t="s">
        <v>5270</v>
      </c>
      <c r="R914" s="31">
        <v>97930</v>
      </c>
      <c r="S914" s="4"/>
      <c r="T914" s="4"/>
      <c r="U914" s="4"/>
      <c r="V914" s="4" t="s">
        <v>36</v>
      </c>
      <c r="W914" s="4" t="s">
        <v>37</v>
      </c>
      <c r="X914" s="1" t="s">
        <v>59</v>
      </c>
      <c r="Y914" s="167" t="s">
        <v>39</v>
      </c>
      <c r="Z914" s="4"/>
    </row>
    <row r="915" spans="1:38">
      <c r="A915" s="164" t="s">
        <v>812</v>
      </c>
      <c r="B915" s="29" t="s">
        <v>5271</v>
      </c>
      <c r="C915" s="4" t="s">
        <v>5272</v>
      </c>
      <c r="D915" s="257"/>
      <c r="E915" s="2">
        <v>45727</v>
      </c>
      <c r="F915" s="2">
        <f t="shared" si="96"/>
        <v>45741</v>
      </c>
      <c r="G915" s="2" t="s">
        <v>42</v>
      </c>
      <c r="H915" s="41" t="s">
        <v>184</v>
      </c>
      <c r="I915" s="15" t="s">
        <v>5273</v>
      </c>
      <c r="J915" s="1" t="s">
        <v>894</v>
      </c>
      <c r="K915" s="1" t="s">
        <v>31</v>
      </c>
      <c r="L915" s="1">
        <v>85353</v>
      </c>
      <c r="M915" s="1" t="s">
        <v>32</v>
      </c>
      <c r="N915" s="4"/>
      <c r="O915" s="1" t="s">
        <v>5274</v>
      </c>
      <c r="P915" s="1" t="s">
        <v>3495</v>
      </c>
      <c r="Q915" s="98" t="s">
        <v>5275</v>
      </c>
      <c r="R915" s="31">
        <v>102422</v>
      </c>
      <c r="S915" s="4"/>
      <c r="T915" s="4"/>
      <c r="U915" s="4"/>
      <c r="V915" s="4" t="s">
        <v>443</v>
      </c>
      <c r="W915" s="4" t="s">
        <v>37</v>
      </c>
      <c r="X915" s="4" t="s">
        <v>616</v>
      </c>
      <c r="Y915" s="235" t="s">
        <v>617</v>
      </c>
      <c r="Z915" s="167" t="s">
        <v>364</v>
      </c>
      <c r="AA915" s="4"/>
      <c r="AB915" s="4"/>
      <c r="AC915" s="4"/>
      <c r="AD915" s="4"/>
      <c r="AE915" s="4"/>
      <c r="AF915" s="4"/>
      <c r="AG915" s="4"/>
      <c r="AH915" s="4"/>
      <c r="AI915" s="4"/>
      <c r="AJ915" s="4"/>
      <c r="AK915" s="4"/>
      <c r="AL915" s="4"/>
    </row>
    <row r="916" spans="1:38">
      <c r="A916" s="163" t="s">
        <v>25</v>
      </c>
      <c r="B916" s="29" t="s">
        <v>144</v>
      </c>
      <c r="C916" s="4" t="s">
        <v>5276</v>
      </c>
      <c r="D916" s="130"/>
      <c r="E916" s="2">
        <v>45751</v>
      </c>
      <c r="F916" s="2">
        <f t="shared" si="96"/>
        <v>45765</v>
      </c>
      <c r="G916" s="2" t="s">
        <v>42</v>
      </c>
      <c r="H916" s="41">
        <v>6101</v>
      </c>
      <c r="I916" s="15" t="s">
        <v>5277</v>
      </c>
      <c r="J916" s="1" t="s">
        <v>63</v>
      </c>
      <c r="K916" s="1" t="s">
        <v>31</v>
      </c>
      <c r="L916" s="1">
        <v>85215</v>
      </c>
      <c r="M916" s="1" t="s">
        <v>32</v>
      </c>
      <c r="N916" s="4"/>
      <c r="O916" s="1" t="s">
        <v>5278</v>
      </c>
      <c r="P916" s="1" t="s">
        <v>5279</v>
      </c>
      <c r="Q916" s="98" t="s">
        <v>5280</v>
      </c>
      <c r="R916" s="31">
        <v>102249</v>
      </c>
      <c r="S916" s="4"/>
      <c r="T916" s="4"/>
      <c r="U916" s="4"/>
      <c r="V916" s="4" t="s">
        <v>36</v>
      </c>
      <c r="W916" s="4" t="s">
        <v>37</v>
      </c>
      <c r="X916" s="1" t="s">
        <v>59</v>
      </c>
      <c r="Y916" s="167" t="s">
        <v>39</v>
      </c>
      <c r="Z916" s="4"/>
      <c r="AA916" s="4"/>
      <c r="AB916" s="4"/>
      <c r="AC916" s="4"/>
      <c r="AD916" s="4"/>
      <c r="AE916" s="4"/>
      <c r="AF916" s="4"/>
      <c r="AG916" s="4"/>
      <c r="AH916" s="4"/>
      <c r="AI916" s="4"/>
      <c r="AJ916" s="4"/>
      <c r="AK916" s="4"/>
      <c r="AL916" s="4"/>
    </row>
    <row r="917" spans="1:38">
      <c r="A917" s="163" t="s">
        <v>25</v>
      </c>
      <c r="B917" s="15" t="s">
        <v>144</v>
      </c>
      <c r="C917" s="29" t="s">
        <v>5281</v>
      </c>
      <c r="D917" s="26">
        <v>45531</v>
      </c>
      <c r="E917" s="2">
        <v>45740</v>
      </c>
      <c r="F917" s="2">
        <f t="shared" si="96"/>
        <v>45754</v>
      </c>
      <c r="G917" s="179" t="s">
        <v>42</v>
      </c>
      <c r="H917" s="1">
        <v>5545</v>
      </c>
      <c r="I917" s="4" t="s">
        <v>5282</v>
      </c>
      <c r="J917" s="1" t="s">
        <v>49</v>
      </c>
      <c r="K917" s="1" t="s">
        <v>31</v>
      </c>
      <c r="L917" s="1">
        <v>85298</v>
      </c>
      <c r="M917" s="1" t="s">
        <v>32</v>
      </c>
      <c r="N917" s="4"/>
      <c r="O917" s="1" t="s">
        <v>5283</v>
      </c>
      <c r="P917" s="1" t="s">
        <v>5284</v>
      </c>
      <c r="Q917" s="129" t="s">
        <v>5285</v>
      </c>
      <c r="R917" s="1"/>
      <c r="S917" s="4"/>
      <c r="T917" s="4"/>
      <c r="U917" s="4"/>
      <c r="V917" s="4" t="s">
        <v>36</v>
      </c>
      <c r="W917" s="4" t="s">
        <v>37</v>
      </c>
      <c r="X917" s="4" t="s">
        <v>38</v>
      </c>
      <c r="Y917" s="235" t="s">
        <v>39</v>
      </c>
      <c r="Z917" s="4"/>
      <c r="AA917" s="4"/>
      <c r="AB917" s="4"/>
      <c r="AC917" s="4"/>
      <c r="AD917" s="4"/>
      <c r="AE917" s="4"/>
      <c r="AF917" s="4"/>
      <c r="AG917" s="4"/>
      <c r="AH917" s="4"/>
    </row>
    <row r="918" spans="1:38">
      <c r="A918" s="164" t="s">
        <v>812</v>
      </c>
      <c r="B918" s="29" t="s">
        <v>168</v>
      </c>
      <c r="C918" s="4" t="s">
        <v>5286</v>
      </c>
      <c r="D918" s="2"/>
      <c r="E918" s="232">
        <v>45743</v>
      </c>
      <c r="F918" s="2">
        <f t="shared" si="96"/>
        <v>45757</v>
      </c>
      <c r="G918" s="2" t="s">
        <v>42</v>
      </c>
      <c r="H918" s="41">
        <v>13501</v>
      </c>
      <c r="I918" s="15" t="s">
        <v>5287</v>
      </c>
      <c r="J918" s="1" t="s">
        <v>934</v>
      </c>
      <c r="K918" s="1" t="s">
        <v>31</v>
      </c>
      <c r="L918" s="1">
        <v>85335</v>
      </c>
      <c r="M918" s="1" t="s">
        <v>32</v>
      </c>
      <c r="N918" s="4"/>
      <c r="O918" s="1" t="s">
        <v>5288</v>
      </c>
      <c r="P918" s="1" t="s">
        <v>4889</v>
      </c>
      <c r="Q918" s="87" t="s">
        <v>5289</v>
      </c>
      <c r="R918" s="31"/>
      <c r="S918" s="4"/>
      <c r="T918" s="4"/>
      <c r="U918" s="4"/>
      <c r="V918" s="4" t="s">
        <v>443</v>
      </c>
      <c r="W918" s="4" t="s">
        <v>37</v>
      </c>
      <c r="X918" s="4" t="s">
        <v>616</v>
      </c>
      <c r="Y918" s="235" t="s">
        <v>617</v>
      </c>
      <c r="Z918" s="167" t="s">
        <v>364</v>
      </c>
    </row>
    <row r="919" spans="1:38">
      <c r="A919" s="163" t="s">
        <v>25</v>
      </c>
      <c r="B919" s="29" t="s">
        <v>412</v>
      </c>
      <c r="C919" s="4" t="s">
        <v>5290</v>
      </c>
      <c r="D919" s="130"/>
      <c r="E919" s="2">
        <v>45744</v>
      </c>
      <c r="F919" s="2">
        <f t="shared" si="96"/>
        <v>45758</v>
      </c>
      <c r="G919" s="324" t="s">
        <v>5291</v>
      </c>
      <c r="H919" s="41">
        <v>250</v>
      </c>
      <c r="I919" s="15" t="s">
        <v>5292</v>
      </c>
      <c r="J919" s="1" t="s">
        <v>69</v>
      </c>
      <c r="K919" s="1" t="s">
        <v>31</v>
      </c>
      <c r="L919" s="1">
        <v>85226</v>
      </c>
      <c r="M919" s="1" t="s">
        <v>32</v>
      </c>
      <c r="N919" s="4"/>
      <c r="O919" s="1" t="s">
        <v>5293</v>
      </c>
      <c r="P919" s="1" t="s">
        <v>5294</v>
      </c>
      <c r="Q919" s="87" t="s">
        <v>5295</v>
      </c>
      <c r="R919" s="31">
        <v>101426</v>
      </c>
      <c r="S919" s="4"/>
      <c r="T919" s="4"/>
      <c r="U919" s="4"/>
      <c r="V919" s="4" t="s">
        <v>36</v>
      </c>
      <c r="W919" s="4" t="s">
        <v>37</v>
      </c>
      <c r="X919" s="4" t="s">
        <v>38</v>
      </c>
      <c r="Y919" s="235" t="s">
        <v>39</v>
      </c>
      <c r="Z919" s="4"/>
    </row>
    <row r="920" spans="1:38">
      <c r="A920" s="163" t="s">
        <v>25</v>
      </c>
      <c r="B920" s="15" t="s">
        <v>111</v>
      </c>
      <c r="C920" s="29" t="s">
        <v>5296</v>
      </c>
      <c r="D920" s="26">
        <v>45554</v>
      </c>
      <c r="E920" s="2">
        <v>45763</v>
      </c>
      <c r="F920" s="2">
        <f t="shared" si="96"/>
        <v>45777</v>
      </c>
      <c r="G920" s="2" t="s">
        <v>28</v>
      </c>
      <c r="H920" s="1">
        <v>6111</v>
      </c>
      <c r="I920" s="4" t="s">
        <v>5297</v>
      </c>
      <c r="J920" s="1" t="s">
        <v>415</v>
      </c>
      <c r="K920" s="1" t="s">
        <v>31</v>
      </c>
      <c r="L920" s="1">
        <v>85283</v>
      </c>
      <c r="M920" s="1" t="s">
        <v>32</v>
      </c>
      <c r="N920" s="4"/>
      <c r="O920" s="1" t="s">
        <v>458</v>
      </c>
      <c r="P920" s="1" t="s">
        <v>1865</v>
      </c>
      <c r="Q920" s="173"/>
      <c r="R920" s="124" t="s">
        <v>35</v>
      </c>
      <c r="S920" s="4"/>
      <c r="T920" s="4"/>
      <c r="U920" s="4"/>
      <c r="V920" s="4" t="s">
        <v>36</v>
      </c>
      <c r="W920" s="4" t="s">
        <v>37</v>
      </c>
      <c r="X920" s="4" t="s">
        <v>38</v>
      </c>
      <c r="Y920" s="235" t="s">
        <v>39</v>
      </c>
      <c r="Z920" s="4"/>
      <c r="AA920" s="4"/>
      <c r="AB920" s="4"/>
      <c r="AC920" s="4"/>
      <c r="AD920" s="4"/>
      <c r="AE920" s="4"/>
      <c r="AF920" s="4"/>
      <c r="AG920" s="4"/>
      <c r="AH920" s="4"/>
      <c r="AI920" s="4"/>
      <c r="AJ920" s="4"/>
      <c r="AK920" s="4"/>
      <c r="AL920" s="4"/>
    </row>
    <row r="921" spans="1:38">
      <c r="A921" s="163" t="s">
        <v>25</v>
      </c>
      <c r="B921" s="29" t="s">
        <v>5298</v>
      </c>
      <c r="C921" s="4" t="s">
        <v>5299</v>
      </c>
      <c r="D921" s="130"/>
      <c r="E921" s="2">
        <v>45763</v>
      </c>
      <c r="F921" s="2">
        <f t="shared" si="96"/>
        <v>45777</v>
      </c>
      <c r="G921" s="232" t="s">
        <v>42</v>
      </c>
      <c r="H921" s="41">
        <v>2000</v>
      </c>
      <c r="I921" s="15" t="s">
        <v>5300</v>
      </c>
      <c r="J921" s="1" t="s">
        <v>415</v>
      </c>
      <c r="K921" s="1" t="s">
        <v>31</v>
      </c>
      <c r="L921" s="1">
        <v>85282</v>
      </c>
      <c r="M921" s="1" t="s">
        <v>32</v>
      </c>
      <c r="N921" s="4"/>
      <c r="O921" s="1" t="s">
        <v>5301</v>
      </c>
      <c r="P921" s="1" t="s">
        <v>5302</v>
      </c>
      <c r="Q921" s="87" t="s">
        <v>5303</v>
      </c>
      <c r="R921" s="31">
        <v>101740</v>
      </c>
      <c r="S921" s="4"/>
      <c r="T921" s="4"/>
      <c r="U921" s="4"/>
      <c r="V921" s="4" t="s">
        <v>36</v>
      </c>
      <c r="W921" s="4" t="s">
        <v>37</v>
      </c>
      <c r="X921" s="1" t="s">
        <v>59</v>
      </c>
      <c r="Y921" s="167" t="s">
        <v>39</v>
      </c>
      <c r="Z921" s="4"/>
      <c r="AA921" s="4"/>
      <c r="AB921" s="4"/>
      <c r="AC921" s="4"/>
      <c r="AD921" s="4"/>
      <c r="AE921" s="4"/>
      <c r="AF921" s="4"/>
      <c r="AG921" s="4"/>
      <c r="AH921" s="4"/>
      <c r="AI921" s="4"/>
      <c r="AJ921" s="4"/>
      <c r="AK921" s="4"/>
      <c r="AL921" s="4"/>
    </row>
    <row r="922" spans="1:38">
      <c r="A922" s="164" t="s">
        <v>812</v>
      </c>
      <c r="B922" s="15" t="s">
        <v>1952</v>
      </c>
      <c r="C922" s="29" t="s">
        <v>5304</v>
      </c>
      <c r="D922" s="2"/>
      <c r="E922" s="232">
        <v>45747</v>
      </c>
      <c r="F922" s="60">
        <f t="shared" si="96"/>
        <v>45761</v>
      </c>
      <c r="G922" s="2" t="s">
        <v>42</v>
      </c>
      <c r="H922" s="1">
        <v>575</v>
      </c>
      <c r="I922" s="15" t="s">
        <v>5304</v>
      </c>
      <c r="J922" s="1" t="s">
        <v>844</v>
      </c>
      <c r="K922" s="1" t="s">
        <v>31</v>
      </c>
      <c r="L922" s="1">
        <v>85338</v>
      </c>
      <c r="M922" s="1" t="s">
        <v>32</v>
      </c>
      <c r="N922" s="4"/>
      <c r="O922" s="1" t="s">
        <v>5305</v>
      </c>
      <c r="P922" s="1" t="s">
        <v>5306</v>
      </c>
      <c r="Q922" s="87" t="s">
        <v>5307</v>
      </c>
      <c r="R922" s="1">
        <v>95491</v>
      </c>
      <c r="S922" s="4"/>
      <c r="T922" s="4"/>
      <c r="U922" s="4"/>
      <c r="V922" s="4" t="s">
        <v>443</v>
      </c>
      <c r="W922" s="4" t="s">
        <v>37</v>
      </c>
      <c r="X922" s="4" t="s">
        <v>616</v>
      </c>
      <c r="Y922" s="235" t="s">
        <v>617</v>
      </c>
      <c r="Z922" s="167" t="s">
        <v>364</v>
      </c>
      <c r="AA922" s="4"/>
      <c r="AB922" s="4"/>
      <c r="AC922" s="4"/>
      <c r="AD922" s="4"/>
      <c r="AE922" s="4"/>
      <c r="AF922" s="4"/>
      <c r="AG922" s="4"/>
      <c r="AH922" s="4"/>
    </row>
    <row r="923" spans="1:38">
      <c r="A923" s="163" t="s">
        <v>25</v>
      </c>
      <c r="B923" s="29" t="s">
        <v>150</v>
      </c>
      <c r="C923" s="4" t="s">
        <v>5308</v>
      </c>
      <c r="D923" s="130"/>
      <c r="E923" s="2">
        <v>45754</v>
      </c>
      <c r="F923" s="2">
        <f t="shared" si="96"/>
        <v>45768</v>
      </c>
      <c r="G923" s="232" t="s">
        <v>28</v>
      </c>
      <c r="H923" s="41">
        <v>1333</v>
      </c>
      <c r="I923" s="15" t="s">
        <v>4639</v>
      </c>
      <c r="J923" s="1" t="s">
        <v>63</v>
      </c>
      <c r="K923" s="1" t="s">
        <v>31</v>
      </c>
      <c r="L923" s="1">
        <v>85207</v>
      </c>
      <c r="M923" s="1" t="s">
        <v>32</v>
      </c>
      <c r="N923" s="4"/>
      <c r="O923" s="1" t="s">
        <v>4313</v>
      </c>
      <c r="P923" s="1" t="s">
        <v>5309</v>
      </c>
      <c r="Q923" s="87" t="s">
        <v>5310</v>
      </c>
      <c r="R923" s="31">
        <v>98861</v>
      </c>
      <c r="S923" s="4"/>
      <c r="T923" s="4"/>
      <c r="U923" s="4"/>
      <c r="V923" s="4" t="s">
        <v>36</v>
      </c>
      <c r="W923" s="4" t="s">
        <v>37</v>
      </c>
      <c r="X923" s="1" t="s">
        <v>59</v>
      </c>
      <c r="Y923" s="167" t="s">
        <v>39</v>
      </c>
      <c r="Z923" s="4"/>
      <c r="AA923" s="4"/>
      <c r="AB923" s="4"/>
      <c r="AC923" s="4"/>
      <c r="AD923" s="4"/>
      <c r="AE923" s="4"/>
      <c r="AF923" s="4"/>
      <c r="AG923" s="4"/>
      <c r="AH923" s="4"/>
      <c r="AI923" s="4"/>
      <c r="AJ923" s="4"/>
      <c r="AK923" s="4"/>
      <c r="AL923" s="4"/>
    </row>
    <row r="924" spans="1:38">
      <c r="A924" s="163" t="s">
        <v>25</v>
      </c>
      <c r="B924" s="15" t="s">
        <v>478</v>
      </c>
      <c r="C924" s="4" t="s">
        <v>5311</v>
      </c>
      <c r="D924" s="130"/>
      <c r="E924" s="2">
        <v>45758</v>
      </c>
      <c r="F924" s="2">
        <f t="shared" si="96"/>
        <v>45772</v>
      </c>
      <c r="G924" s="2" t="s">
        <v>42</v>
      </c>
      <c r="H924" s="41">
        <v>947</v>
      </c>
      <c r="I924" s="15" t="s">
        <v>5312</v>
      </c>
      <c r="J924" s="1" t="s">
        <v>415</v>
      </c>
      <c r="K924" s="1" t="s">
        <v>31</v>
      </c>
      <c r="L924" s="1"/>
      <c r="M924" s="1" t="s">
        <v>32</v>
      </c>
      <c r="N924" s="4"/>
      <c r="O924" s="1" t="s">
        <v>364</v>
      </c>
      <c r="P924" s="3" t="s">
        <v>5313</v>
      </c>
      <c r="Q924" s="330" t="s">
        <v>5314</v>
      </c>
      <c r="R924" s="31">
        <v>104942</v>
      </c>
      <c r="S924" s="4"/>
      <c r="T924" s="4"/>
      <c r="U924" s="4"/>
      <c r="V924" s="4" t="s">
        <v>36</v>
      </c>
      <c r="W924" s="4" t="s">
        <v>37</v>
      </c>
      <c r="X924" s="4" t="s">
        <v>38</v>
      </c>
      <c r="Y924" s="235" t="s">
        <v>39</v>
      </c>
      <c r="Z924" s="4"/>
      <c r="AA924" s="4"/>
      <c r="AB924" s="4"/>
      <c r="AC924" s="4"/>
      <c r="AD924" s="4"/>
      <c r="AE924" s="4"/>
      <c r="AF924" s="4"/>
      <c r="AG924" s="4"/>
      <c r="AH924" s="4"/>
      <c r="AI924" s="4"/>
      <c r="AJ924" s="4"/>
      <c r="AK924" s="4"/>
      <c r="AL924" s="4"/>
    </row>
    <row r="925" spans="1:38">
      <c r="A925" s="163" t="s">
        <v>25</v>
      </c>
      <c r="B925" s="15" t="s">
        <v>478</v>
      </c>
      <c r="C925" s="4" t="s">
        <v>5315</v>
      </c>
      <c r="D925" s="130"/>
      <c r="E925" s="2">
        <v>45764</v>
      </c>
      <c r="F925" s="2">
        <f t="shared" si="96"/>
        <v>45778</v>
      </c>
      <c r="G925" s="2" t="s">
        <v>28</v>
      </c>
      <c r="H925" s="41">
        <v>22149</v>
      </c>
      <c r="I925" s="15" t="s">
        <v>5316</v>
      </c>
      <c r="J925" s="1" t="s">
        <v>129</v>
      </c>
      <c r="K925" s="1" t="s">
        <v>31</v>
      </c>
      <c r="L925" s="1">
        <v>85142</v>
      </c>
      <c r="M925" s="1" t="s">
        <v>32</v>
      </c>
      <c r="N925" s="4"/>
      <c r="O925" s="1" t="s">
        <v>4596</v>
      </c>
      <c r="P925" s="1" t="s">
        <v>4597</v>
      </c>
      <c r="Q925" s="129" t="s">
        <v>4598</v>
      </c>
      <c r="R925" s="31" t="s">
        <v>35</v>
      </c>
      <c r="S925" s="4"/>
      <c r="T925" s="4"/>
      <c r="U925" s="4"/>
      <c r="V925" s="4" t="s">
        <v>36</v>
      </c>
      <c r="W925" s="4" t="s">
        <v>37</v>
      </c>
      <c r="X925" s="4" t="s">
        <v>38</v>
      </c>
      <c r="Y925" s="235" t="s">
        <v>39</v>
      </c>
      <c r="Z925" s="4"/>
      <c r="AA925" s="4"/>
      <c r="AB925" s="4"/>
      <c r="AC925" s="4"/>
      <c r="AD925" s="4"/>
      <c r="AE925" s="4"/>
      <c r="AF925" s="4"/>
      <c r="AG925" s="4"/>
      <c r="AH925" s="4"/>
      <c r="AI925" s="4"/>
      <c r="AJ925" s="4"/>
      <c r="AK925" s="4"/>
      <c r="AL925" s="4"/>
    </row>
    <row r="926" spans="1:38">
      <c r="A926" s="163" t="s">
        <v>25</v>
      </c>
      <c r="B926" s="29" t="s">
        <v>3534</v>
      </c>
      <c r="C926" s="29" t="s">
        <v>5317</v>
      </c>
      <c r="D926" s="26">
        <v>45509</v>
      </c>
      <c r="E926" s="2">
        <v>45757</v>
      </c>
      <c r="F926" s="2">
        <f t="shared" si="96"/>
        <v>45771</v>
      </c>
      <c r="G926" s="179" t="s">
        <v>28</v>
      </c>
      <c r="H926" s="1">
        <v>14900</v>
      </c>
      <c r="I926" s="4" t="s">
        <v>2669</v>
      </c>
      <c r="J926" s="1" t="s">
        <v>398</v>
      </c>
      <c r="K926" s="1" t="s">
        <v>31</v>
      </c>
      <c r="L926" s="1">
        <v>85260</v>
      </c>
      <c r="M926" s="1" t="s">
        <v>32</v>
      </c>
      <c r="N926" s="4"/>
      <c r="O926" s="1" t="s">
        <v>5318</v>
      </c>
      <c r="P926" s="1" t="s">
        <v>5319</v>
      </c>
      <c r="Q926" s="25" t="s">
        <v>5320</v>
      </c>
      <c r="R926" s="1">
        <v>101515</v>
      </c>
      <c r="S926" s="4"/>
      <c r="T926" s="4"/>
      <c r="U926" s="4"/>
      <c r="V926" s="4" t="s">
        <v>36</v>
      </c>
      <c r="W926" s="4" t="s">
        <v>37</v>
      </c>
      <c r="X926" s="4" t="s">
        <v>38</v>
      </c>
      <c r="Y926" s="235" t="s">
        <v>39</v>
      </c>
      <c r="Z926" s="4"/>
      <c r="AA926" s="4"/>
      <c r="AB926" s="4"/>
      <c r="AC926" s="4"/>
      <c r="AD926" s="4"/>
      <c r="AE926" s="4"/>
      <c r="AF926" s="4"/>
      <c r="AG926" s="4"/>
      <c r="AH926" s="4"/>
    </row>
    <row r="927" spans="1:38">
      <c r="A927" s="258" t="s">
        <v>812</v>
      </c>
      <c r="B927" s="29" t="s">
        <v>5321</v>
      </c>
      <c r="C927" s="4" t="s">
        <v>5322</v>
      </c>
      <c r="D927" s="130" t="s">
        <v>516</v>
      </c>
      <c r="E927" s="232">
        <v>45744</v>
      </c>
      <c r="F927" s="2">
        <f>E927+28</f>
        <v>45772</v>
      </c>
      <c r="G927" s="2" t="s">
        <v>42</v>
      </c>
      <c r="H927" s="41">
        <v>5515</v>
      </c>
      <c r="I927" s="15" t="s">
        <v>5323</v>
      </c>
      <c r="J927" s="1" t="s">
        <v>916</v>
      </c>
      <c r="K927" s="1" t="s">
        <v>31</v>
      </c>
      <c r="L927" s="1">
        <v>85712</v>
      </c>
      <c r="M927" s="1" t="s">
        <v>32</v>
      </c>
      <c r="N927" s="4"/>
      <c r="O927" s="1" t="s">
        <v>5324</v>
      </c>
      <c r="P927" s="1" t="s">
        <v>5325</v>
      </c>
      <c r="Q927" s="99" t="s">
        <v>5326</v>
      </c>
      <c r="R927" s="178"/>
      <c r="S927" s="4"/>
      <c r="T927" s="4"/>
      <c r="U927" s="4"/>
      <c r="V927" s="4" t="s">
        <v>443</v>
      </c>
      <c r="W927" s="4" t="s">
        <v>37</v>
      </c>
      <c r="X927" s="4" t="s">
        <v>616</v>
      </c>
      <c r="Y927" s="235" t="s">
        <v>617</v>
      </c>
      <c r="Z927" s="4"/>
      <c r="AA927" s="4"/>
      <c r="AB927" s="4"/>
      <c r="AC927" s="4"/>
      <c r="AD927" s="4"/>
      <c r="AE927" s="4"/>
      <c r="AF927" s="4"/>
      <c r="AG927" s="4"/>
      <c r="AH927" s="4"/>
      <c r="AI927" s="4"/>
      <c r="AJ927" s="4"/>
      <c r="AK927" s="4"/>
      <c r="AL927" s="4"/>
    </row>
    <row r="928" spans="1:38">
      <c r="A928" s="164" t="s">
        <v>812</v>
      </c>
      <c r="B928" s="15" t="s">
        <v>87</v>
      </c>
      <c r="C928" s="29" t="s">
        <v>5327</v>
      </c>
      <c r="D928" s="2"/>
      <c r="E928" s="232">
        <v>45755</v>
      </c>
      <c r="F928" s="2">
        <f>E928+14</f>
        <v>45769</v>
      </c>
      <c r="G928" s="2" t="s">
        <v>28</v>
      </c>
      <c r="H928" s="1" t="s">
        <v>379</v>
      </c>
      <c r="I928" s="15" t="s">
        <v>5328</v>
      </c>
      <c r="J928" s="1" t="s">
        <v>844</v>
      </c>
      <c r="K928" s="1" t="s">
        <v>31</v>
      </c>
      <c r="L928" s="1">
        <v>85395</v>
      </c>
      <c r="M928" s="1" t="s">
        <v>32</v>
      </c>
      <c r="N928" s="4"/>
      <c r="O928" s="1" t="s">
        <v>5329</v>
      </c>
      <c r="P928" s="1" t="s">
        <v>5330</v>
      </c>
      <c r="Q928" s="87" t="s">
        <v>5331</v>
      </c>
      <c r="R928" s="1">
        <v>104198</v>
      </c>
      <c r="S928" s="4"/>
      <c r="T928" s="4"/>
      <c r="U928" s="4"/>
      <c r="V928" s="4" t="s">
        <v>443</v>
      </c>
      <c r="W928" s="4" t="s">
        <v>37</v>
      </c>
      <c r="X928" s="4" t="s">
        <v>616</v>
      </c>
      <c r="Y928" s="241" t="s">
        <v>617</v>
      </c>
      <c r="Z928" s="168"/>
      <c r="AA928" s="4"/>
      <c r="AB928" s="4"/>
      <c r="AC928" s="4"/>
      <c r="AD928" s="4"/>
      <c r="AE928" s="4"/>
      <c r="AF928" s="4"/>
      <c r="AG928" s="4"/>
      <c r="AH928" s="4"/>
    </row>
    <row r="929" spans="1:38">
      <c r="A929" s="164" t="s">
        <v>812</v>
      </c>
      <c r="B929" s="29" t="s">
        <v>1122</v>
      </c>
      <c r="C929" t="s">
        <v>5332</v>
      </c>
      <c r="D929" s="2"/>
      <c r="E929" s="328">
        <v>45755</v>
      </c>
      <c r="F929" s="2">
        <f>E929+14</f>
        <v>45769</v>
      </c>
      <c r="G929" s="2" t="s">
        <v>42</v>
      </c>
      <c r="H929" s="41">
        <v>14200</v>
      </c>
      <c r="I929" s="15" t="s">
        <v>5333</v>
      </c>
      <c r="J929" s="1" t="s">
        <v>844</v>
      </c>
      <c r="K929" s="1" t="s">
        <v>31</v>
      </c>
      <c r="L929" s="1">
        <v>85338</v>
      </c>
      <c r="M929" s="1" t="s">
        <v>32</v>
      </c>
      <c r="N929" s="4"/>
      <c r="O929" s="1" t="s">
        <v>5334</v>
      </c>
      <c r="P929" s="1" t="s">
        <v>5335</v>
      </c>
      <c r="Q929" s="184" t="s">
        <v>5336</v>
      </c>
      <c r="R929" s="178">
        <v>100768</v>
      </c>
      <c r="S929" s="4"/>
      <c r="T929" s="4"/>
      <c r="U929" s="4"/>
      <c r="V929" s="4" t="s">
        <v>443</v>
      </c>
      <c r="W929" s="4" t="s">
        <v>37</v>
      </c>
      <c r="X929" s="4" t="s">
        <v>616</v>
      </c>
      <c r="Y929" s="235" t="s">
        <v>617</v>
      </c>
      <c r="Z929" s="167" t="s">
        <v>364</v>
      </c>
      <c r="AA929" s="4"/>
      <c r="AB929" s="4"/>
      <c r="AC929" s="4"/>
      <c r="AD929" s="4"/>
      <c r="AE929" s="4"/>
      <c r="AF929" s="4"/>
      <c r="AG929" s="4"/>
      <c r="AH929" s="4"/>
      <c r="AI929" s="4"/>
      <c r="AJ929" s="4"/>
      <c r="AK929" s="4"/>
      <c r="AL929" s="4"/>
    </row>
    <row r="930" spans="1:38">
      <c r="A930" s="164" t="s">
        <v>812</v>
      </c>
      <c r="B930" s="29" t="s">
        <v>168</v>
      </c>
      <c r="C930" s="4" t="s">
        <v>5337</v>
      </c>
      <c r="D930" s="130"/>
      <c r="E930" s="232">
        <v>45755</v>
      </c>
      <c r="F930" s="2">
        <f>E930+14</f>
        <v>45769</v>
      </c>
      <c r="G930" s="2" t="s">
        <v>28</v>
      </c>
      <c r="H930" s="41">
        <v>200</v>
      </c>
      <c r="I930" s="15" t="s">
        <v>5338</v>
      </c>
      <c r="J930" s="1" t="s">
        <v>1596</v>
      </c>
      <c r="K930" s="1" t="s">
        <v>31</v>
      </c>
      <c r="L930" s="1"/>
      <c r="M930" s="1" t="s">
        <v>32</v>
      </c>
      <c r="N930" s="4"/>
      <c r="O930" s="1" t="s">
        <v>4839</v>
      </c>
      <c r="P930" s="1" t="s">
        <v>4840</v>
      </c>
      <c r="Q930" s="87" t="s">
        <v>5339</v>
      </c>
      <c r="R930" s="31">
        <v>92979</v>
      </c>
      <c r="S930" s="4"/>
      <c r="T930" s="4"/>
      <c r="U930" s="4"/>
      <c r="V930" s="4" t="s">
        <v>443</v>
      </c>
      <c r="W930" s="4" t="s">
        <v>37</v>
      </c>
      <c r="X930" s="4" t="s">
        <v>616</v>
      </c>
      <c r="Y930" s="235" t="s">
        <v>617</v>
      </c>
      <c r="Z930" s="167" t="s">
        <v>364</v>
      </c>
      <c r="AA930" s="4"/>
      <c r="AB930" s="4"/>
      <c r="AC930" s="4"/>
      <c r="AD930" s="4"/>
      <c r="AE930" s="4"/>
      <c r="AF930" s="4"/>
      <c r="AG930" s="4"/>
      <c r="AH930" s="4"/>
    </row>
    <row r="931" spans="1:38">
      <c r="A931" s="163" t="s">
        <v>25</v>
      </c>
      <c r="B931" s="118" t="s">
        <v>372</v>
      </c>
      <c r="C931" s="4" t="s">
        <v>5340</v>
      </c>
      <c r="D931" s="130"/>
      <c r="E931" s="2">
        <v>45761</v>
      </c>
      <c r="F931" s="2">
        <f>E931+14</f>
        <v>45775</v>
      </c>
      <c r="G931" s="2"/>
      <c r="H931" s="41">
        <v>41</v>
      </c>
      <c r="I931" s="15" t="s">
        <v>5341</v>
      </c>
      <c r="J931" s="1" t="s">
        <v>45</v>
      </c>
      <c r="K931" s="1" t="s">
        <v>31</v>
      </c>
      <c r="L931" s="1">
        <v>85138</v>
      </c>
      <c r="M931" s="1" t="s">
        <v>32</v>
      </c>
      <c r="N931" s="4"/>
      <c r="O931" s="1" t="s">
        <v>3871</v>
      </c>
      <c r="P931" s="1" t="s">
        <v>5105</v>
      </c>
      <c r="Q931" s="1"/>
      <c r="R931" s="31"/>
      <c r="S931" s="4"/>
      <c r="T931" s="4"/>
      <c r="U931" s="4"/>
      <c r="V931" s="4" t="s">
        <v>36</v>
      </c>
      <c r="W931" s="4" t="s">
        <v>37</v>
      </c>
      <c r="X931" s="1" t="s">
        <v>59</v>
      </c>
      <c r="Y931" s="167" t="s">
        <v>39</v>
      </c>
      <c r="Z931" s="4"/>
    </row>
    <row r="932" spans="1:38">
      <c r="A932" s="163" t="s">
        <v>25</v>
      </c>
      <c r="B932" s="29" t="s">
        <v>258</v>
      </c>
      <c r="C932" s="4" t="s">
        <v>5342</v>
      </c>
      <c r="D932" s="130"/>
      <c r="E932" s="2">
        <v>45758</v>
      </c>
      <c r="F932" s="2">
        <f>E932+14</f>
        <v>45772</v>
      </c>
      <c r="G932" s="2" t="s">
        <v>42</v>
      </c>
      <c r="H932" s="41">
        <v>925</v>
      </c>
      <c r="I932" s="15" t="s">
        <v>4180</v>
      </c>
      <c r="J932" s="1" t="s">
        <v>415</v>
      </c>
      <c r="K932" s="1" t="s">
        <v>31</v>
      </c>
      <c r="L932" s="1">
        <v>85281</v>
      </c>
      <c r="M932" s="1" t="s">
        <v>32</v>
      </c>
      <c r="N932" s="4"/>
      <c r="O932" s="1" t="s">
        <v>2527</v>
      </c>
      <c r="P932" s="1" t="s">
        <v>2528</v>
      </c>
      <c r="Q932" s="98" t="s">
        <v>4181</v>
      </c>
      <c r="R932" s="31">
        <v>96830</v>
      </c>
      <c r="S932" s="4"/>
      <c r="T932" s="4"/>
      <c r="U932" s="4"/>
      <c r="V932" s="4" t="s">
        <v>36</v>
      </c>
      <c r="W932" s="4" t="s">
        <v>37</v>
      </c>
      <c r="X932" s="1" t="s">
        <v>59</v>
      </c>
      <c r="Y932" s="167" t="s">
        <v>39</v>
      </c>
      <c r="Z932" s="4"/>
    </row>
    <row r="933" spans="1:38">
      <c r="A933" s="258" t="s">
        <v>812</v>
      </c>
      <c r="B933" s="29" t="s">
        <v>5343</v>
      </c>
      <c r="C933" s="4" t="s">
        <v>5344</v>
      </c>
      <c r="D933" s="130" t="s">
        <v>516</v>
      </c>
      <c r="E933" s="232">
        <v>45758</v>
      </c>
      <c r="F933" s="2">
        <f>E933+28</f>
        <v>45786</v>
      </c>
      <c r="G933" s="331" t="s">
        <v>28</v>
      </c>
      <c r="H933" s="41">
        <v>7396</v>
      </c>
      <c r="I933" s="1" t="s">
        <v>5345</v>
      </c>
      <c r="J933" s="1" t="s">
        <v>916</v>
      </c>
      <c r="K933" s="1" t="s">
        <v>31</v>
      </c>
      <c r="L933" s="1">
        <v>85747</v>
      </c>
      <c r="M933" s="1" t="s">
        <v>32</v>
      </c>
      <c r="N933" s="4"/>
      <c r="O933" s="1" t="s">
        <v>5346</v>
      </c>
      <c r="P933" s="1" t="s">
        <v>5347</v>
      </c>
      <c r="Q933" s="87" t="s">
        <v>5348</v>
      </c>
      <c r="R933" s="31"/>
      <c r="S933" s="4"/>
      <c r="T933" s="4"/>
      <c r="U933" s="4"/>
      <c r="V933" s="4" t="s">
        <v>443</v>
      </c>
      <c r="W933" s="4" t="s">
        <v>37</v>
      </c>
      <c r="X933" s="4" t="s">
        <v>616</v>
      </c>
      <c r="Y933" s="235" t="s">
        <v>617</v>
      </c>
      <c r="Z933" s="4"/>
    </row>
    <row r="934" spans="1:38">
      <c r="A934" s="164" t="s">
        <v>812</v>
      </c>
      <c r="B934" s="29" t="s">
        <v>5349</v>
      </c>
      <c r="C934" s="4" t="s">
        <v>5350</v>
      </c>
      <c r="D934" s="2"/>
      <c r="E934" s="232">
        <v>45761</v>
      </c>
      <c r="F934" s="60">
        <f t="shared" ref="F934:F947" si="97">E934+14</f>
        <v>45775</v>
      </c>
      <c r="G934" s="331" t="s">
        <v>42</v>
      </c>
      <c r="H934" s="41">
        <v>7220</v>
      </c>
      <c r="I934" s="1" t="s">
        <v>5351</v>
      </c>
      <c r="J934" s="1" t="s">
        <v>831</v>
      </c>
      <c r="K934" s="1" t="s">
        <v>31</v>
      </c>
      <c r="L934" s="1">
        <v>85326</v>
      </c>
      <c r="M934" s="1" t="s">
        <v>32</v>
      </c>
      <c r="N934" s="4"/>
      <c r="O934" s="1" t="s">
        <v>5352</v>
      </c>
      <c r="P934" s="1" t="s">
        <v>5353</v>
      </c>
      <c r="Q934" s="239" t="s">
        <v>5354</v>
      </c>
      <c r="R934" s="178">
        <v>104474</v>
      </c>
      <c r="S934" s="4"/>
      <c r="T934" s="4"/>
      <c r="U934" s="4"/>
      <c r="V934" s="4" t="s">
        <v>443</v>
      </c>
      <c r="W934" s="4" t="s">
        <v>37</v>
      </c>
      <c r="X934" s="4" t="s">
        <v>616</v>
      </c>
      <c r="Y934" s="235" t="s">
        <v>617</v>
      </c>
      <c r="Z934" s="167" t="s">
        <v>364</v>
      </c>
    </row>
    <row r="935" spans="1:38">
      <c r="A935" s="163" t="s">
        <v>25</v>
      </c>
      <c r="B935" s="29" t="s">
        <v>111</v>
      </c>
      <c r="C935" s="4" t="s">
        <v>5355</v>
      </c>
      <c r="D935" s="130"/>
      <c r="E935" s="2">
        <v>45764</v>
      </c>
      <c r="F935" s="2">
        <f t="shared" si="97"/>
        <v>45778</v>
      </c>
      <c r="G935" s="331" t="s">
        <v>28</v>
      </c>
      <c r="H935" s="41">
        <v>10920</v>
      </c>
      <c r="I935" s="1" t="s">
        <v>5356</v>
      </c>
      <c r="J935" s="1" t="s">
        <v>63</v>
      </c>
      <c r="K935" s="1" t="s">
        <v>31</v>
      </c>
      <c r="L935" s="1"/>
      <c r="M935" s="1" t="s">
        <v>32</v>
      </c>
      <c r="N935" s="4"/>
      <c r="O935" s="1" t="s">
        <v>5357</v>
      </c>
      <c r="P935" s="1" t="s">
        <v>5358</v>
      </c>
      <c r="Q935" s="87" t="s">
        <v>5359</v>
      </c>
      <c r="R935" s="124" t="s">
        <v>35</v>
      </c>
      <c r="S935" s="4"/>
      <c r="T935" s="4"/>
      <c r="U935" s="4"/>
      <c r="V935" s="4" t="s">
        <v>36</v>
      </c>
      <c r="W935" s="4" t="s">
        <v>37</v>
      </c>
      <c r="X935" s="1" t="s">
        <v>59</v>
      </c>
      <c r="Y935" s="167" t="s">
        <v>39</v>
      </c>
      <c r="Z935" s="4"/>
      <c r="AA935" s="4"/>
      <c r="AB935" s="4"/>
      <c r="AC935" s="4"/>
      <c r="AD935" s="4"/>
      <c r="AE935" s="4"/>
      <c r="AF935" s="4"/>
      <c r="AG935" s="4"/>
      <c r="AH935" s="4"/>
      <c r="AI935" s="4"/>
      <c r="AJ935" s="4"/>
      <c r="AK935" s="4"/>
      <c r="AL935" s="4"/>
    </row>
    <row r="936" spans="1:38">
      <c r="A936" s="163" t="s">
        <v>25</v>
      </c>
      <c r="B936" s="29" t="s">
        <v>5360</v>
      </c>
      <c r="C936" s="4" t="s">
        <v>5361</v>
      </c>
      <c r="D936" s="130"/>
      <c r="E936" s="2">
        <v>45764</v>
      </c>
      <c r="F936" s="2">
        <f t="shared" si="97"/>
        <v>45778</v>
      </c>
      <c r="G936" s="331" t="s">
        <v>28</v>
      </c>
      <c r="H936" s="41">
        <v>1201</v>
      </c>
      <c r="I936" s="1" t="s">
        <v>5362</v>
      </c>
      <c r="J936" s="1" t="s">
        <v>434</v>
      </c>
      <c r="K936" s="1" t="s">
        <v>31</v>
      </c>
      <c r="L936" s="1">
        <v>85008</v>
      </c>
      <c r="M936" s="1" t="s">
        <v>32</v>
      </c>
      <c r="N936" s="4"/>
      <c r="O936" s="1" t="s">
        <v>5363</v>
      </c>
      <c r="P936" s="1" t="s">
        <v>5364</v>
      </c>
      <c r="Q936" s="87" t="s">
        <v>5365</v>
      </c>
      <c r="R936" s="31">
        <v>98069</v>
      </c>
      <c r="S936" s="4"/>
      <c r="T936" s="4"/>
      <c r="U936" s="4"/>
      <c r="V936" s="4" t="s">
        <v>36</v>
      </c>
      <c r="W936" s="4" t="s">
        <v>37</v>
      </c>
      <c r="X936" s="1" t="s">
        <v>59</v>
      </c>
      <c r="Y936" s="167" t="s">
        <v>39</v>
      </c>
      <c r="Z936" s="4"/>
    </row>
    <row r="937" spans="1:38" ht="15.75" customHeight="1">
      <c r="A937" s="164" t="s">
        <v>812</v>
      </c>
      <c r="B937" s="70" t="s">
        <v>755</v>
      </c>
      <c r="C937" s="56" t="s">
        <v>5366</v>
      </c>
      <c r="D937" s="60"/>
      <c r="E937" s="232">
        <v>45777</v>
      </c>
      <c r="F937" s="60">
        <f t="shared" si="97"/>
        <v>45791</v>
      </c>
      <c r="G937" s="335" t="s">
        <v>28</v>
      </c>
      <c r="H937" s="76">
        <v>4858</v>
      </c>
      <c r="I937" s="55" t="s">
        <v>5367</v>
      </c>
      <c r="J937" s="55" t="s">
        <v>822</v>
      </c>
      <c r="K937" s="55" t="s">
        <v>31</v>
      </c>
      <c r="L937" s="55" t="s">
        <v>2887</v>
      </c>
      <c r="M937" s="55" t="s">
        <v>32</v>
      </c>
      <c r="N937" s="56"/>
      <c r="O937" s="55" t="s">
        <v>758</v>
      </c>
      <c r="P937" s="55" t="s">
        <v>759</v>
      </c>
      <c r="Q937" s="89" t="s">
        <v>760</v>
      </c>
      <c r="R937" s="57">
        <v>97591</v>
      </c>
      <c r="S937" s="4"/>
      <c r="T937" s="4"/>
      <c r="U937" s="4"/>
      <c r="V937" s="4" t="s">
        <v>443</v>
      </c>
      <c r="W937" s="4" t="s">
        <v>37</v>
      </c>
      <c r="X937" s="4" t="s">
        <v>616</v>
      </c>
      <c r="Y937" s="235" t="s">
        <v>617</v>
      </c>
      <c r="Z937" s="167" t="s">
        <v>364</v>
      </c>
      <c r="AA937" s="4"/>
      <c r="AB937" s="4"/>
      <c r="AC937" s="4"/>
      <c r="AD937" s="4"/>
      <c r="AE937" s="4"/>
      <c r="AF937" s="4"/>
      <c r="AG937" s="4"/>
      <c r="AH937" s="4"/>
    </row>
    <row r="938" spans="1:38">
      <c r="A938" s="164" t="s">
        <v>812</v>
      </c>
      <c r="B938" s="29" t="s">
        <v>907</v>
      </c>
      <c r="C938" s="4" t="s">
        <v>5368</v>
      </c>
      <c r="D938" s="2"/>
      <c r="E938" s="232">
        <v>45777</v>
      </c>
      <c r="F938" s="2">
        <f t="shared" si="97"/>
        <v>45791</v>
      </c>
      <c r="G938" s="331" t="s">
        <v>42</v>
      </c>
      <c r="H938" s="41">
        <v>4873</v>
      </c>
      <c r="I938" s="1" t="s">
        <v>5369</v>
      </c>
      <c r="J938" s="1" t="s">
        <v>822</v>
      </c>
      <c r="K938" s="1" t="s">
        <v>31</v>
      </c>
      <c r="L938" s="1">
        <v>85306</v>
      </c>
      <c r="M938" s="1" t="s">
        <v>32</v>
      </c>
      <c r="N938" s="4"/>
      <c r="O938" s="179" t="s">
        <v>4653</v>
      </c>
      <c r="P938" s="179" t="s">
        <v>4654</v>
      </c>
      <c r="Q938" s="184" t="s">
        <v>4655</v>
      </c>
      <c r="R938" s="178">
        <v>98534</v>
      </c>
      <c r="S938" s="4"/>
      <c r="T938" s="4"/>
      <c r="U938" s="4"/>
      <c r="V938" s="4" t="s">
        <v>443</v>
      </c>
      <c r="W938" s="4" t="s">
        <v>37</v>
      </c>
      <c r="X938" s="4" t="s">
        <v>616</v>
      </c>
      <c r="Y938" s="241" t="s">
        <v>617</v>
      </c>
      <c r="Z938" s="167" t="s">
        <v>364</v>
      </c>
    </row>
    <row r="939" spans="1:38">
      <c r="A939" s="163" t="s">
        <v>25</v>
      </c>
      <c r="B939" s="118" t="s">
        <v>372</v>
      </c>
      <c r="C939" s="29" t="s">
        <v>5370</v>
      </c>
      <c r="D939" s="4"/>
      <c r="E939" s="2">
        <v>45769</v>
      </c>
      <c r="F939" s="2">
        <f t="shared" si="97"/>
        <v>45783</v>
      </c>
      <c r="G939" s="332" t="s">
        <v>42</v>
      </c>
      <c r="H939" s="1">
        <v>3632</v>
      </c>
      <c r="I939" s="1" t="s">
        <v>5371</v>
      </c>
      <c r="J939" s="1" t="s">
        <v>5372</v>
      </c>
      <c r="K939" s="1" t="s">
        <v>31</v>
      </c>
      <c r="L939" s="1">
        <v>85296</v>
      </c>
      <c r="M939" s="1" t="s">
        <v>32</v>
      </c>
      <c r="N939" s="4"/>
      <c r="O939" s="1" t="s">
        <v>5373</v>
      </c>
      <c r="P939" s="1" t="s">
        <v>5374</v>
      </c>
      <c r="Q939" s="87" t="s">
        <v>5375</v>
      </c>
      <c r="R939" s="1">
        <v>105647</v>
      </c>
      <c r="S939" s="4"/>
      <c r="T939" s="4"/>
      <c r="U939" s="4"/>
      <c r="V939" s="4" t="s">
        <v>36</v>
      </c>
      <c r="W939" s="4" t="s">
        <v>37</v>
      </c>
      <c r="X939" s="4" t="s">
        <v>38</v>
      </c>
      <c r="Y939" s="235" t="s">
        <v>39</v>
      </c>
      <c r="Z939" s="168"/>
    </row>
    <row r="940" spans="1:38">
      <c r="A940" s="163" t="s">
        <v>25</v>
      </c>
      <c r="B940" s="29" t="s">
        <v>3117</v>
      </c>
      <c r="C940" s="4" t="s">
        <v>5376</v>
      </c>
      <c r="D940" s="130"/>
      <c r="E940" s="2">
        <v>45769</v>
      </c>
      <c r="F940" s="2">
        <f t="shared" si="97"/>
        <v>45783</v>
      </c>
      <c r="G940" s="331" t="s">
        <v>28</v>
      </c>
      <c r="H940" s="41">
        <v>139</v>
      </c>
      <c r="I940" s="1" t="s">
        <v>290</v>
      </c>
      <c r="J940" s="1" t="s">
        <v>63</v>
      </c>
      <c r="K940" s="1" t="s">
        <v>31</v>
      </c>
      <c r="L940" s="1">
        <v>85201</v>
      </c>
      <c r="M940" s="1" t="s">
        <v>32</v>
      </c>
      <c r="N940" s="4"/>
      <c r="O940" s="1" t="s">
        <v>5377</v>
      </c>
      <c r="P940" s="1" t="s">
        <v>5378</v>
      </c>
      <c r="Q940" s="98" t="s">
        <v>5379</v>
      </c>
      <c r="R940" s="31" t="s">
        <v>35</v>
      </c>
      <c r="S940" s="4"/>
      <c r="T940" s="4"/>
      <c r="U940" s="4"/>
      <c r="V940" s="4" t="s">
        <v>36</v>
      </c>
      <c r="W940" s="4" t="s">
        <v>37</v>
      </c>
      <c r="X940" s="1" t="s">
        <v>59</v>
      </c>
      <c r="Y940" s="167" t="s">
        <v>39</v>
      </c>
      <c r="Z940" s="4"/>
    </row>
    <row r="941" spans="1:38">
      <c r="A941" s="164" t="s">
        <v>812</v>
      </c>
      <c r="B941" s="15" t="s">
        <v>226</v>
      </c>
      <c r="C941" s="29" t="s">
        <v>5380</v>
      </c>
      <c r="D941" s="26">
        <v>45498</v>
      </c>
      <c r="E941" s="232">
        <v>45770</v>
      </c>
      <c r="F941" s="2">
        <f t="shared" si="97"/>
        <v>45784</v>
      </c>
      <c r="G941" s="332" t="s">
        <v>42</v>
      </c>
      <c r="H941" s="1">
        <v>6363</v>
      </c>
      <c r="I941" s="1" t="s">
        <v>5381</v>
      </c>
      <c r="J941" s="1" t="s">
        <v>434</v>
      </c>
      <c r="K941" s="1" t="s">
        <v>31</v>
      </c>
      <c r="L941" s="1">
        <v>85339</v>
      </c>
      <c r="M941" s="1" t="s">
        <v>32</v>
      </c>
      <c r="N941" s="4"/>
      <c r="O941" s="1" t="s">
        <v>5382</v>
      </c>
      <c r="P941" s="1" t="s">
        <v>5383</v>
      </c>
      <c r="Q941" s="239" t="s">
        <v>5384</v>
      </c>
      <c r="R941" s="179">
        <v>100936</v>
      </c>
      <c r="S941" s="4"/>
      <c r="T941" s="4"/>
      <c r="U941" s="4"/>
      <c r="V941" s="4" t="s">
        <v>443</v>
      </c>
      <c r="W941" s="4" t="s">
        <v>37</v>
      </c>
      <c r="X941" s="4" t="s">
        <v>616</v>
      </c>
      <c r="Y941" s="235" t="s">
        <v>617</v>
      </c>
      <c r="Z941" s="4"/>
      <c r="AA941" s="4"/>
      <c r="AB941" s="4"/>
      <c r="AC941" s="4"/>
      <c r="AD941" s="4"/>
      <c r="AE941" s="4"/>
      <c r="AF941" s="4"/>
      <c r="AG941" s="4"/>
      <c r="AH941" s="4"/>
    </row>
    <row r="942" spans="1:38">
      <c r="A942" s="164" t="s">
        <v>812</v>
      </c>
      <c r="B942" s="29" t="s">
        <v>3736</v>
      </c>
      <c r="C942" s="4" t="s">
        <v>5385</v>
      </c>
      <c r="D942" s="2"/>
      <c r="E942" s="232">
        <v>45770</v>
      </c>
      <c r="F942" s="2">
        <f t="shared" si="97"/>
        <v>45784</v>
      </c>
      <c r="G942" s="331" t="s">
        <v>28</v>
      </c>
      <c r="H942" s="41">
        <v>71</v>
      </c>
      <c r="I942" s="1" t="s">
        <v>5386</v>
      </c>
      <c r="J942" s="1" t="s">
        <v>434</v>
      </c>
      <c r="K942" s="1" t="s">
        <v>31</v>
      </c>
      <c r="L942" s="1"/>
      <c r="M942" s="1" t="s">
        <v>32</v>
      </c>
      <c r="N942" s="4"/>
      <c r="O942" s="1" t="s">
        <v>1740</v>
      </c>
      <c r="P942" s="1" t="s">
        <v>1741</v>
      </c>
      <c r="Q942" s="87" t="s">
        <v>5387</v>
      </c>
      <c r="R942" s="178">
        <v>102642</v>
      </c>
      <c r="S942" s="4"/>
      <c r="T942" s="4"/>
      <c r="U942" s="4"/>
      <c r="V942" s="4" t="s">
        <v>443</v>
      </c>
      <c r="W942" s="4" t="s">
        <v>37</v>
      </c>
      <c r="X942" s="4" t="s">
        <v>616</v>
      </c>
      <c r="Y942" s="235" t="s">
        <v>617</v>
      </c>
      <c r="Z942" s="4"/>
      <c r="AA942" s="4"/>
      <c r="AB942" s="4"/>
      <c r="AC942" s="4"/>
      <c r="AD942" s="4"/>
      <c r="AE942" s="4"/>
      <c r="AF942" s="4"/>
      <c r="AG942" s="4"/>
      <c r="AH942" s="4"/>
      <c r="AI942" s="4"/>
      <c r="AJ942" s="4"/>
      <c r="AK942" s="4"/>
      <c r="AL942" s="4"/>
    </row>
    <row r="943" spans="1:38">
      <c r="A943" s="164" t="s">
        <v>812</v>
      </c>
      <c r="B943" s="311" t="s">
        <v>5388</v>
      </c>
      <c r="C943" s="4" t="s">
        <v>5389</v>
      </c>
      <c r="D943" s="2"/>
      <c r="E943" s="232">
        <v>45776</v>
      </c>
      <c r="F943" s="2">
        <f t="shared" si="97"/>
        <v>45790</v>
      </c>
      <c r="G943" s="332" t="s">
        <v>649</v>
      </c>
      <c r="H943" s="41">
        <v>3050</v>
      </c>
      <c r="I943" s="1" t="s">
        <v>5390</v>
      </c>
      <c r="J943" s="1" t="s">
        <v>434</v>
      </c>
      <c r="K943" s="1" t="s">
        <v>31</v>
      </c>
      <c r="L943" s="1">
        <v>85034</v>
      </c>
      <c r="M943" s="1" t="s">
        <v>32</v>
      </c>
      <c r="N943" s="4"/>
      <c r="O943" s="1" t="s">
        <v>5391</v>
      </c>
      <c r="P943" s="1" t="s">
        <v>5392</v>
      </c>
      <c r="Q943" s="129" t="s">
        <v>5393</v>
      </c>
      <c r="R943" s="31">
        <v>106763</v>
      </c>
      <c r="S943" s="4"/>
      <c r="T943" s="4"/>
      <c r="U943" s="4"/>
      <c r="V943" s="4" t="s">
        <v>443</v>
      </c>
      <c r="W943" s="4" t="s">
        <v>37</v>
      </c>
      <c r="X943" s="4" t="s">
        <v>616</v>
      </c>
      <c r="Y943" s="241" t="s">
        <v>617</v>
      </c>
      <c r="Z943" s="167" t="s">
        <v>364</v>
      </c>
    </row>
    <row r="944" spans="1:38">
      <c r="A944" s="163" t="s">
        <v>25</v>
      </c>
      <c r="B944" s="29" t="s">
        <v>618</v>
      </c>
      <c r="C944" s="4" t="s">
        <v>5394</v>
      </c>
      <c r="D944" s="130">
        <v>45516</v>
      </c>
      <c r="E944" s="2">
        <v>45786</v>
      </c>
      <c r="F944" s="2">
        <f t="shared" si="97"/>
        <v>45800</v>
      </c>
      <c r="G944" s="332" t="s">
        <v>28</v>
      </c>
      <c r="H944" s="41">
        <v>52</v>
      </c>
      <c r="I944" s="1" t="s">
        <v>5395</v>
      </c>
      <c r="J944" s="1" t="s">
        <v>415</v>
      </c>
      <c r="K944" s="1" t="s">
        <v>31</v>
      </c>
      <c r="L944" s="1">
        <v>85281</v>
      </c>
      <c r="M944" s="1" t="s">
        <v>32</v>
      </c>
      <c r="N944" s="4"/>
      <c r="O944" s="1" t="s">
        <v>5396</v>
      </c>
      <c r="P944" s="1" t="s">
        <v>5397</v>
      </c>
      <c r="Q944" s="173"/>
      <c r="R944" s="174"/>
      <c r="S944" s="4"/>
      <c r="T944" s="4"/>
      <c r="U944" s="4"/>
      <c r="V944" s="4" t="s">
        <v>36</v>
      </c>
      <c r="W944" s="4" t="s">
        <v>37</v>
      </c>
      <c r="X944" s="4" t="s">
        <v>38</v>
      </c>
      <c r="Y944" s="235" t="s">
        <v>39</v>
      </c>
      <c r="Z944" s="4"/>
    </row>
    <row r="945" spans="1:38">
      <c r="A945" s="163" t="s">
        <v>25</v>
      </c>
      <c r="B945" s="29" t="s">
        <v>351</v>
      </c>
      <c r="C945" s="4" t="s">
        <v>5398</v>
      </c>
      <c r="D945" s="130"/>
      <c r="E945" s="2">
        <v>45785</v>
      </c>
      <c r="F945" s="2">
        <f t="shared" si="97"/>
        <v>45799</v>
      </c>
      <c r="G945" s="331" t="s">
        <v>42</v>
      </c>
      <c r="H945" s="41">
        <v>2080</v>
      </c>
      <c r="I945" s="1" t="s">
        <v>5395</v>
      </c>
      <c r="J945" s="1" t="s">
        <v>415</v>
      </c>
      <c r="K945" s="1" t="s">
        <v>31</v>
      </c>
      <c r="L945" s="1">
        <v>85288</v>
      </c>
      <c r="M945" s="1" t="s">
        <v>32</v>
      </c>
      <c r="N945" s="4"/>
      <c r="O945" s="1" t="s">
        <v>5399</v>
      </c>
      <c r="P945" s="1" t="s">
        <v>5400</v>
      </c>
      <c r="Q945" s="87" t="s">
        <v>5401</v>
      </c>
      <c r="R945" s="31">
        <v>103408</v>
      </c>
      <c r="S945" s="4"/>
      <c r="T945" s="4"/>
      <c r="U945" s="4"/>
      <c r="V945" s="4" t="s">
        <v>36</v>
      </c>
      <c r="W945" s="4" t="s">
        <v>37</v>
      </c>
      <c r="X945" s="1" t="s">
        <v>59</v>
      </c>
      <c r="Y945" s="167" t="s">
        <v>39</v>
      </c>
      <c r="Z945" s="4"/>
    </row>
    <row r="946" spans="1:38">
      <c r="A946" s="288" t="s">
        <v>812</v>
      </c>
      <c r="B946" s="340" t="s">
        <v>5402</v>
      </c>
      <c r="C946" s="309" t="s">
        <v>5403</v>
      </c>
      <c r="D946" s="309" t="s">
        <v>554</v>
      </c>
      <c r="E946" s="232">
        <v>45776</v>
      </c>
      <c r="F946" s="2">
        <f t="shared" si="97"/>
        <v>45790</v>
      </c>
      <c r="G946" s="339" t="s">
        <v>42</v>
      </c>
      <c r="H946" s="336">
        <v>1717</v>
      </c>
      <c r="I946" s="336" t="s">
        <v>5404</v>
      </c>
      <c r="J946" s="336" t="s">
        <v>434</v>
      </c>
      <c r="K946" s="336" t="s">
        <v>31</v>
      </c>
      <c r="L946" s="336">
        <v>85034</v>
      </c>
      <c r="M946" s="336" t="s">
        <v>32</v>
      </c>
      <c r="N946" s="336" t="s">
        <v>554</v>
      </c>
      <c r="O946" s="337" t="s">
        <v>5405</v>
      </c>
      <c r="P946" s="337" t="s">
        <v>5406</v>
      </c>
      <c r="Q946" s="98" t="s">
        <v>5407</v>
      </c>
      <c r="R946" s="338">
        <v>105983</v>
      </c>
      <c r="S946" s="158" t="s">
        <v>554</v>
      </c>
      <c r="T946" s="158" t="s">
        <v>554</v>
      </c>
      <c r="U946" s="158" t="s">
        <v>554</v>
      </c>
      <c r="V946" s="158" t="s">
        <v>443</v>
      </c>
      <c r="W946" s="158" t="s">
        <v>37</v>
      </c>
      <c r="X946" s="158" t="s">
        <v>616</v>
      </c>
      <c r="Y946" s="300" t="s">
        <v>617</v>
      </c>
      <c r="Z946" s="307" t="s">
        <v>364</v>
      </c>
      <c r="AA946" s="4"/>
      <c r="AB946" s="4"/>
      <c r="AC946" s="4"/>
      <c r="AD946" s="4"/>
      <c r="AE946" s="4"/>
      <c r="AF946" s="4"/>
      <c r="AG946" s="4"/>
      <c r="AH946" s="4"/>
    </row>
    <row r="947" spans="1:38">
      <c r="A947" s="164" t="s">
        <v>812</v>
      </c>
      <c r="B947" s="29" t="s">
        <v>478</v>
      </c>
      <c r="C947" s="4" t="s">
        <v>5408</v>
      </c>
      <c r="D947" s="130"/>
      <c r="E947" s="232">
        <v>45776</v>
      </c>
      <c r="F947" s="2">
        <f t="shared" si="97"/>
        <v>45790</v>
      </c>
      <c r="G947" s="331" t="s">
        <v>42</v>
      </c>
      <c r="H947" s="41">
        <v>2702</v>
      </c>
      <c r="I947" s="1" t="s">
        <v>2622</v>
      </c>
      <c r="J947" s="1" t="s">
        <v>434</v>
      </c>
      <c r="K947" s="1" t="s">
        <v>31</v>
      </c>
      <c r="L947" s="1">
        <v>85016</v>
      </c>
      <c r="M947" s="1" t="s">
        <v>32</v>
      </c>
      <c r="N947" s="4"/>
      <c r="O947" s="1" t="s">
        <v>5409</v>
      </c>
      <c r="P947" s="1" t="s">
        <v>5410</v>
      </c>
      <c r="Q947" s="87" t="s">
        <v>5411</v>
      </c>
      <c r="R947" s="31">
        <v>101120</v>
      </c>
      <c r="S947" s="4"/>
      <c r="T947" s="4"/>
      <c r="U947" s="4"/>
      <c r="V947" s="4" t="s">
        <v>36</v>
      </c>
      <c r="W947" s="4" t="s">
        <v>37</v>
      </c>
      <c r="X947" s="1" t="s">
        <v>59</v>
      </c>
      <c r="Y947" s="235" t="s">
        <v>617</v>
      </c>
      <c r="Z947" s="167" t="s">
        <v>364</v>
      </c>
      <c r="AA947" s="4"/>
      <c r="AB947" s="4"/>
      <c r="AC947" s="4"/>
      <c r="AD947" s="4"/>
      <c r="AE947" s="4"/>
      <c r="AF947" s="4"/>
      <c r="AG947" s="4"/>
      <c r="AH947" s="4"/>
    </row>
    <row r="948" spans="1:38">
      <c r="A948" s="164" t="s">
        <v>812</v>
      </c>
      <c r="B948" s="29" t="s">
        <v>2068</v>
      </c>
      <c r="C948" t="s">
        <v>5412</v>
      </c>
      <c r="D948" s="130" t="s">
        <v>516</v>
      </c>
      <c r="E948" s="232">
        <v>45768</v>
      </c>
      <c r="F948" s="2">
        <f>E948+28</f>
        <v>45796</v>
      </c>
      <c r="G948" s="331" t="s">
        <v>42</v>
      </c>
      <c r="H948" s="41" t="s">
        <v>528</v>
      </c>
      <c r="I948" s="1" t="s">
        <v>5413</v>
      </c>
      <c r="J948" s="1" t="s">
        <v>434</v>
      </c>
      <c r="K948" s="1" t="s">
        <v>31</v>
      </c>
      <c r="L948" s="1">
        <v>85027</v>
      </c>
      <c r="M948" s="1" t="s">
        <v>32</v>
      </c>
      <c r="N948" s="4"/>
      <c r="O948" s="1" t="s">
        <v>5414</v>
      </c>
      <c r="P948" s="1" t="s">
        <v>5415</v>
      </c>
      <c r="Q948" s="87" t="s">
        <v>5416</v>
      </c>
      <c r="R948" s="31">
        <v>100103</v>
      </c>
      <c r="S948" s="4"/>
      <c r="T948" s="4"/>
      <c r="U948" s="4"/>
      <c r="V948" s="4" t="s">
        <v>443</v>
      </c>
      <c r="W948" s="4" t="s">
        <v>37</v>
      </c>
      <c r="X948" s="4" t="s">
        <v>616</v>
      </c>
      <c r="Y948" s="235" t="s">
        <v>617</v>
      </c>
      <c r="Z948" s="167" t="s">
        <v>364</v>
      </c>
      <c r="AA948" s="4"/>
      <c r="AB948" s="4"/>
      <c r="AC948" s="4"/>
      <c r="AD948" s="4"/>
      <c r="AE948" s="4"/>
      <c r="AF948" s="4"/>
      <c r="AG948" s="4"/>
      <c r="AH948" s="4"/>
      <c r="AI948" s="4"/>
      <c r="AJ948" s="4"/>
      <c r="AK948" s="4"/>
      <c r="AL948" s="4"/>
    </row>
    <row r="949" spans="1:38">
      <c r="A949" s="163" t="s">
        <v>25</v>
      </c>
      <c r="B949" s="29" t="s">
        <v>5417</v>
      </c>
      <c r="C949" s="4" t="s">
        <v>5418</v>
      </c>
      <c r="D949" s="130"/>
      <c r="E949" s="2">
        <v>45770</v>
      </c>
      <c r="F949" s="2">
        <f>E949+28</f>
        <v>45798</v>
      </c>
      <c r="G949" s="331" t="s">
        <v>28</v>
      </c>
      <c r="H949" s="41">
        <v>1614</v>
      </c>
      <c r="I949" s="1" t="s">
        <v>5419</v>
      </c>
      <c r="J949" s="1" t="s">
        <v>5420</v>
      </c>
      <c r="K949" s="1" t="s">
        <v>31</v>
      </c>
      <c r="L949" s="1"/>
      <c r="M949" s="1" t="s">
        <v>32</v>
      </c>
      <c r="N949" s="4"/>
      <c r="O949" s="1" t="s">
        <v>5421</v>
      </c>
      <c r="P949" s="1" t="s">
        <v>5422</v>
      </c>
      <c r="Q949" s="98" t="s">
        <v>5423</v>
      </c>
      <c r="R949" s="31">
        <v>101514</v>
      </c>
      <c r="S949" s="4"/>
      <c r="T949" s="4"/>
      <c r="U949" s="4"/>
      <c r="V949" s="4" t="s">
        <v>36</v>
      </c>
      <c r="W949" s="4" t="s">
        <v>37</v>
      </c>
      <c r="X949" s="4" t="s">
        <v>38</v>
      </c>
      <c r="Y949" s="235" t="s">
        <v>39</v>
      </c>
      <c r="Z949" s="4"/>
    </row>
    <row r="950" spans="1:38">
      <c r="A950" s="164" t="s">
        <v>812</v>
      </c>
      <c r="B950" s="29" t="s">
        <v>1213</v>
      </c>
      <c r="C950" t="s">
        <v>5424</v>
      </c>
      <c r="D950" s="130"/>
      <c r="E950" s="232">
        <v>45785</v>
      </c>
      <c r="F950" s="2">
        <f>E950+14</f>
        <v>45799</v>
      </c>
      <c r="G950" s="332" t="s">
        <v>42</v>
      </c>
      <c r="H950" s="41" t="s">
        <v>364</v>
      </c>
      <c r="I950" s="1" t="s">
        <v>5425</v>
      </c>
      <c r="J950" s="1" t="s">
        <v>1111</v>
      </c>
      <c r="K950" s="1" t="s">
        <v>31</v>
      </c>
      <c r="L950" s="1">
        <v>85323</v>
      </c>
      <c r="M950" s="1" t="s">
        <v>32</v>
      </c>
      <c r="N950" s="4"/>
      <c r="O950" s="1" t="s">
        <v>5426</v>
      </c>
      <c r="P950" s="1" t="s">
        <v>5427</v>
      </c>
      <c r="Q950" s="325" t="s">
        <v>5428</v>
      </c>
      <c r="R950" s="31">
        <v>100093</v>
      </c>
      <c r="S950" s="4"/>
      <c r="T950" s="4"/>
      <c r="U950" s="4"/>
      <c r="V950" s="4" t="s">
        <v>443</v>
      </c>
      <c r="W950" s="4" t="s">
        <v>37</v>
      </c>
      <c r="X950" s="4" t="s">
        <v>616</v>
      </c>
      <c r="Y950" s="241" t="s">
        <v>617</v>
      </c>
      <c r="Z950" s="167" t="s">
        <v>364</v>
      </c>
    </row>
    <row r="951" spans="1:38">
      <c r="A951" s="164" t="s">
        <v>812</v>
      </c>
      <c r="B951" s="102" t="s">
        <v>168</v>
      </c>
      <c r="C951" s="17" t="s">
        <v>5429</v>
      </c>
      <c r="D951" s="312"/>
      <c r="E951" s="232">
        <v>45785</v>
      </c>
      <c r="F951" s="298">
        <f>E951+14</f>
        <v>45799</v>
      </c>
      <c r="G951" s="334" t="s">
        <v>5430</v>
      </c>
      <c r="H951" s="299"/>
      <c r="I951" s="12" t="s">
        <v>5431</v>
      </c>
      <c r="J951" s="12" t="s">
        <v>985</v>
      </c>
      <c r="K951" s="12" t="s">
        <v>31</v>
      </c>
      <c r="L951" s="12">
        <v>85355</v>
      </c>
      <c r="M951" s="12" t="s">
        <v>32</v>
      </c>
      <c r="N951" s="17"/>
      <c r="O951" s="12" t="s">
        <v>5432</v>
      </c>
      <c r="P951" s="12" t="s">
        <v>5433</v>
      </c>
      <c r="Q951" s="344" t="s">
        <v>5434</v>
      </c>
      <c r="R951" s="315">
        <v>100869</v>
      </c>
      <c r="S951" s="17"/>
      <c r="T951" s="17"/>
      <c r="U951" s="17"/>
      <c r="V951" s="17" t="s">
        <v>443</v>
      </c>
      <c r="W951" s="17" t="s">
        <v>37</v>
      </c>
      <c r="X951" s="17" t="s">
        <v>616</v>
      </c>
      <c r="Y951" s="302" t="s">
        <v>617</v>
      </c>
      <c r="Z951" s="17"/>
      <c r="AA951" s="17"/>
      <c r="AB951" s="17"/>
      <c r="AC951" s="17"/>
      <c r="AD951" s="17"/>
      <c r="AE951" s="17"/>
      <c r="AF951" s="17"/>
      <c r="AG951" s="17"/>
      <c r="AH951" s="17"/>
      <c r="AI951" s="4"/>
      <c r="AJ951" s="4"/>
      <c r="AK951" s="4"/>
      <c r="AL951" s="4"/>
    </row>
    <row r="952" spans="1:38">
      <c r="A952" s="164" t="s">
        <v>812</v>
      </c>
      <c r="B952" s="29" t="s">
        <v>4733</v>
      </c>
      <c r="C952" s="4" t="s">
        <v>5435</v>
      </c>
      <c r="D952" s="130" t="s">
        <v>516</v>
      </c>
      <c r="E952" s="232">
        <v>45770</v>
      </c>
      <c r="F952" s="2">
        <f>E952+28</f>
        <v>45798</v>
      </c>
      <c r="G952" s="331" t="s">
        <v>28</v>
      </c>
      <c r="H952" s="41">
        <v>224</v>
      </c>
      <c r="I952" s="1" t="s">
        <v>5436</v>
      </c>
      <c r="J952" s="1" t="s">
        <v>434</v>
      </c>
      <c r="K952" s="1" t="s">
        <v>31</v>
      </c>
      <c r="L952" s="1"/>
      <c r="M952" s="1" t="s">
        <v>32</v>
      </c>
      <c r="N952" s="4"/>
      <c r="O952" s="1" t="s">
        <v>5437</v>
      </c>
      <c r="P952" s="1" t="s">
        <v>5438</v>
      </c>
      <c r="Q952" s="129" t="s">
        <v>5439</v>
      </c>
      <c r="R952" s="124" t="s">
        <v>35</v>
      </c>
      <c r="S952" s="4"/>
      <c r="T952" s="4"/>
      <c r="U952" s="4"/>
      <c r="V952" s="4" t="s">
        <v>443</v>
      </c>
      <c r="W952" s="4" t="s">
        <v>37</v>
      </c>
      <c r="X952" s="4" t="s">
        <v>616</v>
      </c>
      <c r="Y952" s="241" t="s">
        <v>617</v>
      </c>
      <c r="Z952" s="167" t="s">
        <v>364</v>
      </c>
    </row>
    <row r="953" spans="1:38">
      <c r="A953" s="163" t="s">
        <v>25</v>
      </c>
      <c r="B953" s="15" t="s">
        <v>26</v>
      </c>
      <c r="C953" s="29" t="s">
        <v>5440</v>
      </c>
      <c r="D953" s="26">
        <v>45554</v>
      </c>
      <c r="E953" s="2">
        <v>45790</v>
      </c>
      <c r="F953" s="2">
        <f>E953+14</f>
        <v>45804</v>
      </c>
      <c r="G953" s="41" t="s">
        <v>28</v>
      </c>
      <c r="H953" s="1">
        <v>905</v>
      </c>
      <c r="I953" s="1" t="s">
        <v>5441</v>
      </c>
      <c r="J953" s="1" t="s">
        <v>49</v>
      </c>
      <c r="K953" s="1" t="s">
        <v>31</v>
      </c>
      <c r="L953" s="1">
        <v>85296</v>
      </c>
      <c r="M953" s="1" t="s">
        <v>32</v>
      </c>
      <c r="N953" s="4"/>
      <c r="O953" s="1" t="s">
        <v>5442</v>
      </c>
      <c r="P953" s="1" t="s">
        <v>5443</v>
      </c>
      <c r="Q953" s="129" t="s">
        <v>5444</v>
      </c>
      <c r="R953" s="124" t="s">
        <v>35</v>
      </c>
      <c r="S953" s="4"/>
      <c r="T953" s="4"/>
      <c r="U953" s="4"/>
      <c r="V953" s="4" t="s">
        <v>36</v>
      </c>
      <c r="W953" s="4" t="s">
        <v>37</v>
      </c>
      <c r="X953" s="1" t="s">
        <v>59</v>
      </c>
      <c r="Y953" s="167" t="s">
        <v>39</v>
      </c>
      <c r="Z953" s="4"/>
    </row>
    <row r="954" spans="1:38">
      <c r="A954" s="164" t="s">
        <v>812</v>
      </c>
      <c r="B954" s="29" t="s">
        <v>4669</v>
      </c>
      <c r="C954" t="s">
        <v>5445</v>
      </c>
      <c r="D954" s="2"/>
      <c r="E954" s="232">
        <v>45783</v>
      </c>
      <c r="F954" s="2">
        <f>E954+14</f>
        <v>45797</v>
      </c>
      <c r="G954" s="331" t="s">
        <v>649</v>
      </c>
      <c r="H954" s="41">
        <v>14765</v>
      </c>
      <c r="I954" s="25" t="s">
        <v>1135</v>
      </c>
      <c r="J954" s="1" t="s">
        <v>844</v>
      </c>
      <c r="K954" s="1" t="s">
        <v>31</v>
      </c>
      <c r="L954" s="1">
        <v>85395</v>
      </c>
      <c r="M954" s="1" t="s">
        <v>32</v>
      </c>
      <c r="N954" s="4"/>
      <c r="O954" s="253" t="s">
        <v>5446</v>
      </c>
      <c r="P954" s="1" t="s">
        <v>5447</v>
      </c>
      <c r="Q954" s="87" t="s">
        <v>5448</v>
      </c>
      <c r="R954" s="31">
        <v>105141</v>
      </c>
      <c r="S954" s="4"/>
      <c r="T954" s="4"/>
      <c r="U954" s="4"/>
      <c r="V954" s="4" t="s">
        <v>443</v>
      </c>
      <c r="W954" s="4" t="s">
        <v>37</v>
      </c>
      <c r="X954" s="4" t="s">
        <v>616</v>
      </c>
      <c r="Y954" s="235" t="s">
        <v>617</v>
      </c>
      <c r="Z954" s="167" t="s">
        <v>364</v>
      </c>
      <c r="AA954" s="4"/>
      <c r="AB954" s="4"/>
      <c r="AC954" s="4"/>
      <c r="AD954" s="4"/>
      <c r="AE954" s="4"/>
      <c r="AF954" s="4"/>
      <c r="AG954" s="4"/>
      <c r="AH954" s="4"/>
      <c r="AI954" s="4"/>
      <c r="AJ954" s="4"/>
      <c r="AK954" s="4"/>
      <c r="AL954" s="4"/>
    </row>
    <row r="955" spans="1:38">
      <c r="A955" s="164" t="s">
        <v>812</v>
      </c>
      <c r="B955" s="15" t="s">
        <v>768</v>
      </c>
      <c r="C955" s="29" t="s">
        <v>5449</v>
      </c>
      <c r="D955" s="1"/>
      <c r="E955" s="232">
        <v>45804</v>
      </c>
      <c r="F955" s="2">
        <f>E955+14</f>
        <v>45818</v>
      </c>
      <c r="G955" s="41" t="s">
        <v>42</v>
      </c>
      <c r="H955" s="1">
        <v>1510</v>
      </c>
      <c r="I955" s="1" t="s">
        <v>5450</v>
      </c>
      <c r="J955" s="1" t="s">
        <v>434</v>
      </c>
      <c r="K955" s="1" t="s">
        <v>31</v>
      </c>
      <c r="L955" s="1">
        <v>85006</v>
      </c>
      <c r="M955" s="1" t="s">
        <v>32</v>
      </c>
      <c r="N955" s="4"/>
      <c r="O955" s="1" t="s">
        <v>5451</v>
      </c>
      <c r="P955" s="1" t="s">
        <v>5452</v>
      </c>
      <c r="Q955" s="98" t="s">
        <v>5453</v>
      </c>
      <c r="R955" s="1">
        <v>99434</v>
      </c>
      <c r="S955" s="4"/>
      <c r="T955" s="4"/>
      <c r="U955" s="4"/>
      <c r="V955" s="4" t="s">
        <v>443</v>
      </c>
      <c r="W955" s="4" t="s">
        <v>37</v>
      </c>
      <c r="X955" s="4" t="s">
        <v>616</v>
      </c>
      <c r="Y955" s="235" t="s">
        <v>617</v>
      </c>
      <c r="Z955" s="167" t="s">
        <v>364</v>
      </c>
      <c r="AA955" s="4"/>
      <c r="AB955" s="4"/>
      <c r="AC955" s="4"/>
      <c r="AD955" s="4"/>
      <c r="AE955" s="4"/>
      <c r="AF955" s="4"/>
      <c r="AG955" s="4"/>
      <c r="AH955" s="4"/>
      <c r="AI955" s="4"/>
      <c r="AJ955" s="4"/>
      <c r="AK955" s="4"/>
      <c r="AL955" s="4"/>
    </row>
    <row r="956" spans="1:38">
      <c r="A956" s="258" t="s">
        <v>812</v>
      </c>
      <c r="B956" s="29" t="s">
        <v>5454</v>
      </c>
      <c r="C956" s="4" t="s">
        <v>2767</v>
      </c>
      <c r="D956" s="130">
        <v>45496</v>
      </c>
      <c r="E956" s="232">
        <v>45800</v>
      </c>
      <c r="F956" s="2">
        <f>E956+28</f>
        <v>45828</v>
      </c>
      <c r="G956" s="331" t="s">
        <v>28</v>
      </c>
      <c r="H956" s="41">
        <v>3101</v>
      </c>
      <c r="I956" s="1" t="s">
        <v>5455</v>
      </c>
      <c r="J956" s="1" t="s">
        <v>916</v>
      </c>
      <c r="K956" s="1" t="s">
        <v>31</v>
      </c>
      <c r="L956" s="1">
        <v>85713</v>
      </c>
      <c r="M956" s="1" t="s">
        <v>32</v>
      </c>
      <c r="N956" s="4"/>
      <c r="O956" s="1" t="s">
        <v>5456</v>
      </c>
      <c r="P956" s="1" t="s">
        <v>5457</v>
      </c>
      <c r="Q956" s="99" t="s">
        <v>5458</v>
      </c>
      <c r="R956" s="178"/>
      <c r="S956" s="4"/>
      <c r="T956" s="4"/>
      <c r="U956" s="4"/>
      <c r="V956" s="4" t="s">
        <v>443</v>
      </c>
      <c r="W956" s="4" t="s">
        <v>37</v>
      </c>
      <c r="X956" s="4" t="s">
        <v>616</v>
      </c>
      <c r="Y956" s="235" t="s">
        <v>617</v>
      </c>
      <c r="Z956" s="4"/>
      <c r="AA956" s="4"/>
      <c r="AB956" s="4"/>
      <c r="AC956" s="4"/>
      <c r="AD956" s="4"/>
      <c r="AE956" s="4"/>
      <c r="AF956" s="4"/>
      <c r="AG956" s="4"/>
      <c r="AH956" s="4"/>
      <c r="AI956" s="4"/>
      <c r="AJ956" s="4"/>
      <c r="AK956" s="4"/>
      <c r="AL956" s="4"/>
    </row>
    <row r="957" spans="1:38">
      <c r="A957" s="163" t="s">
        <v>25</v>
      </c>
      <c r="B957" s="15" t="s">
        <v>5459</v>
      </c>
      <c r="C957" s="29" t="s">
        <v>5460</v>
      </c>
      <c r="D957" s="26">
        <v>45539</v>
      </c>
      <c r="E957" s="2">
        <v>45807</v>
      </c>
      <c r="F957" s="2">
        <f>E957+14</f>
        <v>45821</v>
      </c>
      <c r="G957" s="42" t="s">
        <v>42</v>
      </c>
      <c r="H957" s="1">
        <v>2836</v>
      </c>
      <c r="I957" s="1" t="s">
        <v>4170</v>
      </c>
      <c r="J957" s="1" t="s">
        <v>63</v>
      </c>
      <c r="K957" s="1" t="s">
        <v>31</v>
      </c>
      <c r="L957" s="1">
        <v>85215</v>
      </c>
      <c r="M957" s="1" t="s">
        <v>32</v>
      </c>
      <c r="N957" s="4"/>
      <c r="O957" s="1" t="s">
        <v>5461</v>
      </c>
      <c r="P957" s="1" t="s">
        <v>5462</v>
      </c>
      <c r="Q957" s="129" t="s">
        <v>5463</v>
      </c>
      <c r="R957" s="1">
        <v>104802</v>
      </c>
      <c r="S957" s="4"/>
      <c r="T957" s="4"/>
      <c r="U957" s="4"/>
      <c r="V957" s="4" t="s">
        <v>36</v>
      </c>
      <c r="W957" s="4" t="s">
        <v>37</v>
      </c>
      <c r="X957" s="4" t="s">
        <v>38</v>
      </c>
      <c r="Y957" s="235" t="s">
        <v>39</v>
      </c>
      <c r="Z957" s="168"/>
      <c r="AA957" s="4"/>
      <c r="AB957" s="4"/>
      <c r="AC957" s="4"/>
      <c r="AD957" s="4"/>
      <c r="AE957" s="4"/>
      <c r="AF957" s="4"/>
      <c r="AG957" s="4"/>
      <c r="AH957" s="4"/>
    </row>
    <row r="958" spans="1:38">
      <c r="A958" s="163" t="s">
        <v>25</v>
      </c>
      <c r="B958" s="29" t="s">
        <v>5464</v>
      </c>
      <c r="C958" s="4" t="s">
        <v>5465</v>
      </c>
      <c r="D958" s="130"/>
      <c r="E958" s="2">
        <v>45796</v>
      </c>
      <c r="F958" s="2">
        <f>E958+14</f>
        <v>45810</v>
      </c>
      <c r="G958" s="331" t="s">
        <v>42</v>
      </c>
      <c r="H958" s="41">
        <v>2359</v>
      </c>
      <c r="I958" s="1" t="s">
        <v>5466</v>
      </c>
      <c r="J958" s="1" t="s">
        <v>49</v>
      </c>
      <c r="K958" s="1" t="s">
        <v>31</v>
      </c>
      <c r="L958" s="1"/>
      <c r="M958" s="1" t="s">
        <v>32</v>
      </c>
      <c r="N958" s="4"/>
      <c r="O958" s="1" t="s">
        <v>5467</v>
      </c>
      <c r="P958" s="1" t="s">
        <v>5468</v>
      </c>
      <c r="Q958" s="255" t="s">
        <v>5469</v>
      </c>
      <c r="R958" s="31">
        <v>103528</v>
      </c>
      <c r="S958" s="4"/>
      <c r="T958" s="4"/>
      <c r="U958" s="4"/>
      <c r="V958" s="4" t="s">
        <v>36</v>
      </c>
      <c r="W958" s="4" t="s">
        <v>37</v>
      </c>
      <c r="X958" s="1" t="s">
        <v>59</v>
      </c>
      <c r="Y958" s="167" t="s">
        <v>39</v>
      </c>
      <c r="Z958" s="4"/>
    </row>
    <row r="959" spans="1:38">
      <c r="A959" s="164" t="s">
        <v>812</v>
      </c>
      <c r="B959" s="15" t="s">
        <v>1128</v>
      </c>
      <c r="C959" s="29" t="s">
        <v>5470</v>
      </c>
      <c r="D959" s="2"/>
      <c r="E959" s="328">
        <v>45799</v>
      </c>
      <c r="F959" s="2">
        <f>E959+14</f>
        <v>45813</v>
      </c>
      <c r="G959" s="331" t="s">
        <v>28</v>
      </c>
      <c r="H959" s="1"/>
      <c r="I959" s="1" t="s">
        <v>5471</v>
      </c>
      <c r="J959" s="1" t="s">
        <v>851</v>
      </c>
      <c r="K959" s="1" t="s">
        <v>31</v>
      </c>
      <c r="L959" s="1"/>
      <c r="M959" s="1" t="s">
        <v>32</v>
      </c>
      <c r="N959" s="4"/>
      <c r="O959" s="1"/>
      <c r="P959" s="1" t="s">
        <v>5472</v>
      </c>
      <c r="Q959" s="129" t="s">
        <v>5473</v>
      </c>
      <c r="R959" s="1">
        <v>104160</v>
      </c>
      <c r="S959" s="4"/>
      <c r="T959" s="4"/>
      <c r="U959" s="4"/>
      <c r="V959" s="4" t="s">
        <v>443</v>
      </c>
      <c r="W959" s="4" t="s">
        <v>37</v>
      </c>
      <c r="X959" s="4" t="s">
        <v>616</v>
      </c>
      <c r="Y959" s="241" t="s">
        <v>617</v>
      </c>
      <c r="Z959" s="168"/>
      <c r="AA959" s="119"/>
      <c r="AB959" s="119"/>
      <c r="AC959" s="119"/>
      <c r="AD959" s="119"/>
      <c r="AE959" s="119"/>
      <c r="AF959" s="119"/>
      <c r="AG959" s="119"/>
      <c r="AH959" s="119"/>
      <c r="AI959" s="4"/>
      <c r="AJ959" s="4"/>
      <c r="AK959" s="4"/>
      <c r="AL959" s="4"/>
    </row>
    <row r="960" spans="1:38">
      <c r="A960" s="164" t="s">
        <v>812</v>
      </c>
      <c r="B960" s="29" t="s">
        <v>478</v>
      </c>
      <c r="C960" s="4" t="s">
        <v>5474</v>
      </c>
      <c r="D960" s="130"/>
      <c r="E960" s="232">
        <v>45803</v>
      </c>
      <c r="F960" s="2">
        <f>E960+14</f>
        <v>45817</v>
      </c>
      <c r="G960" s="331" t="s">
        <v>28</v>
      </c>
      <c r="H960" s="41">
        <v>20570</v>
      </c>
      <c r="I960" s="1" t="s">
        <v>3171</v>
      </c>
      <c r="J960" s="1" t="s">
        <v>831</v>
      </c>
      <c r="K960" s="1" t="s">
        <v>31</v>
      </c>
      <c r="L960" s="1">
        <v>85396</v>
      </c>
      <c r="M960" s="1"/>
      <c r="N960" s="4"/>
      <c r="O960" s="1" t="s">
        <v>5475</v>
      </c>
      <c r="P960" s="1" t="s">
        <v>5476</v>
      </c>
      <c r="Q960" s="184" t="s">
        <v>5477</v>
      </c>
      <c r="R960" s="31">
        <v>102966</v>
      </c>
      <c r="S960" s="4"/>
      <c r="T960" s="4"/>
      <c r="U960" s="4"/>
      <c r="V960" s="4" t="s">
        <v>443</v>
      </c>
      <c r="W960" s="4" t="s">
        <v>37</v>
      </c>
      <c r="X960" s="4" t="s">
        <v>616</v>
      </c>
      <c r="Y960" s="235" t="s">
        <v>617</v>
      </c>
      <c r="Z960" s="167" t="s">
        <v>364</v>
      </c>
    </row>
    <row r="961" spans="1:38">
      <c r="A961" s="305" t="s">
        <v>25</v>
      </c>
      <c r="B961" s="158" t="s">
        <v>5478</v>
      </c>
      <c r="C961" s="158" t="s">
        <v>5479</v>
      </c>
      <c r="D961" s="158" t="s">
        <v>554</v>
      </c>
      <c r="E961" s="2">
        <v>45789</v>
      </c>
      <c r="F961" s="2">
        <f>E961+28</f>
        <v>45817</v>
      </c>
      <c r="G961" s="313" t="s">
        <v>28</v>
      </c>
      <c r="H961" s="297">
        <v>3063</v>
      </c>
      <c r="I961" s="297" t="s">
        <v>5480</v>
      </c>
      <c r="J961" s="297" t="s">
        <v>30</v>
      </c>
      <c r="K961" s="297" t="s">
        <v>31</v>
      </c>
      <c r="L961" s="158">
        <v>85122</v>
      </c>
      <c r="M961" s="158" t="s">
        <v>32</v>
      </c>
      <c r="N961" s="158" t="s">
        <v>554</v>
      </c>
      <c r="O961" s="158" t="s">
        <v>5481</v>
      </c>
      <c r="P961" s="297" t="s">
        <v>5482</v>
      </c>
      <c r="Q961" s="129" t="s">
        <v>5483</v>
      </c>
      <c r="R961" s="158" t="s">
        <v>364</v>
      </c>
      <c r="S961" s="158" t="s">
        <v>37</v>
      </c>
      <c r="T961" s="158" t="s">
        <v>59</v>
      </c>
      <c r="U961" s="304" t="s">
        <v>39</v>
      </c>
      <c r="V961" s="4" t="s">
        <v>36</v>
      </c>
      <c r="W961" s="4" t="s">
        <v>37</v>
      </c>
      <c r="X961" s="1" t="s">
        <v>59</v>
      </c>
      <c r="Y961" s="167" t="s">
        <v>39</v>
      </c>
      <c r="Z961" s="158" t="s">
        <v>554</v>
      </c>
      <c r="AA961" s="158" t="s">
        <v>554</v>
      </c>
      <c r="AB961" s="158" t="s">
        <v>554</v>
      </c>
      <c r="AC961" s="158" t="s">
        <v>554</v>
      </c>
      <c r="AD961" s="158" t="s">
        <v>554</v>
      </c>
      <c r="AE961" s="158" t="s">
        <v>554</v>
      </c>
      <c r="AF961" s="158" t="s">
        <v>554</v>
      </c>
      <c r="AG961" s="158" t="s">
        <v>554</v>
      </c>
      <c r="AH961" s="158" t="s">
        <v>554</v>
      </c>
    </row>
    <row r="962" spans="1:38">
      <c r="A962" s="164" t="s">
        <v>812</v>
      </c>
      <c r="B962" s="323" t="s">
        <v>5484</v>
      </c>
      <c r="C962" s="4" t="s">
        <v>5485</v>
      </c>
      <c r="D962" s="130"/>
      <c r="E962" s="232">
        <v>45810</v>
      </c>
      <c r="F962" s="2">
        <f t="shared" ref="F962:F972" si="98">E962+14</f>
        <v>45824</v>
      </c>
      <c r="G962" s="331" t="s">
        <v>649</v>
      </c>
      <c r="H962" s="41">
        <v>25050</v>
      </c>
      <c r="I962" s="1" t="s">
        <v>5486</v>
      </c>
      <c r="J962" s="1" t="s">
        <v>434</v>
      </c>
      <c r="K962" s="1" t="s">
        <v>31</v>
      </c>
      <c r="L962" s="1">
        <v>85085</v>
      </c>
      <c r="M962" s="1" t="s">
        <v>32</v>
      </c>
      <c r="N962" s="4"/>
      <c r="O962" s="1" t="s">
        <v>5487</v>
      </c>
      <c r="P962" s="179" t="s">
        <v>5488</v>
      </c>
      <c r="Q962" s="99" t="s">
        <v>5489</v>
      </c>
      <c r="R962" s="178"/>
      <c r="S962" s="4"/>
      <c r="T962" s="4"/>
      <c r="U962" s="4"/>
      <c r="V962" s="4" t="s">
        <v>443</v>
      </c>
      <c r="W962" s="4" t="s">
        <v>37</v>
      </c>
      <c r="X962" s="4" t="s">
        <v>616</v>
      </c>
      <c r="Y962" s="235" t="s">
        <v>617</v>
      </c>
      <c r="Z962" s="167" t="s">
        <v>364</v>
      </c>
    </row>
    <row r="963" spans="1:38">
      <c r="A963" s="163" t="s">
        <v>25</v>
      </c>
      <c r="B963" s="15" t="s">
        <v>4397</v>
      </c>
      <c r="C963" s="29" t="s">
        <v>5490</v>
      </c>
      <c r="D963" s="4" t="s">
        <v>364</v>
      </c>
      <c r="E963" s="2">
        <v>45813</v>
      </c>
      <c r="F963" s="2">
        <f t="shared" si="98"/>
        <v>45827</v>
      </c>
      <c r="G963" s="1" t="s">
        <v>42</v>
      </c>
      <c r="H963" s="25">
        <v>3380</v>
      </c>
      <c r="I963" s="1" t="s">
        <v>783</v>
      </c>
      <c r="J963" s="1" t="s">
        <v>398</v>
      </c>
      <c r="K963" s="1" t="s">
        <v>31</v>
      </c>
      <c r="L963" s="1">
        <v>85251</v>
      </c>
      <c r="M963" s="1" t="s">
        <v>32</v>
      </c>
      <c r="N963"/>
      <c r="O963" s="4" t="s">
        <v>5491</v>
      </c>
      <c r="P963" s="1" t="s">
        <v>5492</v>
      </c>
      <c r="Q963" s="87" t="s">
        <v>5493</v>
      </c>
      <c r="R963" s="1">
        <v>104851</v>
      </c>
      <c r="S963" s="4"/>
      <c r="T963" s="4"/>
      <c r="U963" s="4"/>
      <c r="V963" s="4" t="s">
        <v>36</v>
      </c>
      <c r="W963" s="4" t="s">
        <v>37</v>
      </c>
      <c r="X963" s="4" t="s">
        <v>38</v>
      </c>
      <c r="Y963" s="235" t="s">
        <v>39</v>
      </c>
      <c r="Z963" s="4"/>
      <c r="AA963" s="4"/>
      <c r="AB963" s="4"/>
      <c r="AC963" s="4"/>
      <c r="AD963" s="4"/>
      <c r="AE963" s="4"/>
      <c r="AF963" s="4"/>
      <c r="AG963" s="4"/>
      <c r="AH963" s="4"/>
      <c r="AI963" s="4"/>
      <c r="AJ963" s="4"/>
      <c r="AK963" s="4"/>
      <c r="AL963" s="4"/>
    </row>
    <row r="964" spans="1:38">
      <c r="A964" s="163" t="s">
        <v>25</v>
      </c>
      <c r="B964" s="29" t="s">
        <v>4669</v>
      </c>
      <c r="C964" s="4" t="s">
        <v>5494</v>
      </c>
      <c r="D964" s="130">
        <v>45821</v>
      </c>
      <c r="E964" s="2">
        <v>45813</v>
      </c>
      <c r="F964" s="60">
        <f t="shared" si="98"/>
        <v>45827</v>
      </c>
      <c r="G964" s="269"/>
      <c r="H964" s="41">
        <v>4616</v>
      </c>
      <c r="I964" s="1" t="s">
        <v>1917</v>
      </c>
      <c r="J964" s="1" t="s">
        <v>434</v>
      </c>
      <c r="K964" s="1" t="s">
        <v>31</v>
      </c>
      <c r="L964" s="1">
        <v>85208</v>
      </c>
      <c r="M964" s="1" t="s">
        <v>32</v>
      </c>
      <c r="N964" s="4"/>
      <c r="O964" s="1" t="s">
        <v>5495</v>
      </c>
      <c r="P964" s="1" t="s">
        <v>5496</v>
      </c>
      <c r="Q964" s="1"/>
      <c r="R964" s="31"/>
      <c r="S964" s="4"/>
      <c r="T964" s="4"/>
      <c r="U964" s="4"/>
      <c r="V964" s="4" t="s">
        <v>36</v>
      </c>
      <c r="W964" s="4" t="s">
        <v>37</v>
      </c>
      <c r="X964" s="1" t="s">
        <v>59</v>
      </c>
      <c r="Y964" s="167" t="s">
        <v>39</v>
      </c>
      <c r="Z964" s="4"/>
      <c r="AA964" s="4"/>
      <c r="AB964" s="4"/>
      <c r="AC964" s="4"/>
      <c r="AD964" s="4"/>
      <c r="AE964" s="4"/>
      <c r="AF964" s="4"/>
      <c r="AG964" s="4"/>
      <c r="AH964" s="4"/>
      <c r="AI964" s="4"/>
      <c r="AJ964" s="4"/>
      <c r="AK964" s="4"/>
      <c r="AL964" s="4"/>
    </row>
    <row r="965" spans="1:38">
      <c r="A965" s="164" t="s">
        <v>812</v>
      </c>
      <c r="B965" s="311" t="s">
        <v>5497</v>
      </c>
      <c r="C965" s="4" t="s">
        <v>5498</v>
      </c>
      <c r="D965" s="130">
        <v>45798</v>
      </c>
      <c r="E965" s="232">
        <v>45817</v>
      </c>
      <c r="F965" s="2">
        <f t="shared" si="98"/>
        <v>45831</v>
      </c>
      <c r="G965" s="2" t="s">
        <v>42</v>
      </c>
      <c r="H965" s="41"/>
      <c r="I965" s="1" t="s">
        <v>5499</v>
      </c>
      <c r="J965" s="1" t="s">
        <v>831</v>
      </c>
      <c r="K965" s="1" t="s">
        <v>31</v>
      </c>
      <c r="L965" s="1"/>
      <c r="M965" s="1" t="s">
        <v>32</v>
      </c>
      <c r="N965" s="4"/>
      <c r="O965" s="1" t="s">
        <v>5500</v>
      </c>
      <c r="P965" s="1" t="s">
        <v>5501</v>
      </c>
      <c r="Q965" s="1"/>
      <c r="R965" s="31">
        <v>109388</v>
      </c>
      <c r="S965" s="4"/>
      <c r="T965" s="4"/>
      <c r="U965" s="4"/>
      <c r="V965" s="4" t="s">
        <v>443</v>
      </c>
      <c r="W965" s="4" t="s">
        <v>37</v>
      </c>
      <c r="X965" s="4" t="s">
        <v>616</v>
      </c>
      <c r="Y965" s="241" t="s">
        <v>617</v>
      </c>
      <c r="Z965" s="4"/>
      <c r="AA965" s="4"/>
      <c r="AB965" s="4"/>
      <c r="AC965" s="4"/>
      <c r="AD965" s="4"/>
      <c r="AE965" s="4"/>
      <c r="AF965" s="4"/>
      <c r="AG965" s="4"/>
      <c r="AH965" s="4"/>
      <c r="AI965" s="4"/>
      <c r="AJ965" s="4"/>
      <c r="AK965" s="4"/>
      <c r="AL965" s="4"/>
    </row>
    <row r="966" spans="1:38">
      <c r="A966" s="164" t="s">
        <v>812</v>
      </c>
      <c r="B966" s="349" t="s">
        <v>1090</v>
      </c>
      <c r="C966" s="348" t="s">
        <v>5502</v>
      </c>
      <c r="D966" s="312"/>
      <c r="E966" s="328">
        <v>45819</v>
      </c>
      <c r="F966" s="2">
        <f t="shared" si="98"/>
        <v>45833</v>
      </c>
      <c r="G966" s="331" t="s">
        <v>42</v>
      </c>
      <c r="H966" s="41">
        <v>10040</v>
      </c>
      <c r="I966" s="1" t="s">
        <v>5503</v>
      </c>
      <c r="J966" s="1" t="s">
        <v>434</v>
      </c>
      <c r="K966" s="1" t="s">
        <v>31</v>
      </c>
      <c r="L966" s="1">
        <v>85051</v>
      </c>
      <c r="M966" s="1" t="s">
        <v>32</v>
      </c>
      <c r="N966" s="4"/>
      <c r="O966" s="1" t="s">
        <v>5504</v>
      </c>
      <c r="P966" s="1" t="s">
        <v>5505</v>
      </c>
      <c r="Q966" s="87" t="s">
        <v>5506</v>
      </c>
      <c r="R966" s="31"/>
      <c r="S966" s="4"/>
      <c r="T966" s="4"/>
      <c r="U966" s="4"/>
      <c r="V966" s="4" t="s">
        <v>443</v>
      </c>
      <c r="W966" s="4" t="s">
        <v>37</v>
      </c>
      <c r="X966" s="4" t="s">
        <v>616</v>
      </c>
      <c r="Y966" s="235" t="s">
        <v>617</v>
      </c>
      <c r="Z966" s="4"/>
      <c r="AA966" s="4"/>
      <c r="AB966" s="4"/>
      <c r="AC966" s="4"/>
      <c r="AD966" s="4"/>
      <c r="AE966" s="4"/>
      <c r="AF966" s="4"/>
      <c r="AG966" s="4"/>
      <c r="AH966" s="4"/>
      <c r="AI966" s="4"/>
      <c r="AJ966" s="4"/>
      <c r="AK966" s="4"/>
      <c r="AL966" s="4"/>
    </row>
    <row r="967" spans="1:38">
      <c r="A967" s="164" t="s">
        <v>812</v>
      </c>
      <c r="B967" s="29" t="s">
        <v>5507</v>
      </c>
      <c r="C967" s="4" t="s">
        <v>5508</v>
      </c>
      <c r="D967" s="130"/>
      <c r="E967" s="232">
        <v>45813</v>
      </c>
      <c r="F967" s="60">
        <f t="shared" si="98"/>
        <v>45827</v>
      </c>
      <c r="G967" s="331" t="s">
        <v>42</v>
      </c>
      <c r="H967" s="41" t="s">
        <v>528</v>
      </c>
      <c r="I967" s="1" t="s">
        <v>5509</v>
      </c>
      <c r="J967" s="1" t="s">
        <v>822</v>
      </c>
      <c r="K967" s="1" t="s">
        <v>31</v>
      </c>
      <c r="L967" s="1">
        <v>85355</v>
      </c>
      <c r="M967" s="1" t="s">
        <v>32</v>
      </c>
      <c r="N967" s="4"/>
      <c r="O967" s="1" t="s">
        <v>5510</v>
      </c>
      <c r="P967" s="1" t="s">
        <v>5511</v>
      </c>
      <c r="Q967" s="184" t="s">
        <v>5512</v>
      </c>
      <c r="R967" s="31">
        <v>93619</v>
      </c>
      <c r="S967" s="4"/>
      <c r="T967" s="4"/>
      <c r="U967" s="4"/>
      <c r="V967" s="4" t="s">
        <v>443</v>
      </c>
      <c r="W967" s="4" t="s">
        <v>37</v>
      </c>
      <c r="X967" s="4" t="s">
        <v>616</v>
      </c>
      <c r="Y967" s="235" t="s">
        <v>617</v>
      </c>
      <c r="Z967" s="167" t="s">
        <v>364</v>
      </c>
    </row>
    <row r="968" spans="1:38">
      <c r="A968" s="163" t="s">
        <v>25</v>
      </c>
      <c r="B968" s="15" t="s">
        <v>768</v>
      </c>
      <c r="C968" s="29" t="s">
        <v>5513</v>
      </c>
      <c r="D968" s="4"/>
      <c r="E968" s="2">
        <v>45817</v>
      </c>
      <c r="F968" s="2">
        <f t="shared" si="98"/>
        <v>45831</v>
      </c>
      <c r="G968" s="41" t="s">
        <v>42</v>
      </c>
      <c r="H968" s="1">
        <v>430</v>
      </c>
      <c r="I968" s="1" t="s">
        <v>5514</v>
      </c>
      <c r="J968" s="1" t="s">
        <v>298</v>
      </c>
      <c r="K968" s="1" t="s">
        <v>31</v>
      </c>
      <c r="L968" s="1">
        <v>85119</v>
      </c>
      <c r="M968" s="1" t="s">
        <v>32</v>
      </c>
      <c r="N968" s="4"/>
      <c r="O968" s="1" t="s">
        <v>5515</v>
      </c>
      <c r="P968" s="1" t="s">
        <v>5516</v>
      </c>
      <c r="Q968" s="87" t="s">
        <v>5517</v>
      </c>
      <c r="R968" s="1">
        <v>98732</v>
      </c>
      <c r="S968" s="4"/>
      <c r="T968" s="4"/>
      <c r="U968" s="4"/>
      <c r="V968" s="4" t="s">
        <v>36</v>
      </c>
      <c r="W968" s="4" t="s">
        <v>37</v>
      </c>
      <c r="X968" s="4" t="s">
        <v>38</v>
      </c>
      <c r="Y968" s="235" t="s">
        <v>39</v>
      </c>
      <c r="Z968" s="168"/>
      <c r="AA968" s="4"/>
      <c r="AB968" s="4"/>
      <c r="AC968" s="4"/>
      <c r="AD968" s="4"/>
      <c r="AE968" s="4"/>
      <c r="AF968" s="4"/>
      <c r="AG968" s="4"/>
      <c r="AH968" s="4"/>
      <c r="AI968" s="4"/>
      <c r="AJ968" s="4"/>
      <c r="AK968" s="4"/>
      <c r="AL968" s="4"/>
    </row>
    <row r="969" spans="1:38">
      <c r="A969" s="164" t="s">
        <v>812</v>
      </c>
      <c r="B969" s="349" t="s">
        <v>1213</v>
      </c>
      <c r="C969" s="348" t="s">
        <v>5518</v>
      </c>
      <c r="D969" s="298"/>
      <c r="E969" s="328">
        <v>45811</v>
      </c>
      <c r="F969" s="2">
        <f t="shared" si="98"/>
        <v>45825</v>
      </c>
      <c r="G969" s="332" t="s">
        <v>42</v>
      </c>
      <c r="H969" s="41">
        <v>13550</v>
      </c>
      <c r="I969" s="25" t="s">
        <v>5519</v>
      </c>
      <c r="J969" s="1" t="s">
        <v>844</v>
      </c>
      <c r="K969" s="1" t="s">
        <v>31</v>
      </c>
      <c r="L969" s="1">
        <v>85338</v>
      </c>
      <c r="M969" s="1" t="s">
        <v>32</v>
      </c>
      <c r="N969" s="4"/>
      <c r="O969" s="1" t="s">
        <v>5520</v>
      </c>
      <c r="P969" s="1" t="s">
        <v>4494</v>
      </c>
      <c r="Q969" s="129" t="s">
        <v>5521</v>
      </c>
      <c r="R969" s="31">
        <v>104021</v>
      </c>
      <c r="S969" s="4"/>
      <c r="T969" s="4"/>
      <c r="U969" s="4"/>
      <c r="V969" s="4" t="s">
        <v>443</v>
      </c>
      <c r="W969" s="4" t="s">
        <v>37</v>
      </c>
      <c r="X969" s="4" t="s">
        <v>616</v>
      </c>
      <c r="Y969" s="241" t="s">
        <v>617</v>
      </c>
      <c r="Z969" s="167" t="s">
        <v>364</v>
      </c>
      <c r="AA969" s="4"/>
      <c r="AB969" s="4"/>
      <c r="AC969" s="4"/>
      <c r="AD969" s="4"/>
      <c r="AE969" s="4"/>
      <c r="AF969" s="4"/>
      <c r="AG969" s="4"/>
      <c r="AH969" s="4"/>
    </row>
    <row r="970" spans="1:38">
      <c r="A970" s="164" t="s">
        <v>812</v>
      </c>
      <c r="B970" s="102" t="s">
        <v>5522</v>
      </c>
      <c r="C970" s="17" t="s">
        <v>5523</v>
      </c>
      <c r="D970" s="298"/>
      <c r="E970" s="232">
        <v>45813</v>
      </c>
      <c r="F970" s="298">
        <f t="shared" si="98"/>
        <v>45827</v>
      </c>
      <c r="G970" s="347" t="s">
        <v>42</v>
      </c>
      <c r="H970" s="299">
        <v>17336</v>
      </c>
      <c r="I970" s="12" t="s">
        <v>611</v>
      </c>
      <c r="J970" s="12" t="s">
        <v>612</v>
      </c>
      <c r="K970" s="12" t="s">
        <v>31</v>
      </c>
      <c r="L970" s="12">
        <v>85340</v>
      </c>
      <c r="M970" s="12" t="s">
        <v>32</v>
      </c>
      <c r="N970" s="17"/>
      <c r="O970" s="12"/>
      <c r="P970" s="12"/>
      <c r="Q970" s="301"/>
      <c r="R970" s="315">
        <v>103583</v>
      </c>
      <c r="S970" s="17"/>
      <c r="T970" s="17"/>
      <c r="U970" s="17"/>
      <c r="V970" s="17" t="s">
        <v>443</v>
      </c>
      <c r="W970" s="17" t="s">
        <v>37</v>
      </c>
      <c r="X970" s="17" t="s">
        <v>616</v>
      </c>
      <c r="Y970" s="302" t="s">
        <v>617</v>
      </c>
      <c r="Z970" s="303" t="s">
        <v>364</v>
      </c>
      <c r="AA970" s="17"/>
      <c r="AB970" s="17"/>
      <c r="AC970" s="17"/>
      <c r="AD970" s="17"/>
      <c r="AE970" s="17"/>
      <c r="AF970" s="17"/>
      <c r="AG970" s="17"/>
      <c r="AH970" s="17"/>
      <c r="AI970" s="4"/>
      <c r="AJ970" s="4"/>
      <c r="AK970" s="4"/>
      <c r="AL970" s="4"/>
    </row>
    <row r="971" spans="1:38">
      <c r="A971" s="163" t="s">
        <v>25</v>
      </c>
      <c r="B971" s="29" t="s">
        <v>5524</v>
      </c>
      <c r="C971" s="4" t="s">
        <v>5525</v>
      </c>
      <c r="D971" s="130"/>
      <c r="E971" s="2">
        <v>45824</v>
      </c>
      <c r="F971" s="2">
        <f t="shared" si="98"/>
        <v>45838</v>
      </c>
      <c r="G971" s="332" t="s">
        <v>28</v>
      </c>
      <c r="H971" s="41">
        <v>955</v>
      </c>
      <c r="I971" s="1" t="s">
        <v>5526</v>
      </c>
      <c r="J971" s="1" t="s">
        <v>207</v>
      </c>
      <c r="K971" s="1" t="s">
        <v>31</v>
      </c>
      <c r="L971" s="1">
        <v>85286</v>
      </c>
      <c r="M971" s="1" t="s">
        <v>76</v>
      </c>
      <c r="N971" s="4"/>
      <c r="O971" s="1" t="s">
        <v>5527</v>
      </c>
      <c r="P971" s="1" t="s">
        <v>5528</v>
      </c>
      <c r="Q971" s="129" t="s">
        <v>5529</v>
      </c>
      <c r="R971" s="124" t="s">
        <v>314</v>
      </c>
      <c r="S971" s="4"/>
      <c r="T971" s="4"/>
      <c r="U971" s="4"/>
      <c r="V971" s="4" t="s">
        <v>36</v>
      </c>
      <c r="W971" s="4" t="s">
        <v>37</v>
      </c>
      <c r="X971" s="4" t="s">
        <v>38</v>
      </c>
      <c r="Y971" s="235" t="s">
        <v>39</v>
      </c>
      <c r="Z971" s="4"/>
    </row>
    <row r="972" spans="1:38" ht="30">
      <c r="A972" s="163" t="s">
        <v>25</v>
      </c>
      <c r="B972" s="118" t="s">
        <v>372</v>
      </c>
      <c r="C972" s="4" t="s">
        <v>5530</v>
      </c>
      <c r="D972" s="130"/>
      <c r="E972" s="2">
        <v>45834</v>
      </c>
      <c r="F972" s="2">
        <f t="shared" si="98"/>
        <v>45848</v>
      </c>
      <c r="G972" s="331" t="s">
        <v>42</v>
      </c>
      <c r="H972" s="41">
        <v>7301</v>
      </c>
      <c r="I972" s="1" t="s">
        <v>5531</v>
      </c>
      <c r="J972" s="1" t="s">
        <v>398</v>
      </c>
      <c r="K972" s="1" t="s">
        <v>31</v>
      </c>
      <c r="L972" s="1">
        <v>85250</v>
      </c>
      <c r="M972" s="1" t="s">
        <v>32</v>
      </c>
      <c r="N972" s="4"/>
      <c r="O972" s="3" t="s">
        <v>5532</v>
      </c>
      <c r="P972" s="1" t="s">
        <v>5533</v>
      </c>
      <c r="Q972" s="87" t="s">
        <v>5534</v>
      </c>
      <c r="R972" s="31">
        <v>103171</v>
      </c>
      <c r="S972" s="4"/>
      <c r="T972" s="4"/>
      <c r="U972" s="4"/>
      <c r="V972" s="4" t="s">
        <v>36</v>
      </c>
      <c r="W972" s="4" t="s">
        <v>37</v>
      </c>
      <c r="X972" s="1" t="s">
        <v>59</v>
      </c>
      <c r="Y972" s="167" t="s">
        <v>39</v>
      </c>
      <c r="Z972" s="4"/>
      <c r="AA972" s="4"/>
      <c r="AB972" s="4"/>
      <c r="AC972" s="4"/>
      <c r="AD972" s="4"/>
      <c r="AE972" s="4"/>
      <c r="AF972" s="4"/>
      <c r="AG972" s="4"/>
      <c r="AH972" s="4"/>
      <c r="AI972" s="4"/>
      <c r="AJ972" s="4"/>
      <c r="AK972" s="4"/>
      <c r="AL972" s="4"/>
    </row>
    <row r="973" spans="1:38">
      <c r="A973" s="163" t="s">
        <v>25</v>
      </c>
      <c r="B973" s="29" t="s">
        <v>323</v>
      </c>
      <c r="C973" s="4" t="s">
        <v>5535</v>
      </c>
      <c r="D973" s="130"/>
      <c r="E973" s="2">
        <v>45834</v>
      </c>
      <c r="F973" s="2">
        <f>E973+28</f>
        <v>45862</v>
      </c>
      <c r="G973" s="331" t="s">
        <v>42</v>
      </c>
      <c r="H973" s="41">
        <v>4801</v>
      </c>
      <c r="I973" s="1" t="s">
        <v>5536</v>
      </c>
      <c r="J973" s="1" t="s">
        <v>434</v>
      </c>
      <c r="K973" s="1" t="s">
        <v>31</v>
      </c>
      <c r="L973" s="1">
        <v>85034</v>
      </c>
      <c r="M973" s="1" t="s">
        <v>32</v>
      </c>
      <c r="N973" s="4"/>
      <c r="O973" s="1" t="s">
        <v>5537</v>
      </c>
      <c r="P973" s="1" t="s">
        <v>5538</v>
      </c>
      <c r="Q973" s="184" t="s">
        <v>5539</v>
      </c>
      <c r="R973" s="178">
        <v>103292</v>
      </c>
      <c r="S973" s="4"/>
      <c r="T973" s="4"/>
      <c r="U973" s="4"/>
      <c r="V973" s="4" t="s">
        <v>36</v>
      </c>
      <c r="W973" s="4" t="s">
        <v>37</v>
      </c>
      <c r="X973" s="4" t="s">
        <v>38</v>
      </c>
      <c r="Y973" s="235" t="s">
        <v>39</v>
      </c>
      <c r="Z973" s="4"/>
      <c r="AA973" s="4"/>
      <c r="AB973" s="4"/>
      <c r="AC973" s="4"/>
      <c r="AD973" s="4"/>
      <c r="AE973" s="4"/>
      <c r="AF973" s="4"/>
      <c r="AG973" s="4"/>
      <c r="AH973" s="4"/>
      <c r="AI973" s="4"/>
      <c r="AJ973" s="4"/>
      <c r="AK973" s="4"/>
      <c r="AL973" s="4"/>
    </row>
    <row r="974" spans="1:38">
      <c r="A974" s="163" t="s">
        <v>25</v>
      </c>
      <c r="B974" s="29" t="s">
        <v>5540</v>
      </c>
      <c r="C974" s="4" t="s">
        <v>5541</v>
      </c>
      <c r="D974" s="130"/>
      <c r="E974" s="2">
        <v>45827</v>
      </c>
      <c r="F974" s="2">
        <f>E974+14</f>
        <v>45841</v>
      </c>
      <c r="G974" s="2"/>
      <c r="H974" s="41">
        <v>7000</v>
      </c>
      <c r="I974" s="1" t="s">
        <v>5542</v>
      </c>
      <c r="J974" s="1" t="s">
        <v>398</v>
      </c>
      <c r="K974" s="1" t="s">
        <v>31</v>
      </c>
      <c r="L974" s="1">
        <v>85257</v>
      </c>
      <c r="M974" s="1" t="s">
        <v>32</v>
      </c>
      <c r="N974" s="4"/>
      <c r="O974" s="1"/>
      <c r="P974" s="1"/>
      <c r="Q974" s="1"/>
      <c r="R974" s="31">
        <v>108432</v>
      </c>
      <c r="S974" s="4"/>
      <c r="T974" s="4"/>
      <c r="U974" s="4"/>
      <c r="V974" s="4" t="s">
        <v>36</v>
      </c>
      <c r="W974" s="4" t="s">
        <v>37</v>
      </c>
      <c r="X974" s="4" t="s">
        <v>38</v>
      </c>
      <c r="Y974" s="235" t="s">
        <v>39</v>
      </c>
      <c r="Z974" s="4"/>
    </row>
    <row r="975" spans="1:38">
      <c r="A975" s="163" t="s">
        <v>25</v>
      </c>
      <c r="B975" s="29" t="s">
        <v>5543</v>
      </c>
      <c r="C975" s="4" t="s">
        <v>5544</v>
      </c>
      <c r="D975" s="130">
        <v>45643</v>
      </c>
      <c r="E975" s="2">
        <v>45834</v>
      </c>
      <c r="F975" s="2">
        <f>E975+14</f>
        <v>45848</v>
      </c>
      <c r="G975" s="331" t="s">
        <v>28</v>
      </c>
      <c r="H975" s="41">
        <v>3506</v>
      </c>
      <c r="I975" s="1" t="s">
        <v>107</v>
      </c>
      <c r="J975" s="1" t="s">
        <v>63</v>
      </c>
      <c r="K975" s="1" t="s">
        <v>31</v>
      </c>
      <c r="L975" s="1"/>
      <c r="M975" s="1" t="s">
        <v>32</v>
      </c>
      <c r="N975" s="4"/>
      <c r="O975" s="1" t="s">
        <v>5545</v>
      </c>
      <c r="P975" s="1" t="s">
        <v>5546</v>
      </c>
      <c r="Q975" s="273" t="s">
        <v>5547</v>
      </c>
      <c r="R975" s="124" t="s">
        <v>318</v>
      </c>
      <c r="S975" s="4"/>
      <c r="T975" s="4"/>
      <c r="U975" s="4"/>
      <c r="V975" s="4" t="s">
        <v>36</v>
      </c>
      <c r="W975" s="4" t="s">
        <v>37</v>
      </c>
      <c r="X975" s="1" t="s">
        <v>59</v>
      </c>
      <c r="Y975" s="167" t="s">
        <v>39</v>
      </c>
      <c r="Z975" s="4"/>
    </row>
    <row r="976" spans="1:38" ht="17.25" customHeight="1">
      <c r="A976" s="164" t="s">
        <v>812</v>
      </c>
      <c r="B976" s="353" t="s">
        <v>2001</v>
      </c>
      <c r="C976" s="354" t="s">
        <v>5548</v>
      </c>
      <c r="D976" s="312" t="s">
        <v>516</v>
      </c>
      <c r="E976" s="232">
        <v>45831</v>
      </c>
      <c r="F976" s="60">
        <f>E976+28</f>
        <v>45859</v>
      </c>
      <c r="G976" s="335" t="s">
        <v>28</v>
      </c>
      <c r="H976" s="54"/>
      <c r="I976" s="55" t="s">
        <v>4088</v>
      </c>
      <c r="J976" s="55" t="s">
        <v>831</v>
      </c>
      <c r="K976" s="55" t="s">
        <v>31</v>
      </c>
      <c r="L976" s="55"/>
      <c r="M976" s="55" t="s">
        <v>32</v>
      </c>
      <c r="N976" s="56"/>
      <c r="O976" s="55" t="s">
        <v>5549</v>
      </c>
      <c r="P976" s="55" t="s">
        <v>5550</v>
      </c>
      <c r="Q976" s="89" t="s">
        <v>5551</v>
      </c>
      <c r="R976" s="178" t="s">
        <v>314</v>
      </c>
      <c r="S976" s="4"/>
      <c r="T976" s="4"/>
      <c r="U976" s="4"/>
      <c r="V976" s="4" t="s">
        <v>443</v>
      </c>
      <c r="W976" s="4" t="s">
        <v>37</v>
      </c>
      <c r="X976" s="4" t="s">
        <v>616</v>
      </c>
      <c r="Y976" s="235" t="s">
        <v>617</v>
      </c>
      <c r="Z976" s="167" t="s">
        <v>364</v>
      </c>
      <c r="AA976" s="4"/>
      <c r="AB976" s="4"/>
      <c r="AC976" s="4"/>
      <c r="AD976" s="4"/>
      <c r="AE976" s="4"/>
      <c r="AF976" s="4"/>
      <c r="AG976" s="4"/>
      <c r="AH976" s="4"/>
    </row>
    <row r="977" spans="1:38" ht="18" customHeight="1">
      <c r="A977" s="164" t="s">
        <v>812</v>
      </c>
      <c r="B977" s="353" t="s">
        <v>2001</v>
      </c>
      <c r="C977" s="354" t="s">
        <v>5552</v>
      </c>
      <c r="D977" s="312" t="s">
        <v>516</v>
      </c>
      <c r="E977" s="232">
        <v>45831</v>
      </c>
      <c r="F977" s="60">
        <f>E977+28</f>
        <v>45859</v>
      </c>
      <c r="G977" s="335" t="s">
        <v>28</v>
      </c>
      <c r="H977" s="54"/>
      <c r="I977" s="55" t="s">
        <v>4088</v>
      </c>
      <c r="J977" s="55" t="s">
        <v>831</v>
      </c>
      <c r="K977" s="55" t="s">
        <v>31</v>
      </c>
      <c r="L977" s="55"/>
      <c r="M977" s="55" t="s">
        <v>32</v>
      </c>
      <c r="N977" s="56"/>
      <c r="O977" s="55" t="s">
        <v>5549</v>
      </c>
      <c r="P977" s="55" t="s">
        <v>5550</v>
      </c>
      <c r="Q977" s="89" t="s">
        <v>5551</v>
      </c>
      <c r="R977" s="178" t="s">
        <v>314</v>
      </c>
      <c r="S977" s="4"/>
      <c r="T977" s="4"/>
      <c r="U977" s="4"/>
      <c r="V977" s="4" t="s">
        <v>443</v>
      </c>
      <c r="W977" s="4" t="s">
        <v>37</v>
      </c>
      <c r="X977" s="4" t="s">
        <v>616</v>
      </c>
      <c r="Y977" s="235" t="s">
        <v>617</v>
      </c>
      <c r="Z977" s="167" t="s">
        <v>364</v>
      </c>
      <c r="AA977" s="4"/>
      <c r="AB977" s="4"/>
      <c r="AC977" s="4"/>
      <c r="AD977" s="4"/>
      <c r="AE977" s="4"/>
      <c r="AF977" s="4"/>
      <c r="AG977" s="4"/>
      <c r="AH977" s="4"/>
    </row>
    <row r="978" spans="1:38">
      <c r="A978" s="164" t="s">
        <v>812</v>
      </c>
      <c r="B978" s="29" t="s">
        <v>478</v>
      </c>
      <c r="C978" s="350" t="s">
        <v>5553</v>
      </c>
      <c r="D978" s="130"/>
      <c r="E978" s="232">
        <v>45831</v>
      </c>
      <c r="F978" s="2">
        <f>E978+14</f>
        <v>45845</v>
      </c>
      <c r="G978" s="331" t="s">
        <v>42</v>
      </c>
      <c r="H978" s="41">
        <v>17506</v>
      </c>
      <c r="I978" s="1" t="s">
        <v>5554</v>
      </c>
      <c r="J978" s="1" t="s">
        <v>844</v>
      </c>
      <c r="K978" s="1" t="s">
        <v>31</v>
      </c>
      <c r="L978" s="1">
        <v>85338</v>
      </c>
      <c r="M978" s="1" t="s">
        <v>32</v>
      </c>
      <c r="N978" s="4"/>
      <c r="O978" s="1" t="s">
        <v>1656</v>
      </c>
      <c r="P978" s="1" t="s">
        <v>5555</v>
      </c>
      <c r="Q978" s="184" t="s">
        <v>5556</v>
      </c>
      <c r="R978" s="178">
        <v>103582</v>
      </c>
      <c r="S978" s="4"/>
      <c r="T978" s="4"/>
      <c r="U978" s="4"/>
      <c r="V978" s="4" t="s">
        <v>443</v>
      </c>
      <c r="W978" s="4" t="s">
        <v>37</v>
      </c>
      <c r="X978" s="4" t="s">
        <v>616</v>
      </c>
      <c r="Y978" s="235" t="s">
        <v>617</v>
      </c>
      <c r="Z978" s="4"/>
    </row>
    <row r="979" spans="1:38">
      <c r="A979" s="164" t="s">
        <v>812</v>
      </c>
      <c r="B979" s="29" t="s">
        <v>168</v>
      </c>
      <c r="C979" t="s">
        <v>5557</v>
      </c>
      <c r="D979" s="2"/>
      <c r="E979" s="232">
        <v>45827</v>
      </c>
      <c r="F979" s="2">
        <f>E979+14</f>
        <v>45841</v>
      </c>
      <c r="G979" s="331" t="s">
        <v>28</v>
      </c>
      <c r="H979" s="41" t="s">
        <v>43</v>
      </c>
      <c r="I979" s="1" t="s">
        <v>5558</v>
      </c>
      <c r="J979" s="1" t="s">
        <v>934</v>
      </c>
      <c r="K979" s="1" t="s">
        <v>31</v>
      </c>
      <c r="L979" s="1">
        <v>85335</v>
      </c>
      <c r="M979" s="1" t="s">
        <v>32</v>
      </c>
      <c r="N979" s="4"/>
      <c r="O979" s="1" t="s">
        <v>5559</v>
      </c>
      <c r="P979" s="1" t="s">
        <v>965</v>
      </c>
      <c r="Q979" s="87" t="s">
        <v>5560</v>
      </c>
      <c r="R979" s="31">
        <v>97022</v>
      </c>
      <c r="S979" s="4"/>
      <c r="T979" s="4"/>
      <c r="U979" s="4"/>
      <c r="V979" s="4" t="s">
        <v>443</v>
      </c>
      <c r="W979" s="4" t="s">
        <v>37</v>
      </c>
      <c r="X979" s="4" t="s">
        <v>616</v>
      </c>
      <c r="Y979" s="235" t="s">
        <v>617</v>
      </c>
      <c r="Z979" s="167" t="s">
        <v>364</v>
      </c>
      <c r="AA979" s="4"/>
      <c r="AB979" s="4"/>
      <c r="AC979" s="4"/>
      <c r="AD979" s="4"/>
      <c r="AE979" s="4"/>
      <c r="AF979" s="4"/>
      <c r="AG979" s="4"/>
      <c r="AH979" s="4"/>
    </row>
    <row r="980" spans="1:38">
      <c r="A980" s="164" t="s">
        <v>812</v>
      </c>
      <c r="B980" s="261" t="s">
        <v>4385</v>
      </c>
      <c r="C980" s="107" t="s">
        <v>5561</v>
      </c>
      <c r="D980" s="130"/>
      <c r="E980" s="232">
        <v>45831</v>
      </c>
      <c r="F980" s="2">
        <f>E980+14</f>
        <v>45845</v>
      </c>
      <c r="G980" s="331" t="s">
        <v>28</v>
      </c>
      <c r="H980" s="41" t="s">
        <v>528</v>
      </c>
      <c r="I980" s="1" t="s">
        <v>5562</v>
      </c>
      <c r="J980" s="1" t="s">
        <v>844</v>
      </c>
      <c r="K980" s="1" t="s">
        <v>31</v>
      </c>
      <c r="L980" s="1">
        <v>85395</v>
      </c>
      <c r="M980" s="1" t="s">
        <v>32</v>
      </c>
      <c r="N980" s="4"/>
      <c r="O980" s="1" t="s">
        <v>5563</v>
      </c>
      <c r="P980" s="1" t="s">
        <v>5564</v>
      </c>
      <c r="Q980" s="228" t="s">
        <v>5565</v>
      </c>
      <c r="R980" s="31">
        <v>100883</v>
      </c>
      <c r="S980" s="4"/>
      <c r="T980" s="4"/>
      <c r="U980" s="4"/>
      <c r="V980" s="4" t="s">
        <v>443</v>
      </c>
      <c r="W980" s="4" t="s">
        <v>37</v>
      </c>
      <c r="X980" s="4" t="s">
        <v>616</v>
      </c>
      <c r="Y980" s="241" t="s">
        <v>617</v>
      </c>
      <c r="Z980" s="167" t="s">
        <v>364</v>
      </c>
      <c r="AA980" s="4"/>
      <c r="AB980" s="4"/>
      <c r="AC980" s="4"/>
      <c r="AD980" s="4"/>
      <c r="AE980" s="4"/>
      <c r="AF980" s="4"/>
      <c r="AG980" s="4"/>
      <c r="AH980" s="4"/>
      <c r="AI980" s="4"/>
      <c r="AJ980" s="4"/>
      <c r="AK980" s="4"/>
      <c r="AL980" s="4"/>
    </row>
    <row r="981" spans="1:38">
      <c r="A981" s="358" t="s">
        <v>394</v>
      </c>
      <c r="B981" s="29" t="s">
        <v>252</v>
      </c>
      <c r="C981" s="4" t="s">
        <v>5566</v>
      </c>
      <c r="D981" s="130"/>
      <c r="E981" s="2">
        <v>45832</v>
      </c>
      <c r="F981" s="2">
        <f>E981+14</f>
        <v>45846</v>
      </c>
      <c r="G981" s="331" t="s">
        <v>42</v>
      </c>
      <c r="H981" s="41">
        <v>14811</v>
      </c>
      <c r="I981" s="1" t="s">
        <v>1907</v>
      </c>
      <c r="J981" s="1" t="s">
        <v>398</v>
      </c>
      <c r="K981" s="1" t="s">
        <v>31</v>
      </c>
      <c r="L981" s="1">
        <v>85254</v>
      </c>
      <c r="M981" s="1" t="s">
        <v>32</v>
      </c>
      <c r="N981" s="4"/>
      <c r="O981" s="1" t="s">
        <v>5567</v>
      </c>
      <c r="P981" s="1" t="s">
        <v>5568</v>
      </c>
      <c r="Q981" s="87" t="s">
        <v>5569</v>
      </c>
      <c r="R981" s="31">
        <v>97996</v>
      </c>
      <c r="S981" s="4"/>
      <c r="T981" s="4"/>
      <c r="U981" s="4"/>
      <c r="V981" s="4" t="s">
        <v>36</v>
      </c>
      <c r="W981" s="4" t="s">
        <v>37</v>
      </c>
      <c r="X981" s="17" t="s">
        <v>98</v>
      </c>
      <c r="Y981" s="302" t="s">
        <v>99</v>
      </c>
      <c r="Z981" s="4"/>
      <c r="AA981" s="4"/>
      <c r="AB981" s="4"/>
      <c r="AC981" s="4"/>
      <c r="AD981" s="4"/>
      <c r="AE981" s="4"/>
      <c r="AF981" s="4"/>
      <c r="AG981" s="4"/>
      <c r="AH981" s="4"/>
    </row>
    <row r="982" spans="1:38">
      <c r="A982" s="358" t="s">
        <v>394</v>
      </c>
      <c r="B982" s="29" t="s">
        <v>226</v>
      </c>
      <c r="C982" s="4" t="s">
        <v>5570</v>
      </c>
      <c r="D982" s="2">
        <v>44830</v>
      </c>
      <c r="E982" s="232">
        <v>45832</v>
      </c>
      <c r="F982" s="2">
        <f>E982+14</f>
        <v>45846</v>
      </c>
      <c r="G982" s="357" t="s">
        <v>42</v>
      </c>
      <c r="H982" s="41">
        <v>50</v>
      </c>
      <c r="I982" s="1" t="s">
        <v>5571</v>
      </c>
      <c r="J982" s="1" t="s">
        <v>434</v>
      </c>
      <c r="K982" s="1" t="s">
        <v>31</v>
      </c>
      <c r="L982" s="1"/>
      <c r="M982" s="1" t="s">
        <v>32</v>
      </c>
      <c r="N982" s="4"/>
      <c r="O982" s="1" t="s">
        <v>5572</v>
      </c>
      <c r="P982" s="1" t="s">
        <v>5573</v>
      </c>
      <c r="Q982" s="87" t="s">
        <v>5574</v>
      </c>
      <c r="R982" s="31">
        <v>96157</v>
      </c>
      <c r="S982" s="4"/>
      <c r="T982" s="4"/>
      <c r="U982" s="4"/>
      <c r="V982" s="4" t="s">
        <v>443</v>
      </c>
      <c r="W982" s="4" t="s">
        <v>37</v>
      </c>
      <c r="X982" s="17" t="s">
        <v>98</v>
      </c>
      <c r="Y982" s="302" t="s">
        <v>99</v>
      </c>
      <c r="Z982" s="167"/>
      <c r="AA982" s="4"/>
      <c r="AB982" s="4"/>
      <c r="AC982" s="4"/>
      <c r="AD982" s="4"/>
      <c r="AE982" s="4"/>
      <c r="AF982" s="4"/>
      <c r="AG982" s="4"/>
      <c r="AH982" s="4"/>
      <c r="AI982" s="4"/>
      <c r="AJ982" s="4"/>
      <c r="AK982" s="4"/>
      <c r="AL982" s="4"/>
    </row>
    <row r="983" spans="1:38">
      <c r="A983" s="289" t="s">
        <v>812</v>
      </c>
      <c r="B983" s="326" t="s">
        <v>5575</v>
      </c>
      <c r="C983" s="326" t="s">
        <v>5576</v>
      </c>
      <c r="D983" s="297" t="s">
        <v>554</v>
      </c>
      <c r="E983" s="328">
        <v>45845</v>
      </c>
      <c r="F983" s="2">
        <f>E983+14</f>
        <v>45859</v>
      </c>
      <c r="G983" s="313" t="s">
        <v>42</v>
      </c>
      <c r="H983" s="297">
        <v>1003</v>
      </c>
      <c r="I983" s="297" t="s">
        <v>5577</v>
      </c>
      <c r="J983" s="297" t="s">
        <v>844</v>
      </c>
      <c r="K983" s="297" t="s">
        <v>31</v>
      </c>
      <c r="L983" s="297">
        <v>85338</v>
      </c>
      <c r="M983" s="297" t="s">
        <v>32</v>
      </c>
      <c r="N983" s="297" t="s">
        <v>1193</v>
      </c>
      <c r="O983" s="297"/>
      <c r="P983" s="297" t="s">
        <v>5578</v>
      </c>
      <c r="Q983" s="129" t="s">
        <v>5579</v>
      </c>
      <c r="R983" s="297">
        <v>100767</v>
      </c>
      <c r="S983" s="297" t="s">
        <v>37</v>
      </c>
      <c r="T983" s="297" t="s">
        <v>616</v>
      </c>
      <c r="U983" s="345" t="s">
        <v>617</v>
      </c>
      <c r="V983" s="4" t="s">
        <v>443</v>
      </c>
      <c r="W983" s="4" t="s">
        <v>37</v>
      </c>
      <c r="X983" s="4" t="s">
        <v>616</v>
      </c>
      <c r="Y983" s="235" t="s">
        <v>617</v>
      </c>
      <c r="Z983" s="297" t="s">
        <v>554</v>
      </c>
      <c r="AA983" s="297" t="s">
        <v>554</v>
      </c>
      <c r="AB983" s="297" t="s">
        <v>554</v>
      </c>
      <c r="AC983" s="297" t="s">
        <v>554</v>
      </c>
      <c r="AD983" s="297" t="s">
        <v>554</v>
      </c>
      <c r="AE983" s="297" t="s">
        <v>554</v>
      </c>
      <c r="AF983" s="297" t="s">
        <v>554</v>
      </c>
      <c r="AG983" s="297" t="s">
        <v>554</v>
      </c>
      <c r="AH983" s="297" t="s">
        <v>554</v>
      </c>
      <c r="AI983" s="4"/>
      <c r="AJ983" s="4"/>
      <c r="AK983" s="4"/>
      <c r="AL983" s="4"/>
    </row>
    <row r="984" spans="1:38">
      <c r="A984" s="163" t="s">
        <v>25</v>
      </c>
      <c r="B984" s="29" t="s">
        <v>5580</v>
      </c>
      <c r="C984" s="4" t="s">
        <v>5581</v>
      </c>
      <c r="D984" s="130" t="s">
        <v>5582</v>
      </c>
      <c r="E984" s="2">
        <v>45839</v>
      </c>
      <c r="F984" s="2">
        <f>E984+14</f>
        <v>45853</v>
      </c>
      <c r="G984" s="331" t="s">
        <v>42</v>
      </c>
      <c r="H984" s="41">
        <v>11623</v>
      </c>
      <c r="I984" s="1" t="s">
        <v>5583</v>
      </c>
      <c r="J984" s="1" t="s">
        <v>63</v>
      </c>
      <c r="K984" s="1" t="s">
        <v>31</v>
      </c>
      <c r="L984" s="1">
        <v>85212</v>
      </c>
      <c r="M984" s="1" t="s">
        <v>32</v>
      </c>
      <c r="N984" s="4"/>
      <c r="O984" s="1" t="s">
        <v>5584</v>
      </c>
      <c r="P984" s="1" t="s">
        <v>5585</v>
      </c>
      <c r="Q984" s="87" t="s">
        <v>5586</v>
      </c>
      <c r="R984" s="31">
        <v>108400</v>
      </c>
      <c r="S984" s="4"/>
      <c r="T984" s="4"/>
      <c r="U984" s="4"/>
      <c r="V984" s="4" t="s">
        <v>36</v>
      </c>
      <c r="W984" s="4" t="s">
        <v>37</v>
      </c>
      <c r="X984" s="1" t="s">
        <v>59</v>
      </c>
      <c r="Y984" s="167" t="s">
        <v>39</v>
      </c>
      <c r="Z984" s="4"/>
    </row>
    <row r="985" spans="1:38">
      <c r="A985" s="163" t="s">
        <v>25</v>
      </c>
      <c r="B985" s="70" t="s">
        <v>150</v>
      </c>
      <c r="C985" s="4" t="s">
        <v>5587</v>
      </c>
      <c r="D985" s="130"/>
      <c r="E985" s="2">
        <v>45841</v>
      </c>
      <c r="F985" s="2">
        <f>E985+14</f>
        <v>45855</v>
      </c>
      <c r="G985" s="332" t="s">
        <v>28</v>
      </c>
      <c r="H985" s="41">
        <v>9560</v>
      </c>
      <c r="I985" s="1" t="s">
        <v>3232</v>
      </c>
      <c r="J985" s="1" t="s">
        <v>63</v>
      </c>
      <c r="K985" s="1" t="s">
        <v>31</v>
      </c>
      <c r="L985" s="1">
        <v>85212</v>
      </c>
      <c r="M985" s="1" t="s">
        <v>32</v>
      </c>
      <c r="N985" s="4"/>
      <c r="O985" s="1" t="s">
        <v>1813</v>
      </c>
      <c r="P985" s="1" t="s">
        <v>1814</v>
      </c>
      <c r="Q985" s="87" t="s">
        <v>5588</v>
      </c>
      <c r="R985" s="31">
        <v>99970</v>
      </c>
      <c r="S985" s="4"/>
      <c r="T985" s="4"/>
      <c r="U985" s="4"/>
      <c r="V985" s="4" t="s">
        <v>36</v>
      </c>
      <c r="W985" s="4" t="s">
        <v>37</v>
      </c>
      <c r="X985" s="1" t="s">
        <v>59</v>
      </c>
      <c r="Y985" s="167" t="s">
        <v>39</v>
      </c>
      <c r="Z985" s="4"/>
    </row>
    <row r="986" spans="1:38">
      <c r="A986" s="163" t="s">
        <v>25</v>
      </c>
      <c r="B986" s="15" t="s">
        <v>150</v>
      </c>
      <c r="C986" s="29" t="s">
        <v>5589</v>
      </c>
      <c r="D986" s="26">
        <v>45507</v>
      </c>
      <c r="E986" s="2">
        <v>45841</v>
      </c>
      <c r="F986" s="2">
        <f>E986+14</f>
        <v>45855</v>
      </c>
      <c r="G986" s="42" t="s">
        <v>28</v>
      </c>
      <c r="H986" s="1">
        <v>21942</v>
      </c>
      <c r="I986" s="1" t="s">
        <v>5590</v>
      </c>
      <c r="J986" s="1" t="s">
        <v>129</v>
      </c>
      <c r="K986" s="1" t="s">
        <v>31</v>
      </c>
      <c r="L986" s="1">
        <v>85142</v>
      </c>
      <c r="M986" s="1" t="s">
        <v>32</v>
      </c>
      <c r="N986" s="4"/>
      <c r="O986" s="1" t="s">
        <v>5591</v>
      </c>
      <c r="P986" s="1" t="s">
        <v>4552</v>
      </c>
      <c r="Q986" s="255" t="s">
        <v>5592</v>
      </c>
      <c r="R986" s="125" t="s">
        <v>156</v>
      </c>
      <c r="S986" s="4"/>
      <c r="T986" s="4"/>
      <c r="U986" s="4"/>
      <c r="V986" s="4" t="s">
        <v>36</v>
      </c>
      <c r="W986" s="4" t="s">
        <v>37</v>
      </c>
      <c r="X986" s="4" t="s">
        <v>38</v>
      </c>
      <c r="Y986" s="235" t="s">
        <v>39</v>
      </c>
      <c r="Z986" s="168"/>
      <c r="AA986" s="4"/>
      <c r="AB986" s="4"/>
      <c r="AC986" s="4"/>
      <c r="AD986" s="4"/>
      <c r="AE986" s="4"/>
      <c r="AF986" s="4"/>
      <c r="AG986" s="4"/>
      <c r="AH986" s="4"/>
      <c r="AI986" s="4"/>
      <c r="AJ986" s="4"/>
      <c r="AK986" s="4"/>
      <c r="AL986" s="4"/>
    </row>
    <row r="987" spans="1:38">
      <c r="A987" s="164" t="s">
        <v>812</v>
      </c>
      <c r="B987" s="29" t="s">
        <v>4692</v>
      </c>
      <c r="C987" s="4" t="s">
        <v>5593</v>
      </c>
      <c r="D987" s="2"/>
      <c r="E987" s="232">
        <v>45839</v>
      </c>
      <c r="F987" s="2">
        <f>E987+14</f>
        <v>45853</v>
      </c>
      <c r="G987" s="331" t="s">
        <v>42</v>
      </c>
      <c r="H987" s="41" t="s">
        <v>43</v>
      </c>
      <c r="I987" s="1" t="s">
        <v>5594</v>
      </c>
      <c r="J987" s="1" t="s">
        <v>844</v>
      </c>
      <c r="K987" s="1" t="s">
        <v>31</v>
      </c>
      <c r="L987" s="1">
        <v>85338</v>
      </c>
      <c r="M987" s="1" t="s">
        <v>32</v>
      </c>
      <c r="N987" s="4"/>
      <c r="O987" s="253" t="s">
        <v>5595</v>
      </c>
      <c r="P987" s="1" t="s">
        <v>5596</v>
      </c>
      <c r="Q987" s="87" t="s">
        <v>5597</v>
      </c>
      <c r="R987" s="31">
        <v>103392</v>
      </c>
      <c r="S987" s="4"/>
      <c r="T987" s="4"/>
      <c r="U987" s="4"/>
      <c r="V987" s="4" t="s">
        <v>443</v>
      </c>
      <c r="W987" s="4" t="s">
        <v>37</v>
      </c>
      <c r="X987" s="4" t="s">
        <v>616</v>
      </c>
      <c r="Y987" s="235" t="s">
        <v>617</v>
      </c>
      <c r="Z987" s="167" t="s">
        <v>364</v>
      </c>
      <c r="AA987" s="4"/>
      <c r="AB987" s="4"/>
      <c r="AC987" s="4"/>
      <c r="AD987" s="4"/>
      <c r="AE987" s="4"/>
      <c r="AF987" s="4"/>
      <c r="AG987" s="4"/>
      <c r="AH987" s="4"/>
      <c r="AI987" s="4"/>
      <c r="AJ987" s="4"/>
      <c r="AK987" s="4"/>
      <c r="AL987" s="4"/>
    </row>
    <row r="988" spans="1:38">
      <c r="A988" s="358" t="s">
        <v>394</v>
      </c>
      <c r="B988" s="15" t="s">
        <v>226</v>
      </c>
      <c r="C988" s="4" t="s">
        <v>5598</v>
      </c>
      <c r="D988" s="130" t="s">
        <v>516</v>
      </c>
      <c r="E988" s="232">
        <v>45826</v>
      </c>
      <c r="F988" s="2">
        <f>E988+28</f>
        <v>45854</v>
      </c>
      <c r="G988" s="332" t="s">
        <v>42</v>
      </c>
      <c r="H988" s="41">
        <v>25100</v>
      </c>
      <c r="I988" s="1" t="s">
        <v>5599</v>
      </c>
      <c r="J988" s="1" t="s">
        <v>434</v>
      </c>
      <c r="K988" s="1" t="s">
        <v>31</v>
      </c>
      <c r="L988" s="1">
        <v>85085</v>
      </c>
      <c r="M988" s="1" t="s">
        <v>32</v>
      </c>
      <c r="N988" s="4"/>
      <c r="O988" s="1" t="s">
        <v>4810</v>
      </c>
      <c r="P988" s="179" t="s">
        <v>5057</v>
      </c>
      <c r="Q988" s="265" t="s">
        <v>5058</v>
      </c>
      <c r="R988" s="178">
        <v>100770</v>
      </c>
      <c r="S988" s="4"/>
      <c r="T988" s="4"/>
      <c r="U988" s="4"/>
      <c r="V988" s="4" t="s">
        <v>443</v>
      </c>
      <c r="W988" s="4" t="s">
        <v>37</v>
      </c>
      <c r="X988" s="17" t="s">
        <v>98</v>
      </c>
      <c r="Y988" s="302" t="s">
        <v>99</v>
      </c>
      <c r="Z988" s="167" t="s">
        <v>364</v>
      </c>
      <c r="AA988" s="4"/>
      <c r="AB988" s="4"/>
      <c r="AC988" s="4"/>
      <c r="AD988" s="4"/>
      <c r="AE988" s="4"/>
      <c r="AF988" s="4"/>
      <c r="AG988" s="4"/>
      <c r="AH988" s="4"/>
      <c r="AI988" s="4"/>
      <c r="AJ988" s="4"/>
      <c r="AK988" s="4"/>
      <c r="AL988" s="4"/>
    </row>
    <row r="989" spans="1:38">
      <c r="A989" s="358" t="s">
        <v>394</v>
      </c>
      <c r="B989" s="15" t="s">
        <v>5600</v>
      </c>
      <c r="C989" s="29" t="s">
        <v>5601</v>
      </c>
      <c r="D989" s="1"/>
      <c r="E989" s="232">
        <v>45846</v>
      </c>
      <c r="F989" s="2">
        <f>E989+14</f>
        <v>45860</v>
      </c>
      <c r="G989" s="42" t="s">
        <v>42</v>
      </c>
      <c r="H989" s="1">
        <v>1510</v>
      </c>
      <c r="I989" s="1" t="s">
        <v>5450</v>
      </c>
      <c r="J989" s="1" t="s">
        <v>434</v>
      </c>
      <c r="K989" s="1" t="s">
        <v>31</v>
      </c>
      <c r="L989" s="1">
        <v>85006</v>
      </c>
      <c r="M989" s="1" t="s">
        <v>32</v>
      </c>
      <c r="N989" s="4"/>
      <c r="O989" s="1" t="s">
        <v>5451</v>
      </c>
      <c r="P989" s="1" t="s">
        <v>5452</v>
      </c>
      <c r="Q989" s="87" t="s">
        <v>5453</v>
      </c>
      <c r="R989" s="1"/>
      <c r="S989" s="4"/>
      <c r="T989" s="4"/>
      <c r="U989" s="4"/>
      <c r="V989" s="4" t="s">
        <v>443</v>
      </c>
      <c r="W989" s="4" t="s">
        <v>37</v>
      </c>
      <c r="X989" s="17" t="s">
        <v>98</v>
      </c>
      <c r="Y989" s="302" t="s">
        <v>99</v>
      </c>
      <c r="Z989" s="167" t="s">
        <v>364</v>
      </c>
    </row>
    <row r="990" spans="1:38">
      <c r="A990" s="358" t="s">
        <v>394</v>
      </c>
      <c r="B990" s="68" t="s">
        <v>2496</v>
      </c>
      <c r="C990" s="4" t="s">
        <v>5602</v>
      </c>
      <c r="D990" s="130"/>
      <c r="E990" s="2">
        <v>45842</v>
      </c>
      <c r="F990" s="2">
        <f>E990+14</f>
        <v>45856</v>
      </c>
      <c r="G990" s="331" t="s">
        <v>28</v>
      </c>
      <c r="H990" s="41" t="s">
        <v>528</v>
      </c>
      <c r="I990" s="1" t="s">
        <v>5603</v>
      </c>
      <c r="J990" s="1" t="s">
        <v>69</v>
      </c>
      <c r="K990" s="1" t="s">
        <v>31</v>
      </c>
      <c r="L990" s="1"/>
      <c r="M990" s="1" t="s">
        <v>32</v>
      </c>
      <c r="N990" s="4"/>
      <c r="O990" s="1" t="s">
        <v>5604</v>
      </c>
      <c r="P990" s="1" t="s">
        <v>5605</v>
      </c>
      <c r="Q990" s="87" t="s">
        <v>5606</v>
      </c>
      <c r="R990" s="31">
        <v>89416</v>
      </c>
      <c r="S990" s="4"/>
      <c r="T990" s="4"/>
      <c r="U990" s="4"/>
      <c r="V990" s="4" t="s">
        <v>36</v>
      </c>
      <c r="W990" s="4" t="s">
        <v>37</v>
      </c>
      <c r="X990" s="17" t="s">
        <v>98</v>
      </c>
      <c r="Y990" s="302" t="s">
        <v>99</v>
      </c>
      <c r="Z990" s="4"/>
    </row>
    <row r="991" spans="1:38">
      <c r="A991" s="164" t="s">
        <v>812</v>
      </c>
      <c r="B991" s="29" t="s">
        <v>938</v>
      </c>
      <c r="C991" s="4" t="s">
        <v>5607</v>
      </c>
      <c r="D991" s="2"/>
      <c r="E991" s="232">
        <v>45846</v>
      </c>
      <c r="F991" s="2">
        <f>E991+14</f>
        <v>45860</v>
      </c>
      <c r="G991" s="331" t="s">
        <v>42</v>
      </c>
      <c r="H991" s="41">
        <v>5909</v>
      </c>
      <c r="I991" s="1" t="s">
        <v>3132</v>
      </c>
      <c r="J991" s="1" t="s">
        <v>612</v>
      </c>
      <c r="K991" s="1" t="s">
        <v>31</v>
      </c>
      <c r="L991" s="1">
        <v>85340</v>
      </c>
      <c r="M991" s="1" t="s">
        <v>32</v>
      </c>
      <c r="N991" s="4"/>
      <c r="O991" s="1" t="s">
        <v>5608</v>
      </c>
      <c r="P991" s="1" t="s">
        <v>5609</v>
      </c>
      <c r="Q991" s="87" t="s">
        <v>950</v>
      </c>
      <c r="R991" s="31">
        <v>102397</v>
      </c>
      <c r="S991" s="4"/>
      <c r="T991" s="4"/>
      <c r="U991" s="4"/>
      <c r="V991" s="4" t="s">
        <v>443</v>
      </c>
      <c r="W991" s="4" t="s">
        <v>37</v>
      </c>
      <c r="X991" s="4" t="s">
        <v>616</v>
      </c>
      <c r="Y991" s="235" t="s">
        <v>617</v>
      </c>
      <c r="Z991" s="167" t="s">
        <v>364</v>
      </c>
    </row>
    <row r="992" spans="1:38">
      <c r="A992" s="164" t="s">
        <v>812</v>
      </c>
      <c r="B992" s="15" t="s">
        <v>1570</v>
      </c>
      <c r="C992" s="29" t="s">
        <v>5610</v>
      </c>
      <c r="D992" s="130" t="s">
        <v>516</v>
      </c>
      <c r="E992" s="232">
        <v>45846</v>
      </c>
      <c r="F992" s="2">
        <f>E992+28</f>
        <v>45874</v>
      </c>
      <c r="G992" s="331" t="s">
        <v>28</v>
      </c>
      <c r="H992" s="1">
        <v>7007</v>
      </c>
      <c r="I992" s="1" t="s">
        <v>5611</v>
      </c>
      <c r="J992" s="1" t="s">
        <v>851</v>
      </c>
      <c r="K992" s="1" t="s">
        <v>31</v>
      </c>
      <c r="L992" s="1"/>
      <c r="M992" s="1" t="s">
        <v>32</v>
      </c>
      <c r="N992" s="4"/>
      <c r="O992" s="1" t="s">
        <v>5612</v>
      </c>
      <c r="P992" s="1" t="s">
        <v>5613</v>
      </c>
      <c r="Q992" s="184" t="s">
        <v>5614</v>
      </c>
      <c r="R992" s="266" t="s">
        <v>314</v>
      </c>
      <c r="S992" s="4"/>
      <c r="T992" s="4"/>
      <c r="U992" s="4"/>
      <c r="V992" s="4" t="s">
        <v>443</v>
      </c>
      <c r="W992" s="4" t="s">
        <v>37</v>
      </c>
      <c r="X992" s="4" t="s">
        <v>616</v>
      </c>
      <c r="Y992" s="235" t="s">
        <v>617</v>
      </c>
      <c r="Z992" s="4"/>
      <c r="AA992" s="4"/>
      <c r="AB992" s="4"/>
      <c r="AC992" s="4"/>
      <c r="AD992" s="4"/>
      <c r="AE992" s="4"/>
      <c r="AF992" s="4"/>
      <c r="AG992" s="4"/>
      <c r="AH992" s="4"/>
      <c r="AI992" s="4"/>
      <c r="AJ992" s="4"/>
      <c r="AK992" s="4"/>
      <c r="AL992" s="4"/>
    </row>
    <row r="993" spans="1:38">
      <c r="A993" s="358" t="s">
        <v>394</v>
      </c>
      <c r="B993" s="311" t="s">
        <v>5615</v>
      </c>
      <c r="C993" s="4" t="s">
        <v>5616</v>
      </c>
      <c r="D993" s="2"/>
      <c r="E993" s="232">
        <v>45841</v>
      </c>
      <c r="F993" s="2">
        <f>E993+14</f>
        <v>45855</v>
      </c>
      <c r="G993" s="332" t="s">
        <v>28</v>
      </c>
      <c r="H993" s="41">
        <v>17336</v>
      </c>
      <c r="I993" s="1" t="s">
        <v>611</v>
      </c>
      <c r="J993" s="1" t="s">
        <v>612</v>
      </c>
      <c r="K993" s="1" t="s">
        <v>31</v>
      </c>
      <c r="L993" s="1">
        <v>85340</v>
      </c>
      <c r="M993" s="1" t="s">
        <v>32</v>
      </c>
      <c r="N993" s="4"/>
      <c r="O993" s="1"/>
      <c r="P993" s="1" t="s">
        <v>5617</v>
      </c>
      <c r="Q993" s="87" t="s">
        <v>5618</v>
      </c>
      <c r="R993" s="31">
        <v>103583</v>
      </c>
      <c r="S993" s="4"/>
      <c r="T993" s="4"/>
      <c r="U993" s="4"/>
      <c r="V993" s="4" t="s">
        <v>443</v>
      </c>
      <c r="W993" s="4" t="s">
        <v>37</v>
      </c>
      <c r="X993" s="17" t="s">
        <v>98</v>
      </c>
      <c r="Y993" s="302" t="s">
        <v>99</v>
      </c>
      <c r="Z993" s="167" t="s">
        <v>364</v>
      </c>
      <c r="AA993" s="4"/>
      <c r="AB993" s="4"/>
      <c r="AC993" s="4"/>
      <c r="AD993" s="4"/>
      <c r="AE993" s="4"/>
      <c r="AF993" s="4"/>
      <c r="AG993" s="4"/>
      <c r="AH993" s="4"/>
    </row>
    <row r="994" spans="1:38">
      <c r="A994" s="358" t="s">
        <v>394</v>
      </c>
      <c r="B994" s="311" t="s">
        <v>5619</v>
      </c>
      <c r="C994" s="342" t="s">
        <v>5620</v>
      </c>
      <c r="D994" s="2"/>
      <c r="E994" s="232">
        <v>45855</v>
      </c>
      <c r="F994" s="341">
        <f>E994+7</f>
        <v>45862</v>
      </c>
      <c r="G994" s="356"/>
      <c r="H994" s="41">
        <v>17408</v>
      </c>
      <c r="I994" s="1" t="s">
        <v>611</v>
      </c>
      <c r="J994" s="1" t="s">
        <v>612</v>
      </c>
      <c r="K994" s="1" t="s">
        <v>31</v>
      </c>
      <c r="L994" s="1">
        <v>85340</v>
      </c>
      <c r="M994" s="1" t="s">
        <v>32</v>
      </c>
      <c r="N994" s="4"/>
      <c r="O994" s="1"/>
      <c r="P994" s="1"/>
      <c r="Q994" s="87" t="s">
        <v>5621</v>
      </c>
      <c r="R994" s="31"/>
      <c r="S994" s="4"/>
      <c r="T994" s="4"/>
      <c r="U994" s="4"/>
      <c r="V994" s="4" t="s">
        <v>443</v>
      </c>
      <c r="W994" s="4" t="s">
        <v>37</v>
      </c>
      <c r="X994" s="17" t="s">
        <v>616</v>
      </c>
      <c r="Y994" s="302" t="s">
        <v>617</v>
      </c>
      <c r="Z994" s="167" t="s">
        <v>364</v>
      </c>
      <c r="AA994" s="4"/>
      <c r="AB994" s="4"/>
      <c r="AC994" s="4"/>
      <c r="AD994" s="4"/>
      <c r="AE994" s="4"/>
      <c r="AF994" s="4"/>
      <c r="AG994" s="4"/>
      <c r="AH994" s="4"/>
      <c r="AI994" s="4"/>
      <c r="AJ994" s="4"/>
      <c r="AK994" s="4"/>
      <c r="AL994" s="4"/>
    </row>
    <row r="995" spans="1:38">
      <c r="A995" s="163" t="s">
        <v>25</v>
      </c>
      <c r="B995" s="29" t="s">
        <v>2885</v>
      </c>
      <c r="C995" s="4" t="s">
        <v>5622</v>
      </c>
      <c r="D995" s="130">
        <v>45720</v>
      </c>
      <c r="E995" s="2">
        <v>45849</v>
      </c>
      <c r="F995" s="2">
        <f>E995+14</f>
        <v>45863</v>
      </c>
      <c r="G995" s="332" t="s">
        <v>42</v>
      </c>
      <c r="H995" s="41">
        <v>20948</v>
      </c>
      <c r="I995" s="1" t="s">
        <v>5526</v>
      </c>
      <c r="J995" s="1" t="s">
        <v>129</v>
      </c>
      <c r="K995" s="1" t="s">
        <v>31</v>
      </c>
      <c r="L995" s="1">
        <v>85142</v>
      </c>
      <c r="M995" s="1" t="s">
        <v>32</v>
      </c>
      <c r="N995" s="4"/>
      <c r="O995" s="1" t="s">
        <v>5623</v>
      </c>
      <c r="P995" s="1" t="s">
        <v>5624</v>
      </c>
      <c r="Q995" s="129" t="s">
        <v>5625</v>
      </c>
      <c r="R995" s="31">
        <v>104760</v>
      </c>
      <c r="S995" s="4"/>
      <c r="T995" s="4"/>
      <c r="U995" s="4"/>
      <c r="V995" s="4" t="s">
        <v>36</v>
      </c>
      <c r="W995" s="4" t="s">
        <v>37</v>
      </c>
      <c r="X995" s="4" t="s">
        <v>38</v>
      </c>
      <c r="Y995" s="235" t="s">
        <v>39</v>
      </c>
      <c r="Z995" s="4"/>
    </row>
    <row r="996" spans="1:38">
      <c r="A996" s="164" t="s">
        <v>812</v>
      </c>
      <c r="B996" s="15" t="s">
        <v>5626</v>
      </c>
      <c r="C996" s="4" t="s">
        <v>5627</v>
      </c>
      <c r="D996" s="2"/>
      <c r="E996" s="232">
        <v>45861</v>
      </c>
      <c r="F996" s="2">
        <f>E996+14</f>
        <v>45875</v>
      </c>
      <c r="G996" s="332" t="s">
        <v>722</v>
      </c>
      <c r="H996" s="1">
        <v>5051</v>
      </c>
      <c r="I996" s="1" t="s">
        <v>850</v>
      </c>
      <c r="J996" s="1" t="s">
        <v>822</v>
      </c>
      <c r="K996" s="1" t="s">
        <v>31</v>
      </c>
      <c r="L996" s="1">
        <v>85304</v>
      </c>
      <c r="M996" s="1" t="s">
        <v>32</v>
      </c>
      <c r="N996" s="4"/>
      <c r="O996" s="1" t="s">
        <v>5628</v>
      </c>
      <c r="P996" s="1" t="s">
        <v>5629</v>
      </c>
      <c r="Q996" s="129" t="s">
        <v>5630</v>
      </c>
      <c r="R996" s="179">
        <v>107356</v>
      </c>
      <c r="S996" s="4"/>
      <c r="T996" s="4"/>
      <c r="U996" s="4"/>
      <c r="V996" s="4" t="s">
        <v>443</v>
      </c>
      <c r="W996" s="4" t="s">
        <v>37</v>
      </c>
      <c r="X996" s="4" t="s">
        <v>616</v>
      </c>
      <c r="Y996" s="241" t="s">
        <v>617</v>
      </c>
      <c r="Z996" s="168"/>
      <c r="AA996" s="4"/>
      <c r="AB996" s="4"/>
      <c r="AC996" s="4"/>
      <c r="AD996" s="4"/>
      <c r="AE996" s="4"/>
      <c r="AF996" s="4"/>
      <c r="AG996" s="4"/>
      <c r="AH996" s="4"/>
      <c r="AI996" s="4"/>
      <c r="AJ996" s="4"/>
      <c r="AK996" s="4"/>
      <c r="AL996" s="4"/>
    </row>
    <row r="997" spans="1:38">
      <c r="A997" s="163" t="s">
        <v>25</v>
      </c>
      <c r="B997" s="29" t="s">
        <v>1040</v>
      </c>
      <c r="C997" s="4" t="s">
        <v>5631</v>
      </c>
      <c r="D997" s="130"/>
      <c r="E997" s="2">
        <v>45845</v>
      </c>
      <c r="F997" s="2">
        <f>E997+14</f>
        <v>45859</v>
      </c>
      <c r="G997" s="331" t="s">
        <v>42</v>
      </c>
      <c r="H997" s="41">
        <v>44170</v>
      </c>
      <c r="I997" s="1" t="s">
        <v>5632</v>
      </c>
      <c r="J997" s="1" t="s">
        <v>45</v>
      </c>
      <c r="K997" s="1" t="s">
        <v>31</v>
      </c>
      <c r="L997" s="1"/>
      <c r="M997" s="1" t="s">
        <v>32</v>
      </c>
      <c r="N997" s="4"/>
      <c r="O997" s="1" t="s">
        <v>5633</v>
      </c>
      <c r="P997" s="1" t="s">
        <v>5634</v>
      </c>
      <c r="Q997" s="87" t="s">
        <v>5635</v>
      </c>
      <c r="R997" s="31" t="s">
        <v>35</v>
      </c>
      <c r="S997" s="4"/>
      <c r="T997" s="4"/>
      <c r="U997" s="4"/>
      <c r="V997" s="4" t="s">
        <v>36</v>
      </c>
      <c r="W997" s="4" t="s">
        <v>37</v>
      </c>
      <c r="X997" s="1" t="s">
        <v>59</v>
      </c>
      <c r="Y997" s="167" t="s">
        <v>39</v>
      </c>
      <c r="Z997" s="4"/>
    </row>
    <row r="998" spans="1:38">
      <c r="A998" s="358" t="s">
        <v>394</v>
      </c>
      <c r="B998" s="15" t="s">
        <v>2303</v>
      </c>
      <c r="C998" s="29" t="s">
        <v>5636</v>
      </c>
      <c r="D998" s="2">
        <v>44823</v>
      </c>
      <c r="E998" s="232">
        <v>45845</v>
      </c>
      <c r="F998" s="2">
        <f>E998+14</f>
        <v>45859</v>
      </c>
      <c r="G998" s="42" t="s">
        <v>28</v>
      </c>
      <c r="H998" s="1">
        <v>802</v>
      </c>
      <c r="I998" s="1" t="s">
        <v>5637</v>
      </c>
      <c r="J998" s="1" t="s">
        <v>434</v>
      </c>
      <c r="K998" s="1" t="s">
        <v>31</v>
      </c>
      <c r="L998" s="1">
        <v>85003</v>
      </c>
      <c r="M998" s="1" t="s">
        <v>32</v>
      </c>
      <c r="N998" s="4"/>
      <c r="O998" s="1" t="s">
        <v>5638</v>
      </c>
      <c r="P998" s="1" t="s">
        <v>5639</v>
      </c>
      <c r="Q998" s="129" t="s">
        <v>5640</v>
      </c>
      <c r="R998" s="1">
        <v>93489</v>
      </c>
      <c r="S998" s="4"/>
      <c r="T998" s="4"/>
      <c r="U998" s="4"/>
      <c r="V998" s="4" t="s">
        <v>443</v>
      </c>
      <c r="W998" s="4" t="s">
        <v>37</v>
      </c>
      <c r="X998" s="17" t="s">
        <v>98</v>
      </c>
      <c r="Y998" s="302" t="s">
        <v>99</v>
      </c>
      <c r="Z998" s="167" t="s">
        <v>364</v>
      </c>
      <c r="AA998" s="4"/>
      <c r="AB998" s="4"/>
      <c r="AC998" s="4"/>
      <c r="AD998" s="4"/>
      <c r="AE998" s="4"/>
      <c r="AF998" s="4"/>
      <c r="AG998" s="4"/>
      <c r="AH998" s="4"/>
    </row>
    <row r="999" spans="1:38">
      <c r="A999" s="358" t="s">
        <v>394</v>
      </c>
      <c r="B999" s="29" t="s">
        <v>478</v>
      </c>
      <c r="C999" s="4" t="s">
        <v>5641</v>
      </c>
      <c r="D999" s="130"/>
      <c r="E999" s="2">
        <v>45861</v>
      </c>
      <c r="F999" s="2">
        <f>E999+14</f>
        <v>45875</v>
      </c>
      <c r="G999" s="331" t="s">
        <v>42</v>
      </c>
      <c r="H999" s="41">
        <v>3904</v>
      </c>
      <c r="I999" s="1" t="s">
        <v>5642</v>
      </c>
      <c r="J999" s="1" t="s">
        <v>427</v>
      </c>
      <c r="K999" s="1" t="s">
        <v>31</v>
      </c>
      <c r="L999" s="1">
        <v>85253</v>
      </c>
      <c r="M999" s="1" t="s">
        <v>32</v>
      </c>
      <c r="N999" s="4"/>
      <c r="O999" s="1" t="s">
        <v>482</v>
      </c>
      <c r="P999" s="1" t="s">
        <v>4626</v>
      </c>
      <c r="Q999" s="129" t="s">
        <v>4627</v>
      </c>
      <c r="R999" s="31">
        <v>103723</v>
      </c>
      <c r="S999" s="4"/>
      <c r="T999" s="4"/>
      <c r="U999" s="4"/>
      <c r="V999" s="4" t="s">
        <v>36</v>
      </c>
      <c r="W999" s="4" t="s">
        <v>37</v>
      </c>
      <c r="X999" s="17" t="s">
        <v>98</v>
      </c>
      <c r="Y999" s="302" t="s">
        <v>99</v>
      </c>
      <c r="Z999" s="4"/>
      <c r="AA999" s="4"/>
      <c r="AB999" s="4"/>
      <c r="AC999" s="4"/>
      <c r="AD999" s="4"/>
      <c r="AE999" s="4"/>
      <c r="AF999" s="4"/>
      <c r="AG999" s="4"/>
      <c r="AH999" s="4"/>
    </row>
    <row r="1000" spans="1:38">
      <c r="A1000" s="358" t="s">
        <v>394</v>
      </c>
      <c r="B1000" s="29" t="s">
        <v>1096</v>
      </c>
      <c r="C1000" s="4" t="s">
        <v>5643</v>
      </c>
      <c r="D1000" s="130"/>
      <c r="E1000" s="232">
        <v>45862</v>
      </c>
      <c r="F1000" s="2">
        <f>E1000+14</f>
        <v>45876</v>
      </c>
      <c r="G1000" s="331" t="s">
        <v>42</v>
      </c>
      <c r="H1000" s="41">
        <v>3205</v>
      </c>
      <c r="I1000" s="1" t="s">
        <v>1452</v>
      </c>
      <c r="J1000" s="1" t="s">
        <v>434</v>
      </c>
      <c r="K1000" s="1" t="s">
        <v>31</v>
      </c>
      <c r="L1000" s="1">
        <v>85040</v>
      </c>
      <c r="M1000" s="1" t="s">
        <v>32</v>
      </c>
      <c r="N1000" s="4"/>
      <c r="O1000" s="1" t="s">
        <v>2765</v>
      </c>
      <c r="P1000" s="1" t="s">
        <v>5644</v>
      </c>
      <c r="Q1000" s="87" t="s">
        <v>5645</v>
      </c>
      <c r="R1000" s="31">
        <v>104567</v>
      </c>
      <c r="S1000" s="4"/>
      <c r="T1000" s="4"/>
      <c r="U1000" s="4"/>
      <c r="V1000" s="4" t="s">
        <v>443</v>
      </c>
      <c r="W1000" s="4" t="s">
        <v>37</v>
      </c>
      <c r="X1000" s="17" t="s">
        <v>98</v>
      </c>
      <c r="Y1000" s="302" t="s">
        <v>99</v>
      </c>
      <c r="Z1000" s="167" t="s">
        <v>364</v>
      </c>
      <c r="AA1000" s="4"/>
      <c r="AB1000" s="4"/>
      <c r="AC1000" s="4"/>
      <c r="AD1000" s="4"/>
      <c r="AE1000" s="4"/>
      <c r="AF1000" s="4"/>
      <c r="AG1000" s="4"/>
      <c r="AH1000" s="4"/>
      <c r="AI1000" s="4"/>
      <c r="AJ1000" s="4"/>
      <c r="AK1000" s="4"/>
      <c r="AL1000" s="4"/>
    </row>
    <row r="1001" spans="1:38">
      <c r="A1001" s="164" t="s">
        <v>812</v>
      </c>
      <c r="B1001" s="15" t="s">
        <v>276</v>
      </c>
      <c r="C1001" s="29" t="s">
        <v>5646</v>
      </c>
      <c r="D1001" s="2"/>
      <c r="E1001" s="232">
        <v>45861</v>
      </c>
      <c r="F1001" s="2">
        <f>E1001+14</f>
        <v>45875</v>
      </c>
      <c r="G1001" s="331" t="s">
        <v>42</v>
      </c>
      <c r="H1001" s="1" t="s">
        <v>379</v>
      </c>
      <c r="I1001" s="1" t="s">
        <v>5647</v>
      </c>
      <c r="J1001" s="1" t="s">
        <v>851</v>
      </c>
      <c r="K1001" s="1" t="s">
        <v>31</v>
      </c>
      <c r="L1001" s="1">
        <v>85345</v>
      </c>
      <c r="M1001" s="1" t="s">
        <v>32</v>
      </c>
      <c r="N1001" s="4"/>
      <c r="O1001" s="1" t="s">
        <v>681</v>
      </c>
      <c r="P1001" s="1" t="s">
        <v>682</v>
      </c>
      <c r="Q1001" s="129" t="s">
        <v>683</v>
      </c>
      <c r="R1001" s="179">
        <v>103772</v>
      </c>
      <c r="S1001" s="4"/>
      <c r="T1001" s="4"/>
      <c r="U1001" s="4"/>
      <c r="V1001" s="4" t="s">
        <v>443</v>
      </c>
      <c r="W1001" s="4" t="s">
        <v>37</v>
      </c>
      <c r="X1001" s="4" t="s">
        <v>616</v>
      </c>
      <c r="Y1001" s="241" t="s">
        <v>617</v>
      </c>
      <c r="Z1001" s="168"/>
      <c r="AA1001" s="4"/>
      <c r="AB1001" s="4"/>
      <c r="AC1001" s="4"/>
      <c r="AD1001" s="4"/>
      <c r="AE1001" s="4"/>
      <c r="AF1001" s="4"/>
      <c r="AG1001" s="4"/>
      <c r="AH1001" s="4"/>
      <c r="AI1001" s="4"/>
      <c r="AJ1001" s="4"/>
      <c r="AK1001" s="4"/>
      <c r="AL1001" s="4"/>
    </row>
    <row r="1002" spans="1:38">
      <c r="A1002" s="163" t="s">
        <v>25</v>
      </c>
      <c r="B1002" s="29" t="s">
        <v>323</v>
      </c>
      <c r="C1002" s="29" t="s">
        <v>5648</v>
      </c>
      <c r="D1002" s="26">
        <v>45474</v>
      </c>
      <c r="E1002" s="2">
        <v>45866</v>
      </c>
      <c r="F1002" s="2">
        <f>E1002+14</f>
        <v>45880</v>
      </c>
      <c r="G1002" s="41" t="s">
        <v>42</v>
      </c>
      <c r="H1002" s="1" t="s">
        <v>379</v>
      </c>
      <c r="I1002" s="1" t="s">
        <v>5649</v>
      </c>
      <c r="J1002" s="1" t="s">
        <v>69</v>
      </c>
      <c r="K1002" s="1" t="s">
        <v>31</v>
      </c>
      <c r="L1002" s="1">
        <v>85286</v>
      </c>
      <c r="M1002" s="1" t="s">
        <v>32</v>
      </c>
      <c r="N1002" s="4"/>
      <c r="O1002" s="1" t="s">
        <v>5650</v>
      </c>
      <c r="P1002" s="1" t="s">
        <v>5651</v>
      </c>
      <c r="Q1002" s="129" t="s">
        <v>5652</v>
      </c>
      <c r="R1002" s="1">
        <v>103757</v>
      </c>
      <c r="S1002" s="4"/>
      <c r="T1002" s="4"/>
      <c r="U1002" s="4"/>
      <c r="V1002" s="4" t="s">
        <v>36</v>
      </c>
      <c r="W1002" s="4" t="s">
        <v>37</v>
      </c>
      <c r="X1002" s="4" t="s">
        <v>38</v>
      </c>
      <c r="Y1002" s="235" t="s">
        <v>39</v>
      </c>
      <c r="Z1002" s="168"/>
    </row>
    <row r="1003" spans="1:38">
      <c r="A1003" s="358" t="s">
        <v>394</v>
      </c>
      <c r="B1003" s="29" t="s">
        <v>323</v>
      </c>
      <c r="C1003" s="4" t="s">
        <v>5653</v>
      </c>
      <c r="D1003" s="130"/>
      <c r="E1003" s="2">
        <v>45869</v>
      </c>
      <c r="F1003" s="2">
        <f>E1003+14</f>
        <v>45883</v>
      </c>
      <c r="G1003" s="331" t="s">
        <v>42</v>
      </c>
      <c r="H1003" s="41">
        <v>1401</v>
      </c>
      <c r="I1003" s="1" t="s">
        <v>5654</v>
      </c>
      <c r="J1003" s="1" t="s">
        <v>415</v>
      </c>
      <c r="K1003" s="1" t="s">
        <v>31</v>
      </c>
      <c r="L1003" s="1">
        <v>85281</v>
      </c>
      <c r="M1003" s="1" t="s">
        <v>32</v>
      </c>
      <c r="N1003" s="4"/>
      <c r="O1003" s="1" t="s">
        <v>5655</v>
      </c>
      <c r="P1003" s="1" t="s">
        <v>5656</v>
      </c>
      <c r="Q1003" s="87" t="s">
        <v>5657</v>
      </c>
      <c r="R1003" s="31">
        <v>106555</v>
      </c>
      <c r="S1003" s="4"/>
      <c r="T1003" s="4"/>
      <c r="U1003" s="4"/>
      <c r="V1003" s="4" t="s">
        <v>36</v>
      </c>
      <c r="W1003" s="4" t="s">
        <v>37</v>
      </c>
      <c r="X1003" s="17" t="s">
        <v>98</v>
      </c>
      <c r="Y1003" s="302" t="s">
        <v>99</v>
      </c>
      <c r="Z1003" s="4"/>
      <c r="AA1003" s="4"/>
      <c r="AB1003" s="4"/>
      <c r="AC1003" s="4"/>
      <c r="AD1003" s="4"/>
      <c r="AE1003" s="4"/>
      <c r="AF1003" s="4"/>
      <c r="AG1003" s="4"/>
      <c r="AH1003" s="4"/>
    </row>
    <row r="1004" spans="1:38">
      <c r="A1004" s="163" t="s">
        <v>25</v>
      </c>
      <c r="B1004" s="15" t="s">
        <v>818</v>
      </c>
      <c r="C1004" s="15" t="s">
        <v>5658</v>
      </c>
      <c r="D1004" s="4"/>
      <c r="E1004" s="2">
        <v>45866</v>
      </c>
      <c r="F1004" s="2">
        <f>E1004+14</f>
        <v>45880</v>
      </c>
      <c r="G1004" s="41" t="s">
        <v>42</v>
      </c>
      <c r="H1004" s="1">
        <v>3327</v>
      </c>
      <c r="I1004" s="1" t="s">
        <v>5659</v>
      </c>
      <c r="J1004" s="1" t="s">
        <v>63</v>
      </c>
      <c r="K1004" s="1" t="s">
        <v>31</v>
      </c>
      <c r="L1004" s="1">
        <v>85212</v>
      </c>
      <c r="M1004" s="1" t="s">
        <v>32</v>
      </c>
      <c r="N1004" s="4"/>
      <c r="O1004" s="1" t="s">
        <v>5660</v>
      </c>
      <c r="P1004" s="1" t="s">
        <v>5661</v>
      </c>
      <c r="Q1004" s="87" t="s">
        <v>5662</v>
      </c>
      <c r="R1004" s="1">
        <v>97947</v>
      </c>
      <c r="S1004" s="4"/>
      <c r="T1004" s="4"/>
      <c r="U1004" s="4"/>
      <c r="V1004" s="4" t="s">
        <v>36</v>
      </c>
      <c r="W1004" s="4" t="s">
        <v>37</v>
      </c>
      <c r="X1004" s="4" t="s">
        <v>38</v>
      </c>
      <c r="Y1004" s="235" t="s">
        <v>39</v>
      </c>
      <c r="Z1004" s="168"/>
    </row>
    <row r="1005" spans="1:38">
      <c r="A1005" s="358" t="s">
        <v>394</v>
      </c>
      <c r="B1005" s="29" t="s">
        <v>4581</v>
      </c>
      <c r="C1005" s="29" t="s">
        <v>5663</v>
      </c>
      <c r="D1005" s="4"/>
      <c r="E1005" s="2">
        <v>45854</v>
      </c>
      <c r="F1005" s="2">
        <f>E1005+28</f>
        <v>45882</v>
      </c>
      <c r="G1005" s="41" t="s">
        <v>42</v>
      </c>
      <c r="H1005" s="1">
        <v>6333</v>
      </c>
      <c r="I1005" s="1" t="s">
        <v>5664</v>
      </c>
      <c r="J1005" s="1" t="s">
        <v>1358</v>
      </c>
      <c r="K1005" s="1" t="s">
        <v>31</v>
      </c>
      <c r="L1005" s="1">
        <v>85331</v>
      </c>
      <c r="M1005" s="1" t="s">
        <v>32</v>
      </c>
      <c r="N1005" s="4"/>
      <c r="O1005" s="1" t="s">
        <v>5665</v>
      </c>
      <c r="P1005" s="1" t="s">
        <v>5666</v>
      </c>
      <c r="Q1005" s="87" t="s">
        <v>5667</v>
      </c>
      <c r="R1005" s="1">
        <v>102301</v>
      </c>
      <c r="S1005" s="4"/>
      <c r="T1005" s="4"/>
      <c r="U1005" s="4"/>
      <c r="V1005" s="4" t="s">
        <v>36</v>
      </c>
      <c r="W1005" s="4" t="s">
        <v>37</v>
      </c>
      <c r="X1005" s="17" t="s">
        <v>98</v>
      </c>
      <c r="Y1005" s="302" t="s">
        <v>99</v>
      </c>
      <c r="Z1005" s="168"/>
      <c r="AA1005" s="4"/>
      <c r="AB1005" s="4"/>
      <c r="AC1005" s="4"/>
      <c r="AD1005" s="4"/>
      <c r="AE1005" s="4"/>
      <c r="AF1005" s="4"/>
      <c r="AG1005" s="4"/>
      <c r="AH1005" s="4"/>
    </row>
    <row r="1006" spans="1:38">
      <c r="A1006" s="163" t="s">
        <v>25</v>
      </c>
      <c r="B1006" s="29" t="s">
        <v>412</v>
      </c>
      <c r="C1006" s="4" t="s">
        <v>5668</v>
      </c>
      <c r="D1006" s="130"/>
      <c r="E1006" s="2">
        <v>45873</v>
      </c>
      <c r="F1006" s="2">
        <f>E1006+14</f>
        <v>45887</v>
      </c>
      <c r="G1006" s="331" t="s">
        <v>42</v>
      </c>
      <c r="H1006" s="41">
        <v>1829</v>
      </c>
      <c r="I1006" s="1" t="s">
        <v>5669</v>
      </c>
      <c r="J1006" s="1" t="s">
        <v>30</v>
      </c>
      <c r="K1006" s="1" t="s">
        <v>31</v>
      </c>
      <c r="L1006" s="1"/>
      <c r="M1006" s="1" t="s">
        <v>32</v>
      </c>
      <c r="N1006" s="4"/>
      <c r="O1006" s="1" t="s">
        <v>1387</v>
      </c>
      <c r="P1006" s="1" t="s">
        <v>5670</v>
      </c>
      <c r="Q1006" s="87" t="s">
        <v>5671</v>
      </c>
      <c r="R1006" s="31">
        <v>106361</v>
      </c>
      <c r="S1006" s="4"/>
      <c r="T1006" s="4"/>
      <c r="U1006" s="4"/>
      <c r="V1006" s="4" t="s">
        <v>36</v>
      </c>
      <c r="W1006" s="4" t="s">
        <v>37</v>
      </c>
      <c r="X1006" s="4" t="s">
        <v>38</v>
      </c>
      <c r="Y1006" s="235" t="s">
        <v>39</v>
      </c>
    </row>
    <row r="1007" spans="1:38" ht="18.75" customHeight="1">
      <c r="A1007" s="164" t="s">
        <v>812</v>
      </c>
      <c r="B1007" s="70" t="s">
        <v>559</v>
      </c>
      <c r="C1007" s="56" t="s">
        <v>5672</v>
      </c>
      <c r="D1007" s="60"/>
      <c r="E1007" s="232">
        <v>45868</v>
      </c>
      <c r="F1007" s="2">
        <f>E1007+14</f>
        <v>45882</v>
      </c>
      <c r="G1007" s="332" t="s">
        <v>42</v>
      </c>
      <c r="H1007" s="54" t="s">
        <v>5673</v>
      </c>
      <c r="I1007" s="55" t="s">
        <v>5674</v>
      </c>
      <c r="J1007" s="55" t="s">
        <v>434</v>
      </c>
      <c r="K1007" s="55" t="s">
        <v>31</v>
      </c>
      <c r="L1007" s="55" t="s">
        <v>2089</v>
      </c>
      <c r="M1007" s="55" t="s">
        <v>32</v>
      </c>
      <c r="N1007" s="56"/>
      <c r="O1007" s="55" t="s">
        <v>5675</v>
      </c>
      <c r="P1007" s="55" t="s">
        <v>5676</v>
      </c>
      <c r="Q1007" s="247" t="s">
        <v>5677</v>
      </c>
      <c r="R1007" s="259">
        <v>109499</v>
      </c>
      <c r="S1007" s="4"/>
      <c r="T1007" s="4"/>
      <c r="U1007" s="4"/>
      <c r="V1007" s="4" t="s">
        <v>443</v>
      </c>
      <c r="W1007" s="4" t="s">
        <v>37</v>
      </c>
      <c r="X1007" s="4" t="s">
        <v>616</v>
      </c>
      <c r="Y1007" s="235" t="s">
        <v>617</v>
      </c>
      <c r="Z1007" s="167" t="s">
        <v>364</v>
      </c>
      <c r="AA1007" s="4"/>
      <c r="AB1007" s="4"/>
      <c r="AC1007" s="4"/>
      <c r="AD1007" s="4"/>
      <c r="AE1007" s="4"/>
      <c r="AF1007" s="4"/>
      <c r="AG1007" s="4"/>
      <c r="AH1007" s="4"/>
    </row>
    <row r="1008" spans="1:38">
      <c r="A1008" s="164" t="s">
        <v>812</v>
      </c>
      <c r="B1008" s="70" t="s">
        <v>4188</v>
      </c>
      <c r="C1008" s="192" t="s">
        <v>5678</v>
      </c>
      <c r="D1008" s="2"/>
      <c r="E1008" s="232">
        <v>45874</v>
      </c>
      <c r="F1008" s="2">
        <f>E1008+14</f>
        <v>45888</v>
      </c>
      <c r="G1008" s="331" t="s">
        <v>28</v>
      </c>
      <c r="H1008" s="1">
        <v>25750</v>
      </c>
      <c r="I1008" s="1" t="s">
        <v>1038</v>
      </c>
      <c r="J1008" s="1" t="s">
        <v>851</v>
      </c>
      <c r="K1008" s="1" t="s">
        <v>31</v>
      </c>
      <c r="L1008" s="1">
        <v>85383</v>
      </c>
      <c r="M1008" s="1" t="s">
        <v>32</v>
      </c>
      <c r="N1008" s="4"/>
      <c r="O1008" s="1" t="s">
        <v>4191</v>
      </c>
      <c r="P1008" s="1" t="s">
        <v>4192</v>
      </c>
      <c r="Q1008" s="255" t="s">
        <v>4193</v>
      </c>
      <c r="R1008" s="1">
        <v>103248</v>
      </c>
      <c r="S1008" s="4"/>
      <c r="T1008" s="4"/>
      <c r="U1008" s="4"/>
      <c r="V1008" s="4" t="s">
        <v>443</v>
      </c>
      <c r="W1008" s="4" t="s">
        <v>37</v>
      </c>
      <c r="X1008" s="4" t="s">
        <v>616</v>
      </c>
      <c r="Y1008" s="241" t="s">
        <v>617</v>
      </c>
      <c r="Z1008" s="168"/>
      <c r="AA1008" s="119"/>
      <c r="AB1008" s="119"/>
      <c r="AC1008" s="119"/>
      <c r="AD1008" s="119"/>
      <c r="AE1008" s="119"/>
      <c r="AF1008" s="119"/>
      <c r="AG1008" s="119"/>
      <c r="AH1008" s="119"/>
    </row>
    <row r="1009" spans="1:38">
      <c r="A1009" s="163" t="s">
        <v>25</v>
      </c>
      <c r="B1009" s="15" t="s">
        <v>5679</v>
      </c>
      <c r="C1009" s="4" t="s">
        <v>5680</v>
      </c>
      <c r="D1009" s="130"/>
      <c r="E1009" s="2">
        <v>45874</v>
      </c>
      <c r="F1009" s="2">
        <f>E1009+14</f>
        <v>45888</v>
      </c>
      <c r="G1009" s="332" t="s">
        <v>42</v>
      </c>
      <c r="H1009" s="41">
        <v>1901</v>
      </c>
      <c r="I1009" s="1" t="s">
        <v>5681</v>
      </c>
      <c r="J1009" s="1" t="s">
        <v>69</v>
      </c>
      <c r="K1009" s="1" t="s">
        <v>31</v>
      </c>
      <c r="L1009" s="1">
        <v>85286</v>
      </c>
      <c r="M1009" s="1" t="s">
        <v>32</v>
      </c>
      <c r="N1009" s="4"/>
      <c r="O1009" s="1" t="s">
        <v>5682</v>
      </c>
      <c r="P1009" s="1" t="s">
        <v>5683</v>
      </c>
      <c r="Q1009" s="87" t="s">
        <v>5684</v>
      </c>
      <c r="R1009" s="31">
        <v>106698</v>
      </c>
      <c r="S1009" s="4"/>
      <c r="T1009" s="4"/>
      <c r="U1009" s="4"/>
      <c r="V1009" s="4" t="s">
        <v>36</v>
      </c>
      <c r="W1009" s="4" t="s">
        <v>37</v>
      </c>
      <c r="X1009" s="4" t="s">
        <v>38</v>
      </c>
      <c r="Y1009" s="235" t="s">
        <v>39</v>
      </c>
      <c r="Z1009" s="4"/>
    </row>
    <row r="1010" spans="1:38">
      <c r="A1010" s="163" t="s">
        <v>25</v>
      </c>
      <c r="B1010" s="29" t="s">
        <v>139</v>
      </c>
      <c r="C1010" s="4" t="s">
        <v>5685</v>
      </c>
      <c r="D1010" s="130"/>
      <c r="E1010" s="2">
        <v>45876</v>
      </c>
      <c r="F1010" s="60">
        <f>E1010+14</f>
        <v>45890</v>
      </c>
      <c r="G1010" s="331" t="s">
        <v>42</v>
      </c>
      <c r="H1010" s="41">
        <v>10256</v>
      </c>
      <c r="I1010" s="1" t="s">
        <v>113</v>
      </c>
      <c r="J1010" s="1" t="s">
        <v>63</v>
      </c>
      <c r="K1010" s="1" t="s">
        <v>31</v>
      </c>
      <c r="L1010" s="1"/>
      <c r="M1010" s="1" t="s">
        <v>32</v>
      </c>
      <c r="N1010" s="4"/>
      <c r="O1010" s="1" t="s">
        <v>5686</v>
      </c>
      <c r="P1010" s="1" t="s">
        <v>5687</v>
      </c>
      <c r="Q1010" s="87" t="s">
        <v>5688</v>
      </c>
      <c r="R1010" s="31">
        <v>96906</v>
      </c>
      <c r="S1010" s="4"/>
      <c r="T1010" s="4"/>
      <c r="U1010" s="4"/>
      <c r="V1010" s="4" t="s">
        <v>36</v>
      </c>
      <c r="W1010" s="4" t="s">
        <v>37</v>
      </c>
      <c r="X1010" s="1" t="s">
        <v>59</v>
      </c>
      <c r="Y1010" s="167" t="s">
        <v>39</v>
      </c>
      <c r="Z1010" s="4"/>
    </row>
    <row r="1011" spans="1:38">
      <c r="A1011" s="358" t="s">
        <v>394</v>
      </c>
      <c r="B1011" s="29" t="s">
        <v>618</v>
      </c>
      <c r="C1011" s="4" t="s">
        <v>5689</v>
      </c>
      <c r="D1011" s="130"/>
      <c r="E1011" s="2">
        <v>45877</v>
      </c>
      <c r="F1011" s="2">
        <f>E1011+14</f>
        <v>45891</v>
      </c>
      <c r="G1011" s="331" t="s">
        <v>42</v>
      </c>
      <c r="H1011" s="41">
        <v>4136</v>
      </c>
      <c r="I1011" s="1" t="s">
        <v>561</v>
      </c>
      <c r="J1011" s="1" t="s">
        <v>63</v>
      </c>
      <c r="K1011" s="1" t="s">
        <v>31</v>
      </c>
      <c r="L1011" s="1"/>
      <c r="M1011" s="1" t="s">
        <v>32</v>
      </c>
      <c r="N1011" s="4"/>
      <c r="O1011" s="1" t="s">
        <v>5690</v>
      </c>
      <c r="P1011" s="1" t="s">
        <v>5691</v>
      </c>
      <c r="Q1011" s="129" t="s">
        <v>5692</v>
      </c>
      <c r="R1011" s="31">
        <v>107403</v>
      </c>
      <c r="S1011" s="4"/>
      <c r="T1011" s="4"/>
      <c r="U1011" s="4"/>
      <c r="V1011" s="158" t="s">
        <v>36</v>
      </c>
      <c r="W1011" s="158" t="s">
        <v>37</v>
      </c>
      <c r="X1011" s="17" t="s">
        <v>98</v>
      </c>
      <c r="Y1011" s="302" t="s">
        <v>99</v>
      </c>
      <c r="Z1011" s="4"/>
      <c r="AA1011" s="4"/>
      <c r="AB1011" s="4"/>
      <c r="AC1011" s="4"/>
      <c r="AD1011" s="4"/>
      <c r="AE1011" s="4"/>
      <c r="AF1011" s="4"/>
      <c r="AG1011" s="4"/>
      <c r="AH1011" s="4"/>
      <c r="AI1011" s="4"/>
      <c r="AJ1011" s="4"/>
      <c r="AK1011" s="4"/>
      <c r="AL1011" s="4"/>
    </row>
    <row r="1012" spans="1:38">
      <c r="A1012" s="358" t="s">
        <v>394</v>
      </c>
      <c r="B1012" s="29" t="s">
        <v>2496</v>
      </c>
      <c r="C1012" s="4" t="s">
        <v>5693</v>
      </c>
      <c r="D1012" s="2"/>
      <c r="E1012" s="2">
        <v>45884</v>
      </c>
      <c r="F1012" s="2">
        <f>E1012+14</f>
        <v>45898</v>
      </c>
      <c r="G1012" s="331" t="s">
        <v>42</v>
      </c>
      <c r="H1012" s="41" t="s">
        <v>5694</v>
      </c>
      <c r="I1012" s="1" t="s">
        <v>5695</v>
      </c>
      <c r="J1012" s="1" t="s">
        <v>398</v>
      </c>
      <c r="K1012" s="1" t="s">
        <v>31</v>
      </c>
      <c r="L1012" s="1"/>
      <c r="M1012" s="1" t="s">
        <v>32</v>
      </c>
      <c r="N1012" s="4"/>
      <c r="O1012" s="1" t="s">
        <v>5696</v>
      </c>
      <c r="P1012" s="1" t="s">
        <v>5697</v>
      </c>
      <c r="Q1012" s="98" t="s">
        <v>5698</v>
      </c>
      <c r="R1012" s="31">
        <v>89880</v>
      </c>
      <c r="S1012" s="4"/>
      <c r="T1012" s="4"/>
      <c r="U1012" s="4"/>
      <c r="V1012" s="4" t="s">
        <v>36</v>
      </c>
      <c r="W1012" s="4" t="s">
        <v>37</v>
      </c>
      <c r="X1012" s="17" t="s">
        <v>98</v>
      </c>
      <c r="Y1012" s="302" t="s">
        <v>99</v>
      </c>
      <c r="Z1012" s="168"/>
      <c r="AA1012" s="4"/>
      <c r="AB1012" s="4"/>
      <c r="AC1012" s="4"/>
      <c r="AD1012" s="4"/>
      <c r="AE1012" s="4"/>
      <c r="AF1012" s="4"/>
      <c r="AG1012" s="4"/>
      <c r="AH1012" s="4"/>
    </row>
    <row r="1013" spans="1:38">
      <c r="A1013" s="163" t="s">
        <v>25</v>
      </c>
      <c r="B1013" s="70" t="s">
        <v>168</v>
      </c>
      <c r="C1013" s="4" t="s">
        <v>5699</v>
      </c>
      <c r="D1013" s="130"/>
      <c r="E1013" s="2">
        <v>45880</v>
      </c>
      <c r="F1013" s="2">
        <f>E1013+14</f>
        <v>45894</v>
      </c>
      <c r="G1013" s="332" t="s">
        <v>42</v>
      </c>
      <c r="H1013" s="41">
        <v>9253</v>
      </c>
      <c r="I1013" s="1" t="s">
        <v>5700</v>
      </c>
      <c r="J1013" s="1" t="s">
        <v>63</v>
      </c>
      <c r="K1013" s="1" t="s">
        <v>31</v>
      </c>
      <c r="L1013" s="1">
        <v>85212</v>
      </c>
      <c r="M1013" s="1" t="s">
        <v>32</v>
      </c>
      <c r="N1013" s="4"/>
      <c r="O1013" s="1" t="s">
        <v>4034</v>
      </c>
      <c r="P1013" s="1" t="s">
        <v>5701</v>
      </c>
      <c r="Q1013" s="87" t="s">
        <v>5702</v>
      </c>
      <c r="R1013" s="31">
        <v>100986</v>
      </c>
      <c r="S1013" s="4"/>
      <c r="T1013" s="4"/>
      <c r="U1013" s="4"/>
      <c r="V1013" s="4" t="s">
        <v>36</v>
      </c>
      <c r="W1013" s="4" t="s">
        <v>37</v>
      </c>
      <c r="X1013" s="1" t="s">
        <v>59</v>
      </c>
      <c r="Y1013" s="167" t="s">
        <v>39</v>
      </c>
      <c r="Z1013" s="4"/>
      <c r="AA1013" s="4"/>
      <c r="AB1013" s="4"/>
      <c r="AC1013" s="4"/>
      <c r="AD1013" s="4"/>
      <c r="AE1013" s="4"/>
      <c r="AF1013" s="4"/>
      <c r="AG1013" s="4"/>
      <c r="AH1013" s="4"/>
      <c r="AI1013" s="4"/>
      <c r="AJ1013" s="4"/>
      <c r="AK1013" s="4"/>
      <c r="AL1013" s="4"/>
    </row>
    <row r="1014" spans="1:38">
      <c r="A1014" s="163" t="s">
        <v>25</v>
      </c>
      <c r="B1014" s="118" t="s">
        <v>252</v>
      </c>
      <c r="C1014" s="372" t="s">
        <v>5703</v>
      </c>
      <c r="D1014" s="130" t="s">
        <v>5704</v>
      </c>
      <c r="E1014" s="2">
        <v>45881</v>
      </c>
      <c r="F1014" s="2">
        <f>E1014+14</f>
        <v>45895</v>
      </c>
      <c r="G1014" s="331" t="s">
        <v>42</v>
      </c>
      <c r="H1014" s="41" t="s">
        <v>184</v>
      </c>
      <c r="I1014" s="1" t="s">
        <v>5705</v>
      </c>
      <c r="J1014" s="1" t="s">
        <v>49</v>
      </c>
      <c r="K1014" s="1" t="s">
        <v>31</v>
      </c>
      <c r="L1014" s="1"/>
      <c r="M1014" s="1" t="s">
        <v>32</v>
      </c>
      <c r="N1014" s="4"/>
      <c r="O1014" s="1" t="s">
        <v>5706</v>
      </c>
      <c r="P1014" s="1" t="s">
        <v>5707</v>
      </c>
      <c r="Q1014" s="87" t="s">
        <v>5708</v>
      </c>
      <c r="R1014" s="31">
        <v>98808</v>
      </c>
      <c r="S1014" s="4"/>
      <c r="T1014" s="4"/>
      <c r="U1014" s="4"/>
      <c r="V1014" s="4" t="s">
        <v>36</v>
      </c>
      <c r="W1014" s="4" t="s">
        <v>37</v>
      </c>
      <c r="X1014" s="1" t="s">
        <v>59</v>
      </c>
      <c r="Y1014" s="167" t="s">
        <v>39</v>
      </c>
      <c r="Z1014" s="4"/>
    </row>
    <row r="1015" spans="1:38" ht="17.25" customHeight="1">
      <c r="A1015" s="163" t="s">
        <v>25</v>
      </c>
      <c r="B1015" s="70" t="s">
        <v>168</v>
      </c>
      <c r="C1015" s="56" t="s">
        <v>5709</v>
      </c>
      <c r="D1015" s="60"/>
      <c r="E1015" s="2">
        <v>45881</v>
      </c>
      <c r="F1015" s="60">
        <f>E1015+14</f>
        <v>45895</v>
      </c>
      <c r="G1015" s="333" t="s">
        <v>28</v>
      </c>
      <c r="H1015" s="1">
        <v>3955</v>
      </c>
      <c r="I1015" s="54" t="s">
        <v>135</v>
      </c>
      <c r="J1015" s="55" t="s">
        <v>63</v>
      </c>
      <c r="K1015" s="55" t="s">
        <v>31</v>
      </c>
      <c r="L1015" s="55" t="s">
        <v>2148</v>
      </c>
      <c r="M1015" s="55" t="s">
        <v>32</v>
      </c>
      <c r="N1015" s="56"/>
      <c r="O1015" s="1" t="s">
        <v>5710</v>
      </c>
      <c r="P1015" s="86" t="s">
        <v>5711</v>
      </c>
      <c r="Q1015" s="89" t="s">
        <v>5712</v>
      </c>
      <c r="R1015" s="57">
        <v>95764</v>
      </c>
      <c r="S1015" s="4"/>
      <c r="T1015" s="4"/>
      <c r="U1015" s="4"/>
      <c r="V1015" s="4" t="s">
        <v>36</v>
      </c>
      <c r="W1015" s="4" t="s">
        <v>37</v>
      </c>
      <c r="X1015" s="1" t="s">
        <v>59</v>
      </c>
      <c r="Y1015" s="167" t="s">
        <v>39</v>
      </c>
      <c r="Z1015" s="168"/>
    </row>
    <row r="1016" spans="1:38">
      <c r="A1016" s="164" t="s">
        <v>812</v>
      </c>
      <c r="B1016" s="15" t="s">
        <v>5522</v>
      </c>
      <c r="C1016" s="29" t="s">
        <v>5713</v>
      </c>
      <c r="D1016" s="26">
        <v>45492</v>
      </c>
      <c r="E1016" s="232">
        <v>45880</v>
      </c>
      <c r="F1016" s="2">
        <f>E1016+14</f>
        <v>45894</v>
      </c>
      <c r="G1016" s="42" t="s">
        <v>42</v>
      </c>
      <c r="H1016" s="1" t="s">
        <v>184</v>
      </c>
      <c r="I1016" s="1" t="s">
        <v>5714</v>
      </c>
      <c r="J1016" s="1" t="s">
        <v>822</v>
      </c>
      <c r="K1016" s="1" t="s">
        <v>31</v>
      </c>
      <c r="L1016" s="1">
        <v>85305</v>
      </c>
      <c r="M1016" s="1" t="s">
        <v>32</v>
      </c>
      <c r="N1016" s="4"/>
      <c r="O1016" s="1" t="s">
        <v>1022</v>
      </c>
      <c r="P1016" s="1" t="s">
        <v>1023</v>
      </c>
      <c r="Q1016" s="184" t="s">
        <v>1024</v>
      </c>
      <c r="R1016" s="179">
        <v>104060</v>
      </c>
      <c r="S1016" s="4"/>
      <c r="T1016" s="4"/>
      <c r="U1016" s="4"/>
      <c r="V1016" s="4" t="s">
        <v>443</v>
      </c>
      <c r="W1016" s="4" t="s">
        <v>37</v>
      </c>
      <c r="X1016" s="4" t="s">
        <v>616</v>
      </c>
      <c r="Y1016" s="235" t="s">
        <v>617</v>
      </c>
      <c r="Z1016" s="4"/>
      <c r="AA1016" s="4"/>
      <c r="AB1016" s="4"/>
      <c r="AC1016" s="4"/>
      <c r="AD1016" s="4"/>
      <c r="AE1016" s="4"/>
      <c r="AF1016" s="4"/>
      <c r="AG1016" s="4"/>
      <c r="AH1016" s="4"/>
      <c r="AI1016" s="4"/>
      <c r="AJ1016" s="4"/>
      <c r="AK1016" s="4"/>
      <c r="AL1016" s="4"/>
    </row>
    <row r="1017" spans="1:38">
      <c r="A1017" s="258" t="s">
        <v>812</v>
      </c>
      <c r="B1017" s="309" t="s">
        <v>5402</v>
      </c>
      <c r="C1017" s="4" t="s">
        <v>5715</v>
      </c>
      <c r="D1017" s="130"/>
      <c r="E1017" s="232">
        <v>45890</v>
      </c>
      <c r="F1017" s="2">
        <f>E1017+14</f>
        <v>45904</v>
      </c>
      <c r="G1017" s="332" t="s">
        <v>42</v>
      </c>
      <c r="H1017" s="41"/>
      <c r="I1017" s="1" t="s">
        <v>5716</v>
      </c>
      <c r="J1017" s="1" t="s">
        <v>916</v>
      </c>
      <c r="K1017" s="1" t="s">
        <v>31</v>
      </c>
      <c r="L1017" s="1">
        <v>85711</v>
      </c>
      <c r="M1017" s="1" t="s">
        <v>32</v>
      </c>
      <c r="N1017" s="4"/>
      <c r="O1017" s="351" t="s">
        <v>5405</v>
      </c>
      <c r="P1017" s="351" t="s">
        <v>5406</v>
      </c>
      <c r="Q1017" s="87" t="s">
        <v>5407</v>
      </c>
      <c r="R1017" s="178">
        <v>107917</v>
      </c>
      <c r="S1017" s="4"/>
      <c r="T1017" s="4"/>
      <c r="U1017" s="4"/>
      <c r="V1017" s="4" t="s">
        <v>443</v>
      </c>
      <c r="W1017" s="4" t="s">
        <v>37</v>
      </c>
      <c r="X1017" s="4" t="s">
        <v>616</v>
      </c>
      <c r="Y1017" s="235" t="s">
        <v>617</v>
      </c>
      <c r="Z1017" s="4"/>
      <c r="AA1017" s="4"/>
      <c r="AB1017" s="4"/>
      <c r="AC1017" s="4"/>
      <c r="AD1017" s="4"/>
      <c r="AE1017" s="4"/>
      <c r="AF1017" s="4"/>
      <c r="AG1017" s="4"/>
      <c r="AH1017" s="4"/>
      <c r="AI1017" s="4"/>
      <c r="AJ1017" s="4"/>
      <c r="AK1017" s="4"/>
      <c r="AL1017" s="4"/>
    </row>
    <row r="1018" spans="1:38">
      <c r="A1018" s="164" t="s">
        <v>812</v>
      </c>
      <c r="B1018" s="29" t="s">
        <v>5717</v>
      </c>
      <c r="C1018" s="56" t="s">
        <v>5718</v>
      </c>
      <c r="D1018" s="60"/>
      <c r="E1018" s="232">
        <v>45902</v>
      </c>
      <c r="F1018" s="60">
        <f>E1018+14</f>
        <v>45916</v>
      </c>
      <c r="G1018" s="331" t="s">
        <v>42</v>
      </c>
      <c r="H1018" s="41"/>
      <c r="I1018" s="1" t="s">
        <v>5719</v>
      </c>
      <c r="J1018" s="1" t="s">
        <v>837</v>
      </c>
      <c r="K1018" s="1" t="s">
        <v>31</v>
      </c>
      <c r="L1018" s="1">
        <v>85379</v>
      </c>
      <c r="M1018" s="1" t="s">
        <v>32</v>
      </c>
      <c r="N1018" s="4"/>
      <c r="O1018" s="1" t="s">
        <v>5720</v>
      </c>
      <c r="P1018" s="1" t="s">
        <v>5721</v>
      </c>
      <c r="Q1018" s="184" t="s">
        <v>5722</v>
      </c>
      <c r="R1018" s="178">
        <v>103161</v>
      </c>
      <c r="S1018" s="4"/>
      <c r="T1018" s="4"/>
      <c r="U1018" s="4"/>
      <c r="V1018" s="4" t="s">
        <v>443</v>
      </c>
      <c r="W1018" s="4" t="s">
        <v>37</v>
      </c>
      <c r="X1018" s="4" t="s">
        <v>616</v>
      </c>
      <c r="Y1018" s="241" t="s">
        <v>617</v>
      </c>
      <c r="Z1018" s="167" t="s">
        <v>364</v>
      </c>
      <c r="AA1018" s="4"/>
      <c r="AB1018" s="4"/>
      <c r="AC1018" s="4"/>
      <c r="AD1018" s="4"/>
      <c r="AE1018" s="4"/>
      <c r="AF1018" s="4"/>
      <c r="AG1018" s="4"/>
      <c r="AH1018" s="4"/>
    </row>
    <row r="1019" spans="1:38">
      <c r="A1019" s="164" t="s">
        <v>812</v>
      </c>
      <c r="B1019" s="29" t="s">
        <v>150</v>
      </c>
      <c r="C1019" s="4" t="s">
        <v>5723</v>
      </c>
      <c r="D1019" s="130"/>
      <c r="E1019" s="232">
        <v>45901</v>
      </c>
      <c r="F1019" s="2">
        <f>E1019+14</f>
        <v>45915</v>
      </c>
      <c r="G1019" s="331" t="s">
        <v>42</v>
      </c>
      <c r="H1019" s="41">
        <v>18304</v>
      </c>
      <c r="I1019" s="1" t="s">
        <v>2174</v>
      </c>
      <c r="J1019" s="1" t="s">
        <v>844</v>
      </c>
      <c r="K1019" s="1" t="s">
        <v>31</v>
      </c>
      <c r="L1019" s="1"/>
      <c r="M1019" s="1" t="s">
        <v>32</v>
      </c>
      <c r="N1019" s="4"/>
      <c r="O1019" s="1" t="s">
        <v>5591</v>
      </c>
      <c r="P1019" s="1" t="s">
        <v>5724</v>
      </c>
      <c r="Q1019" s="184" t="s">
        <v>5725</v>
      </c>
      <c r="R1019" s="178">
        <v>104910</v>
      </c>
      <c r="S1019" s="4"/>
      <c r="T1019" s="4"/>
      <c r="U1019" s="4"/>
      <c r="V1019" s="4" t="s">
        <v>443</v>
      </c>
      <c r="W1019" s="4" t="s">
        <v>37</v>
      </c>
      <c r="X1019" s="4" t="s">
        <v>616</v>
      </c>
      <c r="Y1019" s="235" t="s">
        <v>617</v>
      </c>
      <c r="Z1019" s="167" t="s">
        <v>364</v>
      </c>
      <c r="AA1019" s="4"/>
      <c r="AB1019" s="4"/>
      <c r="AC1019" s="4"/>
      <c r="AD1019" s="4"/>
      <c r="AE1019" s="4"/>
      <c r="AF1019" s="4"/>
      <c r="AG1019" s="4"/>
      <c r="AH1019" s="4"/>
      <c r="AI1019" s="119"/>
      <c r="AJ1019" s="119"/>
      <c r="AK1019" s="119"/>
      <c r="AL1019" s="119"/>
    </row>
    <row r="1020" spans="1:38">
      <c r="A1020" s="163" t="s">
        <v>25</v>
      </c>
      <c r="B1020" s="15" t="s">
        <v>864</v>
      </c>
      <c r="C1020" s="29" t="s">
        <v>5726</v>
      </c>
      <c r="D1020" s="26">
        <v>45604</v>
      </c>
      <c r="E1020" s="2">
        <v>45894</v>
      </c>
      <c r="F1020" s="2">
        <f>E1020+14</f>
        <v>45908</v>
      </c>
      <c r="G1020" s="41" t="s">
        <v>42</v>
      </c>
      <c r="H1020" s="1">
        <v>4354</v>
      </c>
      <c r="I1020" s="1" t="s">
        <v>5727</v>
      </c>
      <c r="J1020" s="1" t="s">
        <v>63</v>
      </c>
      <c r="K1020" s="1" t="s">
        <v>31</v>
      </c>
      <c r="L1020" s="1">
        <v>85206</v>
      </c>
      <c r="M1020" s="1" t="s">
        <v>32</v>
      </c>
      <c r="N1020" s="4"/>
      <c r="O1020" s="4" t="s">
        <v>3369</v>
      </c>
      <c r="P1020" s="1" t="s">
        <v>1453</v>
      </c>
      <c r="Q1020" s="173"/>
      <c r="R1020" s="124" t="s">
        <v>35</v>
      </c>
      <c r="S1020" s="4"/>
      <c r="T1020" s="4"/>
      <c r="U1020" s="4"/>
      <c r="V1020" s="4" t="s">
        <v>36</v>
      </c>
      <c r="W1020" s="4" t="s">
        <v>37</v>
      </c>
      <c r="X1020" s="4" t="s">
        <v>38</v>
      </c>
      <c r="Y1020" s="235" t="s">
        <v>39</v>
      </c>
    </row>
    <row r="1021" spans="1:38">
      <c r="A1021" s="164" t="s">
        <v>812</v>
      </c>
      <c r="B1021" s="29" t="s">
        <v>5052</v>
      </c>
      <c r="C1021" s="29" t="s">
        <v>5728</v>
      </c>
      <c r="D1021" s="26">
        <v>45496</v>
      </c>
      <c r="E1021" s="232">
        <v>45895</v>
      </c>
      <c r="F1021" s="2">
        <f>E1021+14</f>
        <v>45909</v>
      </c>
      <c r="G1021" s="42" t="s">
        <v>42</v>
      </c>
      <c r="H1021" s="1">
        <v>1800</v>
      </c>
      <c r="I1021" s="1" t="s">
        <v>5729</v>
      </c>
      <c r="J1021" s="1" t="s">
        <v>844</v>
      </c>
      <c r="K1021" s="1" t="s">
        <v>31</v>
      </c>
      <c r="L1021" s="1">
        <v>85395</v>
      </c>
      <c r="M1021" s="1" t="s">
        <v>32</v>
      </c>
      <c r="N1021" s="4"/>
      <c r="O1021" s="1" t="s">
        <v>4835</v>
      </c>
      <c r="P1021" s="1" t="s">
        <v>4836</v>
      </c>
      <c r="Q1021" s="184" t="s">
        <v>4837</v>
      </c>
      <c r="R1021" s="179">
        <v>104366</v>
      </c>
      <c r="S1021" s="4"/>
      <c r="T1021" s="4"/>
      <c r="U1021" s="4"/>
      <c r="V1021" s="4" t="s">
        <v>443</v>
      </c>
      <c r="W1021" s="4" t="s">
        <v>37</v>
      </c>
      <c r="X1021" s="4" t="s">
        <v>616</v>
      </c>
      <c r="Y1021" s="235" t="s">
        <v>617</v>
      </c>
      <c r="Z1021" s="4"/>
      <c r="AA1021" s="4"/>
      <c r="AB1021" s="4"/>
      <c r="AC1021" s="4"/>
      <c r="AD1021" s="4"/>
      <c r="AE1021" s="4"/>
      <c r="AF1021" s="4"/>
      <c r="AG1021" s="4"/>
      <c r="AH1021" s="4"/>
      <c r="AI1021" s="4"/>
      <c r="AJ1021" s="4"/>
      <c r="AK1021" s="4"/>
      <c r="AL1021" s="4"/>
    </row>
    <row r="1022" spans="1:38">
      <c r="A1022" s="164" t="s">
        <v>812</v>
      </c>
      <c r="B1022" s="29" t="s">
        <v>150</v>
      </c>
      <c r="C1022" s="4" t="s">
        <v>5730</v>
      </c>
      <c r="D1022" s="130"/>
      <c r="E1022" s="232">
        <v>45896</v>
      </c>
      <c r="F1022" s="2">
        <f>E1022+14</f>
        <v>45910</v>
      </c>
      <c r="G1022" s="331" t="s">
        <v>28</v>
      </c>
      <c r="H1022" s="41">
        <v>3834</v>
      </c>
      <c r="I1022" s="1" t="s">
        <v>2516</v>
      </c>
      <c r="J1022" s="1" t="s">
        <v>894</v>
      </c>
      <c r="K1022" s="1" t="s">
        <v>31</v>
      </c>
      <c r="L1022" s="1">
        <v>85353</v>
      </c>
      <c r="M1022" s="1" t="s">
        <v>32</v>
      </c>
      <c r="N1022" s="4"/>
      <c r="O1022" s="1" t="s">
        <v>5731</v>
      </c>
      <c r="P1022" s="1" t="s">
        <v>5732</v>
      </c>
      <c r="Q1022" s="87" t="s">
        <v>5733</v>
      </c>
      <c r="R1022" s="31">
        <v>103973</v>
      </c>
      <c r="S1022" s="4"/>
      <c r="T1022" s="4"/>
      <c r="U1022" s="4"/>
      <c r="V1022" s="4" t="s">
        <v>443</v>
      </c>
      <c r="W1022" s="4" t="s">
        <v>37</v>
      </c>
      <c r="X1022" s="4" t="s">
        <v>616</v>
      </c>
      <c r="Y1022" s="235" t="s">
        <v>617</v>
      </c>
      <c r="Z1022" s="167" t="s">
        <v>364</v>
      </c>
      <c r="AA1022" s="4"/>
      <c r="AB1022" s="4"/>
      <c r="AC1022" s="4"/>
      <c r="AD1022" s="4"/>
      <c r="AE1022" s="4"/>
      <c r="AF1022" s="4"/>
      <c r="AG1022" s="4"/>
      <c r="AH1022" s="4"/>
      <c r="AI1022" s="4"/>
      <c r="AJ1022" s="4"/>
      <c r="AK1022" s="4"/>
      <c r="AL1022" s="4"/>
    </row>
    <row r="1023" spans="1:38">
      <c r="A1023" s="164" t="s">
        <v>812</v>
      </c>
      <c r="B1023" s="29" t="s">
        <v>3736</v>
      </c>
      <c r="C1023" s="4" t="s">
        <v>5734</v>
      </c>
      <c r="D1023" s="2">
        <v>45145</v>
      </c>
      <c r="E1023" s="232">
        <v>45896</v>
      </c>
      <c r="F1023" s="2">
        <f>E1023+14</f>
        <v>45910</v>
      </c>
      <c r="G1023" s="331" t="s">
        <v>28</v>
      </c>
      <c r="H1023" s="41">
        <v>7502</v>
      </c>
      <c r="I1023" s="1" t="s">
        <v>5735</v>
      </c>
      <c r="J1023" s="1" t="s">
        <v>894</v>
      </c>
      <c r="K1023" s="1" t="s">
        <v>31</v>
      </c>
      <c r="L1023" s="1">
        <v>85353</v>
      </c>
      <c r="M1023" s="1" t="s">
        <v>32</v>
      </c>
      <c r="N1023" s="4"/>
      <c r="O1023" s="1" t="s">
        <v>5736</v>
      </c>
      <c r="P1023" s="1" t="s">
        <v>5737</v>
      </c>
      <c r="Q1023" s="87" t="s">
        <v>5738</v>
      </c>
      <c r="R1023" s="178">
        <v>99794</v>
      </c>
      <c r="S1023" s="4"/>
      <c r="T1023" s="4"/>
      <c r="U1023" s="4"/>
      <c r="V1023" s="4" t="s">
        <v>443</v>
      </c>
      <c r="W1023" s="4" t="s">
        <v>37</v>
      </c>
      <c r="X1023" s="4" t="s">
        <v>616</v>
      </c>
      <c r="Y1023" s="235" t="s">
        <v>617</v>
      </c>
      <c r="Z1023" s="4"/>
      <c r="AA1023" s="4"/>
      <c r="AB1023" s="4"/>
      <c r="AC1023" s="4"/>
      <c r="AD1023" s="4"/>
      <c r="AE1023" s="4"/>
      <c r="AF1023" s="4"/>
      <c r="AG1023" s="4"/>
      <c r="AH1023" s="4"/>
      <c r="AI1023" s="4"/>
      <c r="AJ1023" s="4"/>
      <c r="AK1023" s="4"/>
      <c r="AL1023" s="4"/>
    </row>
    <row r="1024" spans="1:38">
      <c r="A1024" s="163" t="s">
        <v>25</v>
      </c>
      <c r="B1024" s="29" t="s">
        <v>5739</v>
      </c>
      <c r="C1024" s="4" t="s">
        <v>5740</v>
      </c>
      <c r="D1024" s="130"/>
      <c r="E1024" s="2">
        <v>45911</v>
      </c>
      <c r="F1024" s="2">
        <f>E1024+14</f>
        <v>45925</v>
      </c>
      <c r="G1024" s="332" t="s">
        <v>42</v>
      </c>
      <c r="H1024" s="41" t="s">
        <v>379</v>
      </c>
      <c r="I1024" s="1" t="s">
        <v>5741</v>
      </c>
      <c r="J1024" s="1" t="s">
        <v>129</v>
      </c>
      <c r="K1024" s="1" t="s">
        <v>31</v>
      </c>
      <c r="L1024" s="1">
        <v>85140</v>
      </c>
      <c r="M1024" s="1" t="s">
        <v>32</v>
      </c>
      <c r="N1024" s="4"/>
      <c r="O1024" s="1" t="s">
        <v>5742</v>
      </c>
      <c r="P1024" s="1" t="s">
        <v>5743</v>
      </c>
      <c r="Q1024" s="87" t="s">
        <v>5744</v>
      </c>
      <c r="R1024" s="31">
        <v>100702</v>
      </c>
      <c r="S1024" s="4"/>
      <c r="T1024" s="4"/>
      <c r="U1024" s="4"/>
      <c r="V1024" s="4" t="s">
        <v>36</v>
      </c>
      <c r="W1024" s="4" t="s">
        <v>37</v>
      </c>
      <c r="X1024" s="1" t="s">
        <v>59</v>
      </c>
      <c r="Y1024" s="167" t="s">
        <v>39</v>
      </c>
      <c r="Z1024" s="4"/>
    </row>
    <row r="1025" spans="1:38">
      <c r="A1025" s="163" t="s">
        <v>25</v>
      </c>
      <c r="B1025" s="15" t="s">
        <v>5745</v>
      </c>
      <c r="C1025" s="29" t="s">
        <v>5746</v>
      </c>
      <c r="D1025" s="4"/>
      <c r="E1025" s="2">
        <v>45901</v>
      </c>
      <c r="F1025" s="2">
        <f>E1025+14</f>
        <v>45915</v>
      </c>
      <c r="G1025" s="41" t="s">
        <v>28</v>
      </c>
      <c r="H1025" s="1"/>
      <c r="I1025" s="1" t="s">
        <v>5747</v>
      </c>
      <c r="J1025" s="1" t="s">
        <v>30</v>
      </c>
      <c r="K1025" s="1" t="s">
        <v>31</v>
      </c>
      <c r="L1025" s="1">
        <v>85193</v>
      </c>
      <c r="M1025" s="1" t="s">
        <v>32</v>
      </c>
      <c r="N1025" s="4"/>
      <c r="O1025" s="1" t="s">
        <v>5748</v>
      </c>
      <c r="P1025" s="1" t="s">
        <v>5749</v>
      </c>
      <c r="Q1025" s="87" t="s">
        <v>5750</v>
      </c>
      <c r="R1025" s="1">
        <v>97178</v>
      </c>
      <c r="S1025" s="4"/>
      <c r="T1025" s="4"/>
      <c r="U1025" s="4"/>
      <c r="V1025" s="4" t="s">
        <v>36</v>
      </c>
      <c r="W1025" s="4" t="s">
        <v>37</v>
      </c>
      <c r="X1025" s="1" t="s">
        <v>59</v>
      </c>
      <c r="Y1025" s="167" t="s">
        <v>39</v>
      </c>
      <c r="Z1025" s="4"/>
    </row>
    <row r="1026" spans="1:38">
      <c r="A1026" s="164" t="s">
        <v>812</v>
      </c>
      <c r="B1026" s="29" t="s">
        <v>3979</v>
      </c>
      <c r="C1026" s="4" t="s">
        <v>5082</v>
      </c>
      <c r="D1026" s="130"/>
      <c r="E1026" s="232">
        <v>45901</v>
      </c>
      <c r="F1026" s="2">
        <f>E1026+14</f>
        <v>45915</v>
      </c>
      <c r="G1026" s="232" t="s">
        <v>42</v>
      </c>
      <c r="H1026" s="41">
        <v>16750</v>
      </c>
      <c r="I1026" s="41" t="s">
        <v>5083</v>
      </c>
      <c r="J1026" s="1" t="s">
        <v>844</v>
      </c>
      <c r="K1026" s="1" t="s">
        <v>31</v>
      </c>
      <c r="L1026" s="1">
        <v>85338</v>
      </c>
      <c r="M1026" s="1" t="s">
        <v>32</v>
      </c>
      <c r="N1026" s="4"/>
      <c r="O1026" s="1" t="s">
        <v>5751</v>
      </c>
      <c r="P1026" s="1" t="s">
        <v>5752</v>
      </c>
      <c r="Q1026" s="239" t="s">
        <v>5753</v>
      </c>
      <c r="R1026" s="178">
        <v>106441</v>
      </c>
      <c r="S1026" s="4"/>
      <c r="T1026" s="4"/>
      <c r="U1026" s="4"/>
      <c r="V1026" s="4" t="s">
        <v>443</v>
      </c>
      <c r="W1026" s="4" t="s">
        <v>37</v>
      </c>
      <c r="X1026" s="4" t="s">
        <v>616</v>
      </c>
      <c r="Y1026" s="235" t="s">
        <v>617</v>
      </c>
      <c r="Z1026" s="4"/>
      <c r="AA1026" s="4"/>
      <c r="AB1026" s="4"/>
      <c r="AC1026" s="4"/>
      <c r="AD1026" s="4"/>
      <c r="AE1026" s="4"/>
      <c r="AF1026" s="4"/>
      <c r="AG1026" s="4"/>
      <c r="AH1026" s="4"/>
      <c r="AI1026" s="4"/>
      <c r="AJ1026" s="4"/>
      <c r="AK1026" s="4"/>
      <c r="AL1026" s="4"/>
    </row>
    <row r="1027" spans="1:38">
      <c r="A1027" s="164" t="s">
        <v>812</v>
      </c>
      <c r="B1027" s="349" t="s">
        <v>858</v>
      </c>
      <c r="C1027" s="348" t="s">
        <v>5754</v>
      </c>
      <c r="D1027" s="312"/>
      <c r="E1027" s="232">
        <v>45902</v>
      </c>
      <c r="F1027" s="2">
        <f>E1027+14</f>
        <v>45916</v>
      </c>
      <c r="G1027" s="331" t="s">
        <v>28</v>
      </c>
      <c r="H1027" s="41">
        <v>12317</v>
      </c>
      <c r="I1027" s="1" t="s">
        <v>5755</v>
      </c>
      <c r="J1027" s="1" t="s">
        <v>837</v>
      </c>
      <c r="K1027" s="1" t="s">
        <v>31</v>
      </c>
      <c r="L1027" s="1">
        <v>85338</v>
      </c>
      <c r="M1027" s="1" t="s">
        <v>32</v>
      </c>
      <c r="N1027" s="4"/>
      <c r="O1027" s="179" t="s">
        <v>5756</v>
      </c>
      <c r="P1027" s="179" t="s">
        <v>5757</v>
      </c>
      <c r="Q1027" s="239" t="s">
        <v>5758</v>
      </c>
      <c r="R1027" s="174"/>
      <c r="S1027" s="4"/>
      <c r="T1027" s="4"/>
      <c r="U1027" s="4"/>
      <c r="V1027" s="4" t="s">
        <v>443</v>
      </c>
      <c r="W1027" s="4" t="s">
        <v>37</v>
      </c>
      <c r="X1027" s="4" t="s">
        <v>616</v>
      </c>
      <c r="Y1027" s="235" t="s">
        <v>617</v>
      </c>
      <c r="Z1027" s="4"/>
      <c r="AA1027" s="4"/>
      <c r="AB1027" s="4"/>
      <c r="AC1027" s="4"/>
      <c r="AD1027" s="4"/>
      <c r="AE1027" s="4"/>
      <c r="AF1027" s="4"/>
      <c r="AG1027" s="4"/>
      <c r="AH1027" s="4"/>
      <c r="AI1027" s="4"/>
      <c r="AJ1027" s="4"/>
      <c r="AK1027" s="4"/>
      <c r="AL1027" s="4"/>
    </row>
    <row r="1028" spans="1:38">
      <c r="A1028" s="163" t="s">
        <v>25</v>
      </c>
      <c r="B1028" s="15" t="s">
        <v>864</v>
      </c>
      <c r="C1028" s="29" t="s">
        <v>5759</v>
      </c>
      <c r="D1028" s="130"/>
      <c r="E1028" s="2">
        <v>45908</v>
      </c>
      <c r="F1028" s="2">
        <f>E1028+14</f>
        <v>45922</v>
      </c>
      <c r="G1028" s="332" t="s">
        <v>42</v>
      </c>
      <c r="H1028" s="41">
        <v>22335</v>
      </c>
      <c r="I1028" s="1" t="s">
        <v>5526</v>
      </c>
      <c r="J1028" s="1" t="s">
        <v>129</v>
      </c>
      <c r="K1028" s="1" t="s">
        <v>31</v>
      </c>
      <c r="L1028" s="1">
        <v>85142</v>
      </c>
      <c r="M1028" s="1" t="s">
        <v>76</v>
      </c>
      <c r="N1028" s="4"/>
      <c r="O1028" s="1" t="s">
        <v>5760</v>
      </c>
      <c r="P1028" s="1" t="s">
        <v>5761</v>
      </c>
      <c r="Q1028" s="87" t="s">
        <v>5762</v>
      </c>
      <c r="R1028" s="124" t="s">
        <v>314</v>
      </c>
      <c r="S1028" s="4"/>
      <c r="T1028" s="4"/>
      <c r="U1028" s="4"/>
      <c r="V1028" s="4" t="s">
        <v>36</v>
      </c>
      <c r="W1028" s="4" t="s">
        <v>37</v>
      </c>
      <c r="X1028" s="4" t="s">
        <v>38</v>
      </c>
      <c r="Y1028" s="235" t="s">
        <v>39</v>
      </c>
    </row>
    <row r="1029" spans="1:38">
      <c r="A1029" s="358" t="s">
        <v>394</v>
      </c>
      <c r="B1029" s="29" t="s">
        <v>743</v>
      </c>
      <c r="C1029" s="107" t="s">
        <v>5763</v>
      </c>
      <c r="D1029" s="130"/>
      <c r="E1029" s="2">
        <v>45912</v>
      </c>
      <c r="F1029" s="2">
        <f>E1029+14</f>
        <v>45926</v>
      </c>
      <c r="G1029" s="331" t="s">
        <v>28</v>
      </c>
      <c r="H1029" s="41">
        <v>16875</v>
      </c>
      <c r="I1029" s="1" t="s">
        <v>750</v>
      </c>
      <c r="J1029" s="1" t="s">
        <v>751</v>
      </c>
      <c r="K1029" s="1" t="s">
        <v>31</v>
      </c>
      <c r="L1029" s="1"/>
      <c r="M1029" s="1" t="s">
        <v>32</v>
      </c>
      <c r="N1029" s="4"/>
      <c r="O1029" s="1" t="s">
        <v>752</v>
      </c>
      <c r="P1029" s="1" t="s">
        <v>753</v>
      </c>
      <c r="Q1029" s="184" t="s">
        <v>754</v>
      </c>
      <c r="R1029" s="178">
        <v>108297</v>
      </c>
      <c r="S1029" s="4"/>
      <c r="T1029" s="4"/>
      <c r="U1029" s="4"/>
      <c r="V1029" s="4" t="s">
        <v>36</v>
      </c>
      <c r="W1029" s="4" t="s">
        <v>37</v>
      </c>
      <c r="X1029" s="4" t="s">
        <v>98</v>
      </c>
      <c r="Y1029" s="235" t="s">
        <v>99</v>
      </c>
      <c r="Z1029" s="4"/>
    </row>
    <row r="1030" spans="1:38">
      <c r="A1030" s="358" t="s">
        <v>394</v>
      </c>
      <c r="B1030" s="29" t="s">
        <v>323</v>
      </c>
      <c r="C1030" s="4" t="s">
        <v>5764</v>
      </c>
      <c r="D1030" s="130" t="s">
        <v>516</v>
      </c>
      <c r="E1030" s="232">
        <v>45894</v>
      </c>
      <c r="F1030" s="2">
        <f>E1030+28</f>
        <v>45922</v>
      </c>
      <c r="G1030" s="331" t="s">
        <v>42</v>
      </c>
      <c r="H1030" s="41"/>
      <c r="I1030" s="1" t="s">
        <v>5765</v>
      </c>
      <c r="J1030" s="1" t="s">
        <v>434</v>
      </c>
      <c r="K1030" s="1" t="s">
        <v>31</v>
      </c>
      <c r="L1030" s="1">
        <v>85054</v>
      </c>
      <c r="M1030" s="1" t="s">
        <v>32</v>
      </c>
      <c r="N1030" s="4"/>
      <c r="O1030" s="1" t="s">
        <v>4907</v>
      </c>
      <c r="P1030" s="1" t="s">
        <v>2829</v>
      </c>
      <c r="Q1030" s="184" t="s">
        <v>5766</v>
      </c>
      <c r="R1030" s="178">
        <v>101476</v>
      </c>
      <c r="S1030" s="4"/>
      <c r="T1030" s="4"/>
      <c r="U1030" s="4"/>
      <c r="V1030" s="4" t="s">
        <v>443</v>
      </c>
      <c r="W1030" s="4" t="s">
        <v>37</v>
      </c>
      <c r="X1030" s="17" t="s">
        <v>98</v>
      </c>
      <c r="Y1030" s="302" t="s">
        <v>99</v>
      </c>
      <c r="Z1030" s="167" t="s">
        <v>364</v>
      </c>
      <c r="AA1030" s="4"/>
      <c r="AB1030" s="4"/>
      <c r="AC1030" s="4"/>
      <c r="AD1030" s="4"/>
      <c r="AE1030" s="4"/>
      <c r="AF1030" s="4"/>
      <c r="AG1030" s="4"/>
      <c r="AH1030" s="4"/>
      <c r="AI1030" s="4"/>
      <c r="AJ1030" s="4"/>
      <c r="AK1030" s="4"/>
      <c r="AL1030" s="4"/>
    </row>
    <row r="1031" spans="1:38">
      <c r="A1031" s="358" t="s">
        <v>394</v>
      </c>
      <c r="B1031" s="29" t="s">
        <v>4845</v>
      </c>
      <c r="C1031" s="4" t="s">
        <v>5767</v>
      </c>
      <c r="D1031" s="130"/>
      <c r="E1031" s="232">
        <v>45909</v>
      </c>
      <c r="F1031" s="60">
        <f>E1031+14</f>
        <v>45923</v>
      </c>
      <c r="G1031" s="331" t="s">
        <v>42</v>
      </c>
      <c r="H1031" s="41" t="s">
        <v>184</v>
      </c>
      <c r="I1031" s="1" t="s">
        <v>5768</v>
      </c>
      <c r="J1031" s="1" t="s">
        <v>434</v>
      </c>
      <c r="K1031" s="1" t="s">
        <v>31</v>
      </c>
      <c r="L1031" s="1">
        <v>85002</v>
      </c>
      <c r="M1031" s="1" t="s">
        <v>32</v>
      </c>
      <c r="N1031" s="4"/>
      <c r="O1031" s="1" t="s">
        <v>5769</v>
      </c>
      <c r="P1031" s="1" t="s">
        <v>5770</v>
      </c>
      <c r="Q1031" s="87" t="s">
        <v>5771</v>
      </c>
      <c r="R1031" s="31">
        <v>100229</v>
      </c>
      <c r="S1031" s="4"/>
      <c r="T1031" s="4"/>
      <c r="U1031" s="4"/>
      <c r="V1031" s="4" t="s">
        <v>443</v>
      </c>
      <c r="W1031" s="4" t="s">
        <v>37</v>
      </c>
      <c r="X1031" s="4" t="s">
        <v>98</v>
      </c>
      <c r="Y1031" s="235" t="s">
        <v>99</v>
      </c>
      <c r="Z1031" s="4"/>
      <c r="AA1031" s="4"/>
      <c r="AB1031" s="4"/>
      <c r="AC1031" s="4"/>
      <c r="AD1031" s="4"/>
      <c r="AE1031" s="4"/>
      <c r="AF1031" s="4"/>
      <c r="AG1031" s="4"/>
      <c r="AH1031" s="4"/>
      <c r="AI1031" s="4"/>
      <c r="AJ1031" s="4"/>
      <c r="AK1031" s="4"/>
      <c r="AL1031" s="4"/>
    </row>
    <row r="1032" spans="1:38">
      <c r="A1032" s="358" t="s">
        <v>394</v>
      </c>
      <c r="B1032" s="29" t="s">
        <v>282</v>
      </c>
      <c r="C1032" s="4" t="s">
        <v>5772</v>
      </c>
      <c r="D1032" s="130"/>
      <c r="E1032" s="2">
        <v>45905</v>
      </c>
      <c r="F1032" s="2">
        <f>E1032+14</f>
        <v>45919</v>
      </c>
      <c r="G1032" s="331" t="s">
        <v>42</v>
      </c>
      <c r="H1032" s="41">
        <v>143</v>
      </c>
      <c r="I1032" s="25" t="s">
        <v>5773</v>
      </c>
      <c r="J1032" s="1" t="s">
        <v>63</v>
      </c>
      <c r="K1032" s="1" t="s">
        <v>31</v>
      </c>
      <c r="L1032" s="1">
        <v>85206</v>
      </c>
      <c r="M1032" s="1" t="s">
        <v>32</v>
      </c>
      <c r="N1032" s="4"/>
      <c r="O1032" s="1" t="s">
        <v>5774</v>
      </c>
      <c r="P1032" s="1" t="s">
        <v>5775</v>
      </c>
      <c r="Q1032" s="87" t="s">
        <v>5776</v>
      </c>
      <c r="R1032" s="31">
        <v>102568</v>
      </c>
      <c r="S1032" s="4"/>
      <c r="T1032" s="4"/>
      <c r="U1032" s="4"/>
      <c r="V1032" s="4" t="s">
        <v>36</v>
      </c>
      <c r="W1032" s="4" t="s">
        <v>37</v>
      </c>
      <c r="X1032" s="17" t="s">
        <v>98</v>
      </c>
      <c r="Y1032" s="302" t="s">
        <v>99</v>
      </c>
      <c r="Z1032" s="4"/>
      <c r="AA1032" s="4"/>
      <c r="AB1032" s="4"/>
      <c r="AC1032" s="4"/>
      <c r="AD1032" s="4"/>
      <c r="AE1032" s="4"/>
      <c r="AF1032" s="4"/>
      <c r="AG1032" s="4"/>
      <c r="AH1032" s="4"/>
      <c r="AI1032" s="4"/>
      <c r="AJ1032" s="4"/>
      <c r="AK1032" s="4"/>
      <c r="AL1032" s="4"/>
    </row>
    <row r="1033" spans="1:38">
      <c r="A1033" s="358" t="s">
        <v>394</v>
      </c>
      <c r="B1033" s="15" t="s">
        <v>5679</v>
      </c>
      <c r="C1033" s="29" t="s">
        <v>5777</v>
      </c>
      <c r="D1033" s="4" t="s">
        <v>364</v>
      </c>
      <c r="E1033" s="2">
        <v>45912</v>
      </c>
      <c r="F1033" s="2">
        <f>E1033+14</f>
        <v>45926</v>
      </c>
      <c r="G1033" s="41" t="s">
        <v>42</v>
      </c>
      <c r="H1033" s="1">
        <v>15515</v>
      </c>
      <c r="I1033" s="1" t="s">
        <v>5778</v>
      </c>
      <c r="J1033" s="1" t="s">
        <v>398</v>
      </c>
      <c r="K1033" s="1" t="s">
        <v>31</v>
      </c>
      <c r="L1033" s="1">
        <v>85260</v>
      </c>
      <c r="M1033" s="1" t="s">
        <v>32</v>
      </c>
      <c r="N1033" s="4"/>
      <c r="O1033" s="4" t="s">
        <v>5779</v>
      </c>
      <c r="P1033" s="1" t="s">
        <v>5780</v>
      </c>
      <c r="Q1033" s="129" t="s">
        <v>5781</v>
      </c>
      <c r="R1033" s="124" t="s">
        <v>314</v>
      </c>
      <c r="S1033" s="4"/>
      <c r="T1033" s="4"/>
      <c r="U1033" s="4"/>
      <c r="V1033" s="4" t="s">
        <v>36</v>
      </c>
      <c r="W1033" s="4" t="s">
        <v>37</v>
      </c>
      <c r="X1033" s="4" t="s">
        <v>98</v>
      </c>
      <c r="Y1033" s="235" t="s">
        <v>99</v>
      </c>
      <c r="Z1033" s="4"/>
    </row>
    <row r="1034" spans="1:38">
      <c r="A1034" s="163" t="s">
        <v>25</v>
      </c>
      <c r="B1034" s="15" t="s">
        <v>559</v>
      </c>
      <c r="C1034" s="29" t="s">
        <v>5782</v>
      </c>
      <c r="D1034" s="26">
        <v>45547</v>
      </c>
      <c r="E1034" s="2">
        <v>45925</v>
      </c>
      <c r="F1034" s="2">
        <f>E1034+14</f>
        <v>45939</v>
      </c>
      <c r="G1034" s="41" t="s">
        <v>42</v>
      </c>
      <c r="H1034" s="1">
        <v>1917</v>
      </c>
      <c r="I1034" s="1" t="s">
        <v>3870</v>
      </c>
      <c r="J1034" s="1" t="s">
        <v>63</v>
      </c>
      <c r="K1034" s="1" t="s">
        <v>31</v>
      </c>
      <c r="L1034" s="1">
        <v>85209</v>
      </c>
      <c r="M1034" s="1" t="s">
        <v>32</v>
      </c>
      <c r="N1034" s="4"/>
      <c r="O1034" s="1" t="s">
        <v>4756</v>
      </c>
      <c r="P1034" s="1" t="s">
        <v>5783</v>
      </c>
      <c r="Q1034" s="1" t="s">
        <v>5784</v>
      </c>
      <c r="R1034" s="1">
        <v>104157</v>
      </c>
      <c r="S1034" s="4"/>
      <c r="T1034" s="4"/>
      <c r="U1034" s="4"/>
      <c r="V1034" s="4" t="s">
        <v>36</v>
      </c>
      <c r="W1034" s="4" t="s">
        <v>37</v>
      </c>
      <c r="X1034" s="17" t="s">
        <v>38</v>
      </c>
      <c r="Y1034" s="302" t="s">
        <v>39</v>
      </c>
      <c r="Z1034" s="4"/>
    </row>
    <row r="1035" spans="1:38">
      <c r="A1035" s="163" t="s">
        <v>25</v>
      </c>
      <c r="B1035" s="15" t="s">
        <v>761</v>
      </c>
      <c r="C1035" s="29" t="s">
        <v>5785</v>
      </c>
      <c r="D1035" s="4" t="s">
        <v>5786</v>
      </c>
      <c r="E1035" s="2">
        <v>45916</v>
      </c>
      <c r="F1035" s="2">
        <f>E1035+14</f>
        <v>45930</v>
      </c>
      <c r="G1035" s="41" t="s">
        <v>28</v>
      </c>
      <c r="H1035" s="1">
        <v>3725</v>
      </c>
      <c r="I1035" s="1" t="s">
        <v>5787</v>
      </c>
      <c r="J1035" s="1" t="s">
        <v>49</v>
      </c>
      <c r="K1035" s="1" t="s">
        <v>31</v>
      </c>
      <c r="L1035" s="1">
        <v>85297</v>
      </c>
      <c r="M1035" s="1" t="s">
        <v>32</v>
      </c>
      <c r="N1035" s="4"/>
      <c r="O1035" s="4" t="s">
        <v>4996</v>
      </c>
      <c r="P1035" s="1" t="s">
        <v>766</v>
      </c>
      <c r="Q1035" s="255" t="s">
        <v>5788</v>
      </c>
      <c r="R1035" s="125" t="s">
        <v>318</v>
      </c>
      <c r="S1035" s="4"/>
      <c r="T1035" s="4"/>
      <c r="U1035" s="4"/>
      <c r="V1035" s="4" t="s">
        <v>36</v>
      </c>
      <c r="W1035" s="4" t="s">
        <v>37</v>
      </c>
      <c r="X1035" s="17" t="s">
        <v>38</v>
      </c>
      <c r="Y1035" s="302" t="s">
        <v>39</v>
      </c>
      <c r="Z1035" s="4"/>
    </row>
    <row r="1036" spans="1:38">
      <c r="A1036" s="163" t="s">
        <v>25</v>
      </c>
      <c r="B1036" s="29" t="s">
        <v>5789</v>
      </c>
      <c r="C1036" s="4" t="s">
        <v>5790</v>
      </c>
      <c r="D1036" s="130"/>
      <c r="E1036" s="2">
        <v>45915</v>
      </c>
      <c r="F1036" s="2">
        <f>E1036+14</f>
        <v>45929</v>
      </c>
      <c r="G1036" s="232" t="s">
        <v>42</v>
      </c>
      <c r="H1036" s="41">
        <v>7200</v>
      </c>
      <c r="I1036" s="1" t="s">
        <v>5791</v>
      </c>
      <c r="J1036" s="1" t="s">
        <v>69</v>
      </c>
      <c r="K1036" s="1" t="s">
        <v>31</v>
      </c>
      <c r="L1036" s="1">
        <v>85226</v>
      </c>
      <c r="M1036" s="1" t="s">
        <v>32</v>
      </c>
      <c r="N1036" s="4"/>
      <c r="O1036" s="1" t="s">
        <v>5792</v>
      </c>
      <c r="P1036" s="1" t="s">
        <v>5793</v>
      </c>
      <c r="Q1036" s="87" t="s">
        <v>5794</v>
      </c>
      <c r="R1036" s="174"/>
      <c r="S1036" s="4"/>
      <c r="T1036" s="4"/>
      <c r="U1036" s="4"/>
      <c r="V1036" s="4" t="s">
        <v>36</v>
      </c>
      <c r="W1036" s="4" t="s">
        <v>37</v>
      </c>
      <c r="X1036" s="1" t="s">
        <v>59</v>
      </c>
      <c r="Y1036" s="167" t="s">
        <v>39</v>
      </c>
      <c r="Z1036" s="4"/>
    </row>
    <row r="1037" spans="1:38">
      <c r="A1037" s="164" t="s">
        <v>812</v>
      </c>
      <c r="B1037" s="29" t="s">
        <v>2068</v>
      </c>
      <c r="C1037" s="355" t="s">
        <v>5795</v>
      </c>
      <c r="D1037" s="130" t="s">
        <v>516</v>
      </c>
      <c r="E1037" s="232">
        <v>45898</v>
      </c>
      <c r="F1037" s="2">
        <f>E1037+28</f>
        <v>45926</v>
      </c>
      <c r="G1037" s="331" t="s">
        <v>42</v>
      </c>
      <c r="H1037" s="41" t="s">
        <v>528</v>
      </c>
      <c r="I1037" s="1" t="s">
        <v>5796</v>
      </c>
      <c r="J1037" s="1" t="s">
        <v>3150</v>
      </c>
      <c r="K1037" s="1" t="s">
        <v>31</v>
      </c>
      <c r="L1037" s="1">
        <v>85365</v>
      </c>
      <c r="M1037" s="1" t="s">
        <v>32</v>
      </c>
      <c r="N1037" s="4"/>
      <c r="O1037" s="1" t="s">
        <v>4369</v>
      </c>
      <c r="P1037" s="1" t="s">
        <v>4370</v>
      </c>
      <c r="Q1037" s="87" t="s">
        <v>5797</v>
      </c>
      <c r="R1037" s="31">
        <v>106728</v>
      </c>
      <c r="S1037" s="4"/>
      <c r="T1037" s="4"/>
      <c r="U1037" s="4"/>
      <c r="V1037" s="4" t="s">
        <v>443</v>
      </c>
      <c r="W1037" s="4" t="s">
        <v>37</v>
      </c>
      <c r="X1037" s="4" t="s">
        <v>616</v>
      </c>
      <c r="Y1037" s="235" t="s">
        <v>617</v>
      </c>
      <c r="Z1037" s="167" t="s">
        <v>364</v>
      </c>
    </row>
    <row r="1038" spans="1:38">
      <c r="A1038" s="358" t="s">
        <v>394</v>
      </c>
      <c r="B1038" s="29" t="s">
        <v>1122</v>
      </c>
      <c r="C1038" s="4" t="s">
        <v>5798</v>
      </c>
      <c r="D1038" s="130"/>
      <c r="E1038" s="232">
        <v>45924</v>
      </c>
      <c r="F1038" s="2">
        <f>E1038+14</f>
        <v>45938</v>
      </c>
      <c r="G1038" s="331" t="s">
        <v>42</v>
      </c>
      <c r="H1038" s="41">
        <v>2350</v>
      </c>
      <c r="I1038" s="1" t="s">
        <v>5799</v>
      </c>
      <c r="J1038" s="1" t="s">
        <v>434</v>
      </c>
      <c r="K1038" s="1" t="s">
        <v>31</v>
      </c>
      <c r="L1038" s="1">
        <v>85085</v>
      </c>
      <c r="M1038" s="1" t="s">
        <v>32</v>
      </c>
      <c r="N1038" s="4"/>
      <c r="O1038" s="1" t="s">
        <v>1126</v>
      </c>
      <c r="P1038" s="179" t="s">
        <v>5800</v>
      </c>
      <c r="Q1038" s="265" t="s">
        <v>5801</v>
      </c>
      <c r="R1038" s="178">
        <v>105788</v>
      </c>
      <c r="S1038" s="4"/>
      <c r="T1038" s="4"/>
      <c r="U1038" s="4"/>
      <c r="V1038" s="4" t="s">
        <v>443</v>
      </c>
      <c r="W1038" s="4" t="s">
        <v>37</v>
      </c>
      <c r="X1038" s="4" t="s">
        <v>98</v>
      </c>
      <c r="Y1038" s="235" t="s">
        <v>99</v>
      </c>
      <c r="Z1038" s="167" t="s">
        <v>364</v>
      </c>
    </row>
    <row r="1039" spans="1:38">
      <c r="A1039" s="258" t="s">
        <v>812</v>
      </c>
      <c r="B1039" s="15" t="s">
        <v>4397</v>
      </c>
      <c r="C1039" s="144" t="s">
        <v>5802</v>
      </c>
      <c r="D1039" s="26"/>
      <c r="E1039" s="232">
        <v>45925</v>
      </c>
      <c r="F1039" s="2">
        <f>E1039+14</f>
        <v>45939</v>
      </c>
      <c r="G1039" s="42" t="s">
        <v>42</v>
      </c>
      <c r="H1039" s="1">
        <v>4150</v>
      </c>
      <c r="I1039" s="1" t="s">
        <v>5803</v>
      </c>
      <c r="J1039" s="1" t="s">
        <v>916</v>
      </c>
      <c r="K1039" s="1" t="s">
        <v>31</v>
      </c>
      <c r="L1039" s="1">
        <v>85756</v>
      </c>
      <c r="M1039" s="1" t="s">
        <v>32</v>
      </c>
      <c r="N1039" s="4"/>
      <c r="O1039" s="1" t="s">
        <v>5804</v>
      </c>
      <c r="P1039" s="1" t="s">
        <v>5805</v>
      </c>
      <c r="Q1039" s="184" t="s">
        <v>5806</v>
      </c>
      <c r="R1039" s="179" t="s">
        <v>35</v>
      </c>
      <c r="S1039" s="4"/>
      <c r="T1039" s="4"/>
      <c r="U1039" s="4"/>
      <c r="V1039" s="4" t="s">
        <v>443</v>
      </c>
      <c r="W1039" s="4" t="s">
        <v>37</v>
      </c>
      <c r="X1039" s="4" t="s">
        <v>616</v>
      </c>
      <c r="Y1039" s="235" t="s">
        <v>617</v>
      </c>
      <c r="Z1039" s="4"/>
      <c r="AA1039" s="4"/>
      <c r="AB1039" s="4"/>
      <c r="AC1039" s="4"/>
      <c r="AD1039" s="4"/>
      <c r="AE1039" s="4"/>
      <c r="AF1039" s="4"/>
      <c r="AG1039" s="4"/>
      <c r="AH1039" s="4"/>
      <c r="AI1039" s="4"/>
      <c r="AJ1039" s="4"/>
      <c r="AK1039" s="4"/>
      <c r="AL1039" s="4"/>
    </row>
    <row r="1040" spans="1:38">
      <c r="A1040" s="164" t="s">
        <v>812</v>
      </c>
      <c r="B1040" s="29" t="s">
        <v>5015</v>
      </c>
      <c r="C1040" t="s">
        <v>5807</v>
      </c>
      <c r="D1040" s="130"/>
      <c r="E1040" s="232">
        <v>45922</v>
      </c>
      <c r="F1040" s="2">
        <f>E1040+14</f>
        <v>45936</v>
      </c>
      <c r="G1040" s="331" t="s">
        <v>404</v>
      </c>
      <c r="H1040" s="41"/>
      <c r="I1040" s="1" t="s">
        <v>5808</v>
      </c>
      <c r="J1040" s="1" t="s">
        <v>873</v>
      </c>
      <c r="K1040" s="1" t="s">
        <v>31</v>
      </c>
      <c r="L1040" s="1"/>
      <c r="M1040" s="1"/>
      <c r="N1040" s="4"/>
      <c r="O1040" s="1" t="s">
        <v>5809</v>
      </c>
      <c r="P1040" s="1" t="s">
        <v>5810</v>
      </c>
      <c r="Q1040" s="87" t="s">
        <v>5811</v>
      </c>
      <c r="R1040" s="31">
        <v>105935</v>
      </c>
      <c r="S1040" s="4"/>
      <c r="T1040" s="4"/>
      <c r="U1040" s="4"/>
      <c r="V1040" s="4" t="s">
        <v>443</v>
      </c>
      <c r="W1040" s="4" t="s">
        <v>37</v>
      </c>
      <c r="X1040" s="17" t="s">
        <v>616</v>
      </c>
      <c r="Y1040" s="302" t="s">
        <v>617</v>
      </c>
      <c r="Z1040" s="167" t="s">
        <v>364</v>
      </c>
      <c r="AA1040" s="4"/>
      <c r="AB1040" s="4"/>
      <c r="AC1040" s="4"/>
      <c r="AD1040" s="4"/>
      <c r="AE1040" s="4"/>
      <c r="AF1040" s="4"/>
      <c r="AG1040" s="4"/>
      <c r="AH1040" s="4"/>
      <c r="AI1040" s="119"/>
      <c r="AJ1040" s="119"/>
      <c r="AK1040" s="119"/>
      <c r="AL1040" s="119"/>
    </row>
    <row r="1041" spans="1:38">
      <c r="A1041" s="358" t="s">
        <v>394</v>
      </c>
      <c r="B1041" s="29" t="s">
        <v>2233</v>
      </c>
      <c r="C1041" s="4" t="s">
        <v>5812</v>
      </c>
      <c r="D1041" s="130"/>
      <c r="E1041" s="232">
        <v>45923</v>
      </c>
      <c r="F1041" s="2">
        <f>E1041+14</f>
        <v>45937</v>
      </c>
      <c r="G1041" s="331" t="s">
        <v>42</v>
      </c>
      <c r="H1041" s="41">
        <v>31700</v>
      </c>
      <c r="I1041" s="1" t="s">
        <v>549</v>
      </c>
      <c r="J1041" s="1" t="s">
        <v>434</v>
      </c>
      <c r="K1041" s="1" t="s">
        <v>31</v>
      </c>
      <c r="L1041" s="375"/>
      <c r="M1041" s="1" t="s">
        <v>32</v>
      </c>
      <c r="N1041" s="4"/>
      <c r="O1041" s="1" t="s">
        <v>5813</v>
      </c>
      <c r="P1041" s="1" t="s">
        <v>5814</v>
      </c>
      <c r="Q1041" s="129" t="s">
        <v>5815</v>
      </c>
      <c r="R1041" s="31">
        <v>99272</v>
      </c>
      <c r="S1041" s="4"/>
      <c r="T1041" s="4"/>
      <c r="U1041" s="4"/>
      <c r="V1041" s="4" t="s">
        <v>443</v>
      </c>
      <c r="W1041" s="4" t="s">
        <v>37</v>
      </c>
      <c r="X1041" s="17" t="s">
        <v>98</v>
      </c>
      <c r="Y1041" s="302" t="s">
        <v>99</v>
      </c>
      <c r="Z1041" s="168"/>
      <c r="AA1041" s="4"/>
      <c r="AB1041" s="4"/>
      <c r="AC1041" s="4"/>
      <c r="AD1041" s="4"/>
      <c r="AE1041" s="4"/>
      <c r="AF1041" s="4"/>
      <c r="AG1041" s="4"/>
      <c r="AH1041" s="4"/>
    </row>
    <row r="1042" spans="1:38">
      <c r="A1042" s="358" t="s">
        <v>394</v>
      </c>
      <c r="B1042" s="15" t="s">
        <v>372</v>
      </c>
      <c r="C1042" s="4" t="s">
        <v>5816</v>
      </c>
      <c r="D1042" s="130"/>
      <c r="E1042" s="232">
        <v>45924</v>
      </c>
      <c r="F1042" s="2">
        <f>E1042+14</f>
        <v>45938</v>
      </c>
      <c r="G1042" s="331" t="s">
        <v>42</v>
      </c>
      <c r="H1042" s="41">
        <v>2402</v>
      </c>
      <c r="I1042" s="1" t="s">
        <v>5817</v>
      </c>
      <c r="J1042" s="1" t="s">
        <v>1358</v>
      </c>
      <c r="K1042" s="1" t="s">
        <v>31</v>
      </c>
      <c r="L1042" s="1">
        <v>85331</v>
      </c>
      <c r="M1042" s="1" t="s">
        <v>32</v>
      </c>
      <c r="N1042" s="4"/>
      <c r="O1042" s="1" t="s">
        <v>5818</v>
      </c>
      <c r="P1042" s="1" t="s">
        <v>5819</v>
      </c>
      <c r="Q1042" s="87" t="s">
        <v>5820</v>
      </c>
      <c r="R1042" s="31">
        <v>106482</v>
      </c>
      <c r="S1042" s="4"/>
      <c r="T1042" s="4"/>
      <c r="U1042" s="4"/>
      <c r="V1042" s="4" t="s">
        <v>36</v>
      </c>
      <c r="W1042" s="4" t="s">
        <v>37</v>
      </c>
      <c r="X1042" s="4" t="s">
        <v>98</v>
      </c>
      <c r="Y1042" s="235" t="s">
        <v>99</v>
      </c>
      <c r="Z1042" s="4"/>
      <c r="AA1042" s="4"/>
      <c r="AB1042" s="4"/>
      <c r="AC1042" s="4"/>
      <c r="AD1042" s="4"/>
      <c r="AE1042" s="4"/>
      <c r="AF1042" s="4"/>
      <c r="AG1042" s="4"/>
      <c r="AH1042" s="4"/>
    </row>
    <row r="1043" spans="1:38">
      <c r="A1043" s="258" t="s">
        <v>812</v>
      </c>
      <c r="B1043" s="349" t="s">
        <v>3512</v>
      </c>
      <c r="C1043" s="4" t="s">
        <v>3916</v>
      </c>
      <c r="D1043" s="130"/>
      <c r="E1043" s="232">
        <v>45925</v>
      </c>
      <c r="F1043" s="2">
        <f>E1043+14</f>
        <v>45939</v>
      </c>
      <c r="G1043" s="331" t="s">
        <v>28</v>
      </c>
      <c r="H1043" s="41">
        <v>2713</v>
      </c>
      <c r="I1043" s="1" t="s">
        <v>5821</v>
      </c>
      <c r="J1043" s="1" t="s">
        <v>916</v>
      </c>
      <c r="K1043" s="1" t="s">
        <v>31</v>
      </c>
      <c r="L1043" s="1">
        <v>85756</v>
      </c>
      <c r="M1043" s="1" t="s">
        <v>32</v>
      </c>
      <c r="N1043" s="4"/>
      <c r="O1043" s="1" t="s">
        <v>5822</v>
      </c>
      <c r="P1043" s="1" t="s">
        <v>3389</v>
      </c>
      <c r="Q1043" s="87" t="s">
        <v>5823</v>
      </c>
      <c r="R1043" s="178">
        <v>105898</v>
      </c>
      <c r="S1043" s="4"/>
      <c r="T1043" s="4"/>
      <c r="U1043" s="4"/>
      <c r="V1043" s="4" t="s">
        <v>443</v>
      </c>
      <c r="W1043" s="4" t="s">
        <v>37</v>
      </c>
      <c r="X1043" s="17" t="s">
        <v>616</v>
      </c>
      <c r="Y1043" s="302" t="s">
        <v>617</v>
      </c>
      <c r="Z1043" s="4"/>
      <c r="AA1043" s="4"/>
      <c r="AB1043" s="4"/>
      <c r="AC1043" s="4"/>
      <c r="AD1043" s="4"/>
      <c r="AE1043" s="4"/>
      <c r="AF1043" s="4"/>
      <c r="AG1043" s="4"/>
      <c r="AH1043" s="4"/>
    </row>
    <row r="1044" spans="1:38">
      <c r="A1044" s="164" t="s">
        <v>812</v>
      </c>
      <c r="B1044" s="29" t="s">
        <v>1185</v>
      </c>
      <c r="C1044" s="4" t="s">
        <v>5824</v>
      </c>
      <c r="D1044" s="2"/>
      <c r="E1044" s="232">
        <v>45929</v>
      </c>
      <c r="F1044" s="2">
        <f>E1044+14</f>
        <v>45943</v>
      </c>
      <c r="G1044" s="331" t="s">
        <v>42</v>
      </c>
      <c r="H1044" s="41" t="s">
        <v>528</v>
      </c>
      <c r="I1044" s="1" t="s">
        <v>3860</v>
      </c>
      <c r="J1044" s="1" t="s">
        <v>844</v>
      </c>
      <c r="K1044" s="1" t="s">
        <v>31</v>
      </c>
      <c r="L1044" s="1">
        <v>85338</v>
      </c>
      <c r="M1044" s="1" t="s">
        <v>32</v>
      </c>
      <c r="N1044" s="4"/>
      <c r="O1044" s="179" t="s">
        <v>1188</v>
      </c>
      <c r="P1044" s="179" t="s">
        <v>1189</v>
      </c>
      <c r="Q1044" s="239" t="s">
        <v>5825</v>
      </c>
      <c r="R1044" s="178">
        <v>99350</v>
      </c>
      <c r="S1044" s="4"/>
      <c r="T1044" s="4"/>
      <c r="U1044" s="4"/>
      <c r="V1044" s="4" t="s">
        <v>443</v>
      </c>
      <c r="W1044" s="4" t="s">
        <v>37</v>
      </c>
      <c r="X1044" s="17" t="s">
        <v>616</v>
      </c>
      <c r="Y1044" s="308" t="s">
        <v>617</v>
      </c>
      <c r="Z1044" s="167" t="s">
        <v>364</v>
      </c>
      <c r="AA1044" s="4"/>
      <c r="AB1044" s="4"/>
      <c r="AC1044" s="4"/>
      <c r="AD1044" s="4"/>
      <c r="AE1044" s="4"/>
      <c r="AF1044" s="4"/>
      <c r="AG1044" s="4"/>
      <c r="AH1044" s="4"/>
    </row>
    <row r="1045" spans="1:38">
      <c r="A1045" s="358" t="s">
        <v>394</v>
      </c>
      <c r="B1045" s="15" t="s">
        <v>111</v>
      </c>
      <c r="C1045" s="4" t="s">
        <v>5826</v>
      </c>
      <c r="D1045" s="130">
        <v>45749</v>
      </c>
      <c r="E1045" s="2">
        <v>45939</v>
      </c>
      <c r="F1045" s="2">
        <f>E1045+14</f>
        <v>45953</v>
      </c>
      <c r="G1045" s="332" t="s">
        <v>404</v>
      </c>
      <c r="H1045" s="41">
        <v>3031</v>
      </c>
      <c r="I1045" s="1" t="s">
        <v>5827</v>
      </c>
      <c r="J1045" s="1" t="s">
        <v>415</v>
      </c>
      <c r="K1045" s="1" t="s">
        <v>31</v>
      </c>
      <c r="L1045" s="1">
        <v>85282</v>
      </c>
      <c r="M1045" s="1" t="s">
        <v>32</v>
      </c>
      <c r="N1045" s="4"/>
      <c r="O1045" s="1" t="s">
        <v>5828</v>
      </c>
      <c r="P1045" s="1" t="s">
        <v>5829</v>
      </c>
      <c r="Q1045" s="98" t="s">
        <v>5830</v>
      </c>
      <c r="R1045" s="124" t="s">
        <v>35</v>
      </c>
      <c r="S1045" s="4"/>
      <c r="T1045" s="4"/>
      <c r="U1045" s="4"/>
      <c r="V1045" s="4" t="s">
        <v>36</v>
      </c>
      <c r="W1045" s="4" t="s">
        <v>37</v>
      </c>
      <c r="X1045" s="17" t="s">
        <v>98</v>
      </c>
      <c r="Y1045" s="302" t="s">
        <v>99</v>
      </c>
      <c r="Z1045" s="4"/>
      <c r="AA1045" s="4"/>
      <c r="AB1045" s="4"/>
      <c r="AC1045" s="4"/>
      <c r="AD1045" s="4"/>
      <c r="AE1045" s="4"/>
      <c r="AF1045" s="4"/>
      <c r="AG1045" s="4"/>
      <c r="AH1045" s="4"/>
    </row>
    <row r="1046" spans="1:38">
      <c r="A1046" s="358" t="s">
        <v>394</v>
      </c>
      <c r="B1046" s="15" t="s">
        <v>768</v>
      </c>
      <c r="C1046" s="29" t="s">
        <v>5831</v>
      </c>
      <c r="D1046" s="1"/>
      <c r="E1046" s="2">
        <v>45930</v>
      </c>
      <c r="F1046" s="2">
        <f>E1046+14</f>
        <v>45944</v>
      </c>
      <c r="G1046" s="41" t="s">
        <v>42</v>
      </c>
      <c r="H1046" s="1">
        <v>1150</v>
      </c>
      <c r="I1046" s="1" t="s">
        <v>5536</v>
      </c>
      <c r="J1046" s="1" t="s">
        <v>434</v>
      </c>
      <c r="K1046" s="1" t="s">
        <v>31</v>
      </c>
      <c r="L1046" s="1">
        <v>85034</v>
      </c>
      <c r="M1046" s="1" t="s">
        <v>32</v>
      </c>
      <c r="N1046" s="4"/>
      <c r="O1046" s="1" t="s">
        <v>5832</v>
      </c>
      <c r="P1046" s="1" t="s">
        <v>5833</v>
      </c>
      <c r="Q1046" s="87" t="s">
        <v>5834</v>
      </c>
      <c r="R1046" s="1">
        <v>97928</v>
      </c>
      <c r="S1046" s="4"/>
      <c r="T1046" s="4"/>
      <c r="U1046" s="4"/>
      <c r="V1046" s="4" t="s">
        <v>443</v>
      </c>
      <c r="W1046" s="4" t="s">
        <v>37</v>
      </c>
      <c r="X1046" s="4" t="s">
        <v>98</v>
      </c>
      <c r="Y1046" s="235" t="s">
        <v>99</v>
      </c>
      <c r="Z1046" s="167" t="s">
        <v>364</v>
      </c>
    </row>
    <row r="1047" spans="1:38">
      <c r="A1047" s="163" t="s">
        <v>25</v>
      </c>
      <c r="B1047" s="70" t="s">
        <v>258</v>
      </c>
      <c r="C1047" s="4" t="s">
        <v>5835</v>
      </c>
      <c r="D1047" s="130"/>
      <c r="E1047" s="2">
        <v>45930</v>
      </c>
      <c r="F1047" s="2">
        <f>E1047+14</f>
        <v>45944</v>
      </c>
      <c r="G1047" s="331" t="s">
        <v>42</v>
      </c>
      <c r="H1047" s="41"/>
      <c r="I1047" s="1" t="s">
        <v>5836</v>
      </c>
      <c r="J1047" s="1" t="s">
        <v>49</v>
      </c>
      <c r="K1047" s="1" t="s">
        <v>31</v>
      </c>
      <c r="L1047" s="1"/>
      <c r="M1047" s="1" t="s">
        <v>32</v>
      </c>
      <c r="N1047" s="4"/>
      <c r="O1047" s="1" t="s">
        <v>2539</v>
      </c>
      <c r="P1047" s="1" t="s">
        <v>2540</v>
      </c>
      <c r="Q1047" s="87" t="s">
        <v>5837</v>
      </c>
      <c r="R1047" s="31">
        <v>98460</v>
      </c>
      <c r="S1047" s="4"/>
      <c r="T1047" s="4"/>
      <c r="U1047" s="4"/>
      <c r="V1047" s="4" t="s">
        <v>36</v>
      </c>
      <c r="W1047" s="4" t="s">
        <v>37</v>
      </c>
      <c r="X1047" s="1" t="s">
        <v>59</v>
      </c>
      <c r="Y1047" s="167" t="s">
        <v>39</v>
      </c>
      <c r="Z1047" s="4"/>
    </row>
    <row r="1048" spans="1:38">
      <c r="A1048" s="358" t="s">
        <v>394</v>
      </c>
      <c r="B1048" s="29" t="s">
        <v>111</v>
      </c>
      <c r="C1048" s="4" t="s">
        <v>5838</v>
      </c>
      <c r="D1048" s="130"/>
      <c r="E1048" s="2">
        <v>45933</v>
      </c>
      <c r="F1048" s="2">
        <f>E1048+14</f>
        <v>45947</v>
      </c>
      <c r="G1048" s="385" t="s">
        <v>28</v>
      </c>
      <c r="H1048" s="41">
        <v>3544</v>
      </c>
      <c r="I1048" s="1" t="s">
        <v>5839</v>
      </c>
      <c r="J1048" s="1" t="s">
        <v>63</v>
      </c>
      <c r="K1048" s="1" t="s">
        <v>31</v>
      </c>
      <c r="L1048" s="1"/>
      <c r="M1048" s="1" t="s">
        <v>32</v>
      </c>
      <c r="N1048" s="4"/>
      <c r="O1048" s="1" t="s">
        <v>5840</v>
      </c>
      <c r="P1048" s="1" t="s">
        <v>5841</v>
      </c>
      <c r="Q1048" s="98" t="s">
        <v>5842</v>
      </c>
      <c r="R1048" s="31" t="s">
        <v>35</v>
      </c>
      <c r="S1048" s="4"/>
      <c r="T1048" s="4"/>
      <c r="U1048" s="4"/>
      <c r="V1048" s="4" t="s">
        <v>36</v>
      </c>
      <c r="W1048" s="4" t="s">
        <v>37</v>
      </c>
      <c r="X1048" s="17" t="s">
        <v>98</v>
      </c>
      <c r="Y1048" s="302" t="s">
        <v>99</v>
      </c>
      <c r="Z1048" s="4"/>
      <c r="AA1048" s="4"/>
      <c r="AB1048" s="4"/>
      <c r="AC1048" s="4"/>
      <c r="AD1048" s="4"/>
      <c r="AE1048" s="4"/>
      <c r="AF1048" s="4"/>
      <c r="AG1048" s="4"/>
      <c r="AH1048" s="4"/>
      <c r="AI1048" s="4"/>
      <c r="AJ1048" s="4"/>
      <c r="AK1048" s="4"/>
      <c r="AL1048" s="4"/>
    </row>
    <row r="1049" spans="1:38">
      <c r="A1049" s="164" t="s">
        <v>812</v>
      </c>
      <c r="B1049" s="311" t="s">
        <v>5843</v>
      </c>
      <c r="C1049" s="4" t="s">
        <v>5844</v>
      </c>
      <c r="D1049" s="2"/>
      <c r="E1049" s="232">
        <v>45929</v>
      </c>
      <c r="F1049" s="2">
        <f>E1049+14</f>
        <v>45943</v>
      </c>
      <c r="G1049" s="332" t="s">
        <v>404</v>
      </c>
      <c r="H1049" s="41">
        <v>17750</v>
      </c>
      <c r="I1049" s="1" t="s">
        <v>2084</v>
      </c>
      <c r="J1049" s="1" t="s">
        <v>844</v>
      </c>
      <c r="K1049" s="1" t="s">
        <v>31</v>
      </c>
      <c r="L1049" s="1">
        <v>85338</v>
      </c>
      <c r="M1049" s="1" t="s">
        <v>32</v>
      </c>
      <c r="N1049" s="4"/>
      <c r="O1049" s="1" t="s">
        <v>5845</v>
      </c>
      <c r="P1049" s="1" t="s">
        <v>5846</v>
      </c>
      <c r="Q1049" s="184" t="s">
        <v>5847</v>
      </c>
      <c r="R1049" s="178">
        <v>109847</v>
      </c>
      <c r="S1049" s="4"/>
      <c r="T1049" s="4"/>
      <c r="U1049" s="4"/>
      <c r="V1049" s="4" t="s">
        <v>443</v>
      </c>
      <c r="W1049" s="4" t="s">
        <v>37</v>
      </c>
      <c r="X1049" s="4" t="s">
        <v>616</v>
      </c>
      <c r="Y1049" s="235" t="s">
        <v>617</v>
      </c>
      <c r="Z1049" s="167" t="s">
        <v>364</v>
      </c>
    </row>
    <row r="1050" spans="1:38">
      <c r="A1050" s="358" t="s">
        <v>394</v>
      </c>
      <c r="B1050" s="29" t="s">
        <v>1122</v>
      </c>
      <c r="C1050" s="4" t="s">
        <v>5848</v>
      </c>
      <c r="D1050" s="130"/>
      <c r="E1050" s="232">
        <v>45938</v>
      </c>
      <c r="F1050" s="2">
        <f>E1050+14</f>
        <v>45952</v>
      </c>
      <c r="G1050" s="331" t="s">
        <v>404</v>
      </c>
      <c r="H1050" s="41">
        <v>2350</v>
      </c>
      <c r="I1050" s="1" t="s">
        <v>5799</v>
      </c>
      <c r="J1050" s="1" t="s">
        <v>434</v>
      </c>
      <c r="K1050" s="1" t="s">
        <v>31</v>
      </c>
      <c r="L1050" s="1">
        <v>85085</v>
      </c>
      <c r="M1050" s="1" t="s">
        <v>32</v>
      </c>
      <c r="N1050" s="4"/>
      <c r="O1050" s="1" t="s">
        <v>1126</v>
      </c>
      <c r="P1050" s="179" t="s">
        <v>5800</v>
      </c>
      <c r="Q1050" s="265" t="s">
        <v>5801</v>
      </c>
      <c r="R1050" s="178">
        <v>105788</v>
      </c>
      <c r="S1050" s="4"/>
      <c r="T1050" s="4"/>
      <c r="U1050" s="4"/>
      <c r="V1050" s="4" t="s">
        <v>443</v>
      </c>
      <c r="W1050" s="4" t="s">
        <v>37</v>
      </c>
      <c r="X1050" s="4" t="s">
        <v>98</v>
      </c>
      <c r="Y1050" s="235" t="s">
        <v>99</v>
      </c>
      <c r="Z1050" s="167" t="s">
        <v>364</v>
      </c>
      <c r="AA1050" s="4"/>
      <c r="AB1050" s="4"/>
      <c r="AC1050" s="4"/>
      <c r="AD1050" s="4"/>
      <c r="AE1050" s="4"/>
      <c r="AF1050" s="4"/>
      <c r="AG1050" s="4"/>
      <c r="AH1050" s="4"/>
      <c r="AI1050" s="4"/>
      <c r="AJ1050" s="4"/>
      <c r="AK1050" s="4"/>
      <c r="AL1050" s="4"/>
    </row>
    <row r="1051" spans="1:38">
      <c r="A1051" s="164" t="s">
        <v>812</v>
      </c>
      <c r="B1051" s="311" t="s">
        <v>5843</v>
      </c>
      <c r="C1051" s="4" t="s">
        <v>829</v>
      </c>
      <c r="D1051" s="2"/>
      <c r="E1051" s="232">
        <v>45929</v>
      </c>
      <c r="F1051" s="2">
        <f>E1051+14</f>
        <v>45943</v>
      </c>
      <c r="G1051" s="332" t="s">
        <v>404</v>
      </c>
      <c r="H1051" s="41"/>
      <c r="I1051" s="41" t="s">
        <v>830</v>
      </c>
      <c r="J1051" s="1" t="s">
        <v>831</v>
      </c>
      <c r="K1051" s="1" t="s">
        <v>31</v>
      </c>
      <c r="L1051" s="1">
        <v>85396</v>
      </c>
      <c r="M1051" s="1" t="s">
        <v>32</v>
      </c>
      <c r="N1051" s="4"/>
      <c r="O1051" s="1" t="s">
        <v>832</v>
      </c>
      <c r="P1051" s="1" t="s">
        <v>833</v>
      </c>
      <c r="Q1051" s="184" t="s">
        <v>834</v>
      </c>
      <c r="R1051" s="178">
        <v>109846</v>
      </c>
      <c r="S1051" s="4"/>
      <c r="T1051" s="4"/>
      <c r="U1051" s="4"/>
      <c r="V1051" s="4" t="s">
        <v>443</v>
      </c>
      <c r="W1051" s="4" t="s">
        <v>37</v>
      </c>
      <c r="X1051" s="4" t="s">
        <v>616</v>
      </c>
      <c r="Y1051" s="235" t="s">
        <v>617</v>
      </c>
      <c r="Z1051" s="167" t="s">
        <v>364</v>
      </c>
    </row>
    <row r="1052" spans="1:38">
      <c r="A1052" s="163" t="s">
        <v>25</v>
      </c>
      <c r="B1052" s="29" t="s">
        <v>4397</v>
      </c>
      <c r="C1052" s="4" t="s">
        <v>5849</v>
      </c>
      <c r="D1052" s="130"/>
      <c r="E1052" s="2">
        <v>45945</v>
      </c>
      <c r="F1052" s="2">
        <f>E1052+14</f>
        <v>45959</v>
      </c>
      <c r="G1052" s="331" t="s">
        <v>42</v>
      </c>
      <c r="H1052" s="41">
        <v>540</v>
      </c>
      <c r="I1052" s="1" t="s">
        <v>5850</v>
      </c>
      <c r="J1052" s="1" t="s">
        <v>63</v>
      </c>
      <c r="K1052" s="1" t="s">
        <v>31</v>
      </c>
      <c r="L1052" s="1"/>
      <c r="M1052" s="1" t="s">
        <v>32</v>
      </c>
      <c r="N1052" s="4"/>
      <c r="O1052" s="1" t="s">
        <v>5851</v>
      </c>
      <c r="P1052" s="1" t="s">
        <v>5852</v>
      </c>
      <c r="Q1052" s="87" t="s">
        <v>5853</v>
      </c>
      <c r="R1052" s="31">
        <v>102287</v>
      </c>
      <c r="S1052" s="4"/>
      <c r="T1052" s="4"/>
      <c r="U1052" s="4"/>
      <c r="V1052" s="4" t="s">
        <v>36</v>
      </c>
      <c r="W1052" s="4" t="s">
        <v>37</v>
      </c>
      <c r="X1052" s="1" t="s">
        <v>59</v>
      </c>
      <c r="Y1052" s="167" t="s">
        <v>39</v>
      </c>
    </row>
    <row r="1053" spans="1:38">
      <c r="A1053" s="164" t="s">
        <v>812</v>
      </c>
      <c r="B1053" s="29" t="s">
        <v>5015</v>
      </c>
      <c r="C1053" s="107" t="s">
        <v>5854</v>
      </c>
      <c r="D1053" s="130"/>
      <c r="E1053" s="232">
        <v>45936</v>
      </c>
      <c r="F1053" s="2">
        <f>E1053+14</f>
        <v>45950</v>
      </c>
      <c r="G1053" s="331" t="s">
        <v>42</v>
      </c>
      <c r="H1053" s="41"/>
      <c r="I1053" s="1" t="s">
        <v>5855</v>
      </c>
      <c r="J1053" s="1" t="s">
        <v>894</v>
      </c>
      <c r="K1053" s="1" t="s">
        <v>31</v>
      </c>
      <c r="L1053" s="1">
        <v>85353</v>
      </c>
      <c r="M1053" s="1" t="s">
        <v>32</v>
      </c>
      <c r="N1053" s="4"/>
      <c r="O1053" s="1" t="s">
        <v>5809</v>
      </c>
      <c r="P1053" s="1" t="s">
        <v>5810</v>
      </c>
      <c r="Q1053" s="87" t="s">
        <v>5811</v>
      </c>
      <c r="R1053" s="31">
        <v>105931</v>
      </c>
      <c r="S1053" s="4"/>
      <c r="T1053" s="4"/>
      <c r="U1053" s="4"/>
      <c r="V1053" s="4" t="s">
        <v>443</v>
      </c>
      <c r="W1053" s="4" t="s">
        <v>37</v>
      </c>
      <c r="X1053" s="4" t="s">
        <v>616</v>
      </c>
      <c r="Y1053" s="235" t="s">
        <v>617</v>
      </c>
      <c r="Z1053" s="167" t="s">
        <v>364</v>
      </c>
      <c r="AA1053" s="4"/>
      <c r="AB1053" s="4"/>
      <c r="AC1053" s="4"/>
      <c r="AD1053" s="4"/>
      <c r="AE1053" s="4"/>
      <c r="AF1053" s="4"/>
      <c r="AG1053" s="4"/>
      <c r="AH1053" s="4"/>
      <c r="AI1053" s="4"/>
      <c r="AJ1053" s="4"/>
      <c r="AK1053" s="4"/>
      <c r="AL1053" s="4"/>
    </row>
    <row r="1054" spans="1:38">
      <c r="A1054" s="164" t="s">
        <v>812</v>
      </c>
      <c r="B1054" s="70" t="s">
        <v>4240</v>
      </c>
      <c r="C1054" s="29" t="s">
        <v>5856</v>
      </c>
      <c r="D1054" s="2"/>
      <c r="E1054" s="232">
        <v>45944</v>
      </c>
      <c r="F1054" s="2">
        <f>E1054+14</f>
        <v>45958</v>
      </c>
      <c r="G1054" s="331" t="s">
        <v>42</v>
      </c>
      <c r="H1054" s="1" t="s">
        <v>5857</v>
      </c>
      <c r="I1054" s="1" t="s">
        <v>5858</v>
      </c>
      <c r="J1054" s="1" t="s">
        <v>851</v>
      </c>
      <c r="K1054" s="1" t="s">
        <v>31</v>
      </c>
      <c r="L1054" s="1"/>
      <c r="M1054" s="1" t="s">
        <v>32</v>
      </c>
      <c r="N1054" s="4"/>
      <c r="O1054" s="1"/>
      <c r="P1054" s="1"/>
      <c r="Q1054" s="87" t="s">
        <v>5859</v>
      </c>
      <c r="R1054" s="1">
        <v>105584</v>
      </c>
      <c r="S1054" s="4"/>
      <c r="T1054" s="4"/>
      <c r="U1054" s="4"/>
      <c r="V1054" s="4" t="s">
        <v>443</v>
      </c>
      <c r="W1054" s="4" t="s">
        <v>37</v>
      </c>
      <c r="X1054" s="4" t="s">
        <v>616</v>
      </c>
      <c r="Y1054" s="235" t="s">
        <v>617</v>
      </c>
      <c r="Z1054" s="168"/>
      <c r="AA1054" s="119"/>
      <c r="AB1054" s="119"/>
      <c r="AC1054" s="119"/>
      <c r="AD1054" s="119"/>
      <c r="AE1054" s="119"/>
      <c r="AF1054" s="119"/>
      <c r="AG1054" s="119"/>
      <c r="AH1054" s="119"/>
      <c r="AI1054" s="4"/>
      <c r="AJ1054" s="4"/>
      <c r="AK1054" s="4"/>
      <c r="AL1054" s="4"/>
    </row>
    <row r="1055" spans="1:38">
      <c r="A1055" s="358" t="s">
        <v>394</v>
      </c>
      <c r="B1055" s="29" t="s">
        <v>236</v>
      </c>
      <c r="C1055" s="4" t="s">
        <v>5860</v>
      </c>
      <c r="D1055" s="130">
        <v>45615</v>
      </c>
      <c r="E1055" s="2">
        <v>45944</v>
      </c>
      <c r="F1055" s="2">
        <f>E1055+14</f>
        <v>45958</v>
      </c>
      <c r="G1055" s="331" t="s">
        <v>42</v>
      </c>
      <c r="H1055" s="41">
        <v>811</v>
      </c>
      <c r="I1055" s="1" t="s">
        <v>5861</v>
      </c>
      <c r="J1055" s="1" t="s">
        <v>415</v>
      </c>
      <c r="K1055" s="1" t="s">
        <v>31</v>
      </c>
      <c r="L1055" s="1">
        <v>85284</v>
      </c>
      <c r="M1055" s="1" t="s">
        <v>32</v>
      </c>
      <c r="N1055" s="4"/>
      <c r="O1055" s="1" t="s">
        <v>5862</v>
      </c>
      <c r="P1055" s="1" t="s">
        <v>5863</v>
      </c>
      <c r="Q1055" s="87" t="s">
        <v>5864</v>
      </c>
      <c r="R1055" s="31">
        <v>104810</v>
      </c>
      <c r="S1055" s="4"/>
      <c r="T1055" s="4"/>
      <c r="U1055" s="4"/>
      <c r="V1055" s="4" t="s">
        <v>36</v>
      </c>
      <c r="W1055" s="4" t="s">
        <v>37</v>
      </c>
      <c r="X1055" s="17" t="s">
        <v>98</v>
      </c>
      <c r="Y1055" s="302" t="s">
        <v>99</v>
      </c>
      <c r="Z1055" s="4"/>
      <c r="AA1055" s="4"/>
      <c r="AB1055" s="4"/>
      <c r="AC1055" s="4"/>
      <c r="AD1055" s="4"/>
      <c r="AE1055" s="4"/>
      <c r="AF1055" s="4"/>
      <c r="AG1055" s="4"/>
      <c r="AH1055" s="4"/>
      <c r="AI1055" s="4"/>
      <c r="AJ1055" s="4"/>
      <c r="AK1055" s="4"/>
      <c r="AL1055" s="4"/>
    </row>
    <row r="1056" spans="1:38">
      <c r="A1056" s="358" t="s">
        <v>394</v>
      </c>
      <c r="B1056" s="29" t="s">
        <v>323</v>
      </c>
      <c r="C1056" s="4" t="s">
        <v>5865</v>
      </c>
      <c r="D1056" s="130"/>
      <c r="E1056" s="2">
        <v>45945</v>
      </c>
      <c r="F1056" s="2">
        <f>E1056+14</f>
        <v>45959</v>
      </c>
      <c r="G1056" s="332" t="s">
        <v>42</v>
      </c>
      <c r="H1056" s="41"/>
      <c r="I1056" s="1" t="s">
        <v>5866</v>
      </c>
      <c r="J1056" s="1" t="s">
        <v>398</v>
      </c>
      <c r="K1056" s="1" t="s">
        <v>31</v>
      </c>
      <c r="L1056" s="1">
        <v>85255</v>
      </c>
      <c r="M1056" s="1" t="s">
        <v>32</v>
      </c>
      <c r="N1056" s="4"/>
      <c r="O1056" s="1" t="s">
        <v>5334</v>
      </c>
      <c r="P1056" s="1" t="s">
        <v>5335</v>
      </c>
      <c r="Q1056" s="129" t="s">
        <v>5867</v>
      </c>
      <c r="R1056" s="31">
        <v>106893</v>
      </c>
      <c r="S1056" s="4"/>
      <c r="T1056" s="4"/>
      <c r="U1056" s="4"/>
      <c r="V1056" s="4" t="s">
        <v>36</v>
      </c>
      <c r="W1056" s="4" t="s">
        <v>37</v>
      </c>
      <c r="X1056" s="4" t="s">
        <v>98</v>
      </c>
      <c r="Y1056" s="235" t="s">
        <v>99</v>
      </c>
      <c r="Z1056" s="4"/>
      <c r="AA1056" s="4"/>
      <c r="AB1056" s="4"/>
      <c r="AC1056" s="4"/>
      <c r="AD1056" s="4"/>
      <c r="AE1056" s="4"/>
      <c r="AF1056" s="4"/>
      <c r="AG1056" s="4"/>
      <c r="AH1056" s="4"/>
      <c r="AI1056" s="4"/>
      <c r="AJ1056" s="4"/>
      <c r="AK1056" s="4"/>
      <c r="AL1056" s="4"/>
    </row>
    <row r="1057" spans="1:38">
      <c r="A1057" s="258" t="s">
        <v>812</v>
      </c>
      <c r="B1057" s="29" t="s">
        <v>5868</v>
      </c>
      <c r="C1057" s="4" t="s">
        <v>5869</v>
      </c>
      <c r="D1057" s="130" t="s">
        <v>516</v>
      </c>
      <c r="E1057" s="232">
        <v>45946</v>
      </c>
      <c r="F1057" s="2">
        <f>E1057+14</f>
        <v>45960</v>
      </c>
      <c r="G1057" s="331" t="s">
        <v>42</v>
      </c>
      <c r="H1057" s="41">
        <v>24641</v>
      </c>
      <c r="I1057" s="1" t="s">
        <v>5870</v>
      </c>
      <c r="J1057" s="1" t="s">
        <v>975</v>
      </c>
      <c r="K1057" s="1" t="s">
        <v>31</v>
      </c>
      <c r="L1057" s="1">
        <v>85653</v>
      </c>
      <c r="M1057" s="1" t="s">
        <v>32</v>
      </c>
      <c r="N1057" s="4"/>
      <c r="O1057" s="1" t="s">
        <v>5871</v>
      </c>
      <c r="P1057" s="1" t="s">
        <v>5872</v>
      </c>
      <c r="Q1057" s="87" t="s">
        <v>5873</v>
      </c>
      <c r="R1057" s="31">
        <v>102546</v>
      </c>
      <c r="S1057" s="4"/>
      <c r="T1057" s="4"/>
      <c r="U1057" s="4"/>
      <c r="V1057" s="4" t="s">
        <v>443</v>
      </c>
      <c r="W1057" s="4" t="s">
        <v>37</v>
      </c>
      <c r="X1057" s="4" t="s">
        <v>616</v>
      </c>
      <c r="Y1057" s="235" t="s">
        <v>617</v>
      </c>
      <c r="Z1057" s="4"/>
      <c r="AA1057" s="4"/>
      <c r="AB1057" s="4"/>
      <c r="AC1057" s="4"/>
      <c r="AD1057" s="4"/>
      <c r="AE1057" s="4"/>
      <c r="AF1057" s="4"/>
      <c r="AG1057" s="4"/>
      <c r="AH1057" s="4"/>
      <c r="AI1057" s="4"/>
      <c r="AJ1057" s="4"/>
      <c r="AK1057" s="4"/>
      <c r="AL1057" s="4"/>
    </row>
    <row r="1058" spans="1:38">
      <c r="A1058" s="164" t="s">
        <v>812</v>
      </c>
      <c r="B1058" s="349" t="s">
        <v>989</v>
      </c>
      <c r="C1058" s="348" t="s">
        <v>5874</v>
      </c>
      <c r="D1058" s="298">
        <v>45078</v>
      </c>
      <c r="E1058" s="232">
        <v>45945</v>
      </c>
      <c r="F1058" s="2">
        <f>E1058+14</f>
        <v>45959</v>
      </c>
      <c r="G1058" s="331" t="s">
        <v>42</v>
      </c>
      <c r="H1058" s="41">
        <v>7930</v>
      </c>
      <c r="I1058" s="25" t="s">
        <v>996</v>
      </c>
      <c r="J1058" s="1" t="s">
        <v>851</v>
      </c>
      <c r="K1058" s="1" t="s">
        <v>31</v>
      </c>
      <c r="L1058" s="1">
        <v>85345</v>
      </c>
      <c r="M1058" s="1" t="s">
        <v>32</v>
      </c>
      <c r="N1058" s="4"/>
      <c r="O1058" s="253" t="s">
        <v>5875</v>
      </c>
      <c r="P1058" s="1" t="s">
        <v>5876</v>
      </c>
      <c r="Q1058" s="251" t="s">
        <v>5877</v>
      </c>
      <c r="R1058" s="178" t="s">
        <v>35</v>
      </c>
      <c r="S1058" s="4"/>
      <c r="T1058" s="4"/>
      <c r="U1058" s="4"/>
      <c r="V1058" s="4" t="s">
        <v>443</v>
      </c>
      <c r="W1058" s="4" t="s">
        <v>37</v>
      </c>
      <c r="X1058" s="4" t="s">
        <v>616</v>
      </c>
      <c r="Y1058" s="235" t="s">
        <v>617</v>
      </c>
      <c r="Z1058" s="167" t="s">
        <v>364</v>
      </c>
      <c r="AA1058" s="4"/>
      <c r="AB1058" s="4"/>
      <c r="AC1058" s="4"/>
      <c r="AD1058" s="4"/>
      <c r="AE1058" s="4"/>
      <c r="AF1058" s="4"/>
      <c r="AG1058" s="4"/>
      <c r="AH1058" s="4"/>
      <c r="AI1058" s="4"/>
      <c r="AJ1058" s="4"/>
      <c r="AK1058" s="4"/>
      <c r="AL1058" s="4"/>
    </row>
    <row r="1059" spans="1:38">
      <c r="A1059" s="258" t="s">
        <v>812</v>
      </c>
      <c r="B1059" s="349" t="s">
        <v>977</v>
      </c>
      <c r="C1059" s="348" t="s">
        <v>5878</v>
      </c>
      <c r="D1059" s="312" t="s">
        <v>5879</v>
      </c>
      <c r="E1059" s="232">
        <v>45939</v>
      </c>
      <c r="F1059" s="2">
        <f>E1059+14</f>
        <v>45953</v>
      </c>
      <c r="G1059" s="331" t="s">
        <v>42</v>
      </c>
      <c r="H1059" s="41">
        <v>115</v>
      </c>
      <c r="I1059" s="1" t="s">
        <v>5880</v>
      </c>
      <c r="J1059" s="1" t="s">
        <v>1763</v>
      </c>
      <c r="K1059" s="1" t="s">
        <v>31</v>
      </c>
      <c r="L1059" s="1">
        <v>85614</v>
      </c>
      <c r="M1059" s="1" t="s">
        <v>32</v>
      </c>
      <c r="N1059" s="4"/>
      <c r="O1059" s="1" t="s">
        <v>5881</v>
      </c>
      <c r="P1059" s="1" t="s">
        <v>5882</v>
      </c>
      <c r="Q1059" s="87" t="s">
        <v>5883</v>
      </c>
      <c r="R1059" s="178">
        <v>104513</v>
      </c>
      <c r="S1059" s="4"/>
      <c r="T1059" s="4"/>
      <c r="U1059" s="4"/>
      <c r="V1059" s="4" t="s">
        <v>443</v>
      </c>
      <c r="W1059" s="4" t="s">
        <v>37</v>
      </c>
      <c r="X1059" s="4" t="s">
        <v>616</v>
      </c>
      <c r="Y1059" s="235" t="s">
        <v>617</v>
      </c>
      <c r="Z1059" s="4"/>
      <c r="AA1059" s="4"/>
      <c r="AB1059" s="4"/>
      <c r="AC1059" s="4"/>
      <c r="AD1059" s="4"/>
      <c r="AE1059" s="4"/>
      <c r="AF1059" s="4"/>
      <c r="AG1059" s="4"/>
      <c r="AH1059" s="4"/>
      <c r="AI1059" s="4"/>
      <c r="AJ1059" s="4"/>
      <c r="AK1059" s="4"/>
      <c r="AL1059" s="4"/>
    </row>
    <row r="1060" spans="1:38">
      <c r="A1060" s="163" t="s">
        <v>25</v>
      </c>
      <c r="B1060" s="15" t="s">
        <v>951</v>
      </c>
      <c r="C1060" s="29" t="s">
        <v>5884</v>
      </c>
      <c r="D1060" s="4"/>
      <c r="E1060" s="2">
        <v>45960</v>
      </c>
      <c r="F1060" s="2">
        <f>E1060+14</f>
        <v>45974</v>
      </c>
      <c r="G1060" s="42" t="s">
        <v>42</v>
      </c>
      <c r="H1060" s="1">
        <v>10635</v>
      </c>
      <c r="I1060" s="1" t="s">
        <v>2949</v>
      </c>
      <c r="J1060" s="1" t="s">
        <v>63</v>
      </c>
      <c r="K1060" s="1" t="s">
        <v>31</v>
      </c>
      <c r="L1060" s="1">
        <v>85208</v>
      </c>
      <c r="M1060" s="1" t="s">
        <v>32</v>
      </c>
      <c r="N1060" s="4"/>
      <c r="O1060" s="1" t="s">
        <v>5885</v>
      </c>
      <c r="P1060" s="1" t="s">
        <v>5886</v>
      </c>
      <c r="Q1060" s="87" t="s">
        <v>5887</v>
      </c>
      <c r="R1060" s="1">
        <v>97051</v>
      </c>
      <c r="S1060" s="4"/>
      <c r="T1060" s="4"/>
      <c r="U1060" s="4"/>
      <c r="V1060" s="4" t="s">
        <v>36</v>
      </c>
      <c r="W1060" s="4" t="s">
        <v>37</v>
      </c>
      <c r="X1060" s="1" t="s">
        <v>59</v>
      </c>
      <c r="Y1060" s="167" t="s">
        <v>39</v>
      </c>
      <c r="Z1060" s="4"/>
    </row>
    <row r="1061" spans="1:38">
      <c r="A1061" s="163" t="s">
        <v>25</v>
      </c>
      <c r="B1061" s="29" t="s">
        <v>5888</v>
      </c>
      <c r="C1061" s="4" t="s">
        <v>5889</v>
      </c>
      <c r="D1061" s="130">
        <v>45663</v>
      </c>
      <c r="E1061" s="2">
        <v>45950</v>
      </c>
      <c r="F1061" s="2">
        <f>E1061+14</f>
        <v>45964</v>
      </c>
      <c r="G1061" s="331" t="s">
        <v>28</v>
      </c>
      <c r="H1061" s="41">
        <v>7733</v>
      </c>
      <c r="I1061" s="1" t="s">
        <v>62</v>
      </c>
      <c r="J1061" s="1" t="s">
        <v>63</v>
      </c>
      <c r="K1061" s="1" t="s">
        <v>31</v>
      </c>
      <c r="L1061" s="1">
        <v>85212</v>
      </c>
      <c r="M1061" s="1" t="s">
        <v>32</v>
      </c>
      <c r="N1061" s="4"/>
      <c r="O1061" s="1" t="s">
        <v>2479</v>
      </c>
      <c r="P1061" s="1" t="s">
        <v>2480</v>
      </c>
      <c r="Q1061" s="268" t="s">
        <v>5890</v>
      </c>
      <c r="R1061" s="124" t="s">
        <v>35</v>
      </c>
      <c r="S1061" s="4"/>
      <c r="T1061" s="4"/>
      <c r="U1061" s="4"/>
      <c r="V1061" s="4" t="s">
        <v>36</v>
      </c>
      <c r="W1061" s="4" t="s">
        <v>37</v>
      </c>
      <c r="X1061" s="1" t="s">
        <v>59</v>
      </c>
      <c r="Y1061" s="167" t="s">
        <v>39</v>
      </c>
    </row>
    <row r="1062" spans="1:38">
      <c r="A1062" s="258" t="s">
        <v>812</v>
      </c>
      <c r="B1062" s="29" t="s">
        <v>5891</v>
      </c>
      <c r="C1062" s="4" t="s">
        <v>5892</v>
      </c>
      <c r="D1062" s="130" t="s">
        <v>516</v>
      </c>
      <c r="E1062" s="232">
        <v>45960</v>
      </c>
      <c r="F1062" s="2">
        <f>E1062+14</f>
        <v>45974</v>
      </c>
      <c r="G1062" s="331" t="s">
        <v>42</v>
      </c>
      <c r="H1062" s="41">
        <v>820</v>
      </c>
      <c r="I1062" s="1" t="s">
        <v>1080</v>
      </c>
      <c r="J1062" s="1" t="s">
        <v>916</v>
      </c>
      <c r="K1062" s="1" t="s">
        <v>31</v>
      </c>
      <c r="L1062" s="1">
        <v>85713</v>
      </c>
      <c r="M1062" s="1" t="s">
        <v>32</v>
      </c>
      <c r="N1062" s="4"/>
      <c r="O1062" s="1" t="s">
        <v>5893</v>
      </c>
      <c r="P1062" s="1" t="s">
        <v>5894</v>
      </c>
      <c r="Q1062" s="99" t="s">
        <v>5895</v>
      </c>
      <c r="R1062" s="178">
        <v>102596</v>
      </c>
      <c r="S1062" s="4"/>
      <c r="T1062" s="4"/>
      <c r="U1062" s="4"/>
      <c r="V1062" s="4" t="s">
        <v>443</v>
      </c>
      <c r="W1062" s="4" t="s">
        <v>37</v>
      </c>
      <c r="X1062" s="4" t="s">
        <v>616</v>
      </c>
      <c r="Y1062" s="235" t="s">
        <v>617</v>
      </c>
      <c r="Z1062" s="4"/>
      <c r="AA1062" s="4"/>
      <c r="AB1062" s="4"/>
      <c r="AC1062" s="4"/>
      <c r="AD1062" s="4"/>
      <c r="AE1062" s="4"/>
      <c r="AF1062" s="4"/>
      <c r="AG1062" s="4"/>
      <c r="AH1062" s="4"/>
      <c r="AI1062" s="4"/>
      <c r="AJ1062" s="4"/>
      <c r="AK1062" s="4"/>
      <c r="AL1062" s="4"/>
    </row>
    <row r="1063" spans="1:38">
      <c r="A1063" s="164" t="s">
        <v>812</v>
      </c>
      <c r="B1063" s="15" t="s">
        <v>87</v>
      </c>
      <c r="C1063" s="29" t="s">
        <v>5896</v>
      </c>
      <c r="D1063" s="2"/>
      <c r="E1063" s="232">
        <v>45951</v>
      </c>
      <c r="F1063" s="2">
        <f>E1063+14</f>
        <v>45965</v>
      </c>
      <c r="G1063" s="332" t="s">
        <v>28</v>
      </c>
      <c r="H1063" s="1" t="s">
        <v>379</v>
      </c>
      <c r="I1063" s="1" t="s">
        <v>5897</v>
      </c>
      <c r="J1063" s="1" t="s">
        <v>844</v>
      </c>
      <c r="K1063" s="1" t="s">
        <v>31</v>
      </c>
      <c r="L1063" s="1">
        <v>85395</v>
      </c>
      <c r="M1063" s="1" t="s">
        <v>32</v>
      </c>
      <c r="N1063" s="4"/>
      <c r="O1063" s="1" t="s">
        <v>5898</v>
      </c>
      <c r="P1063" s="1" t="s">
        <v>5899</v>
      </c>
      <c r="Q1063" s="87" t="s">
        <v>450</v>
      </c>
      <c r="R1063" s="1">
        <v>107334</v>
      </c>
      <c r="S1063" s="4"/>
      <c r="T1063" s="4"/>
      <c r="U1063" s="4"/>
      <c r="V1063" s="4" t="s">
        <v>443</v>
      </c>
      <c r="W1063" s="4" t="s">
        <v>37</v>
      </c>
      <c r="X1063" s="4" t="s">
        <v>616</v>
      </c>
      <c r="Y1063" s="241" t="s">
        <v>617</v>
      </c>
      <c r="Z1063" s="168"/>
      <c r="AA1063" s="4"/>
      <c r="AB1063" s="4"/>
      <c r="AC1063" s="4"/>
      <c r="AD1063" s="4"/>
      <c r="AE1063" s="4"/>
      <c r="AF1063" s="4"/>
      <c r="AG1063" s="4"/>
      <c r="AH1063" s="4"/>
      <c r="AI1063" s="4"/>
      <c r="AJ1063" s="4"/>
      <c r="AK1063" s="4"/>
      <c r="AL1063" s="4"/>
    </row>
    <row r="1064" spans="1:38">
      <c r="A1064" s="164" t="s">
        <v>812</v>
      </c>
      <c r="B1064" s="15" t="s">
        <v>672</v>
      </c>
      <c r="C1064" s="29" t="s">
        <v>5900</v>
      </c>
      <c r="D1064" s="26">
        <v>45490</v>
      </c>
      <c r="E1064" s="232">
        <v>45951</v>
      </c>
      <c r="F1064" s="2">
        <f>E1064+14</f>
        <v>45965</v>
      </c>
      <c r="G1064" s="41" t="s">
        <v>42</v>
      </c>
      <c r="H1064" s="1">
        <v>2010</v>
      </c>
      <c r="I1064" s="1" t="s">
        <v>3132</v>
      </c>
      <c r="J1064" s="1" t="s">
        <v>844</v>
      </c>
      <c r="K1064" s="1" t="s">
        <v>31</v>
      </c>
      <c r="L1064" s="1">
        <v>85395</v>
      </c>
      <c r="M1064" s="1" t="s">
        <v>32</v>
      </c>
      <c r="N1064" s="4"/>
      <c r="O1064" s="1"/>
      <c r="P1064" s="1"/>
      <c r="Q1064" s="179" t="s">
        <v>5901</v>
      </c>
      <c r="R1064" s="179">
        <v>103923</v>
      </c>
      <c r="S1064" s="4"/>
      <c r="T1064" s="4"/>
      <c r="U1064" s="4"/>
      <c r="V1064" s="4" t="s">
        <v>443</v>
      </c>
      <c r="W1064" s="4" t="s">
        <v>37</v>
      </c>
      <c r="X1064" s="4" t="s">
        <v>616</v>
      </c>
      <c r="Y1064" s="235" t="s">
        <v>617</v>
      </c>
      <c r="Z1064" s="167" t="s">
        <v>364</v>
      </c>
      <c r="AA1064" s="4"/>
      <c r="AB1064" s="4"/>
      <c r="AC1064" s="4"/>
      <c r="AD1064" s="4"/>
      <c r="AE1064" s="4"/>
      <c r="AF1064" s="4"/>
      <c r="AG1064" s="4"/>
      <c r="AH1064" s="4"/>
      <c r="AI1064" s="4"/>
      <c r="AJ1064" s="4"/>
      <c r="AK1064" s="4"/>
      <c r="AL1064" s="4"/>
    </row>
    <row r="1065" spans="1:38">
      <c r="A1065" s="164" t="s">
        <v>812</v>
      </c>
      <c r="B1065" s="29" t="s">
        <v>1213</v>
      </c>
      <c r="C1065" s="4" t="s">
        <v>5902</v>
      </c>
      <c r="D1065" s="130"/>
      <c r="E1065" s="232">
        <v>45952</v>
      </c>
      <c r="F1065" s="2">
        <f>E1065+14</f>
        <v>45966</v>
      </c>
      <c r="G1065" s="332" t="s">
        <v>649</v>
      </c>
      <c r="H1065" s="41">
        <v>9797</v>
      </c>
      <c r="I1065" s="1" t="s">
        <v>1300</v>
      </c>
      <c r="J1065" s="1" t="s">
        <v>894</v>
      </c>
      <c r="K1065" s="1" t="s">
        <v>31</v>
      </c>
      <c r="L1065" s="1">
        <v>85353</v>
      </c>
      <c r="M1065" s="1" t="s">
        <v>32</v>
      </c>
      <c r="N1065" s="4"/>
      <c r="O1065" s="1" t="s">
        <v>5903</v>
      </c>
      <c r="P1065" s="1" t="s">
        <v>4412</v>
      </c>
      <c r="Q1065" s="87" t="s">
        <v>5904</v>
      </c>
      <c r="R1065" s="31"/>
      <c r="S1065" s="4"/>
      <c r="T1065" s="4"/>
      <c r="U1065" s="4"/>
      <c r="V1065" s="4" t="s">
        <v>443</v>
      </c>
      <c r="W1065" s="4" t="s">
        <v>37</v>
      </c>
      <c r="X1065" s="4" t="s">
        <v>616</v>
      </c>
      <c r="Y1065" s="235" t="s">
        <v>617</v>
      </c>
      <c r="Z1065" s="167" t="s">
        <v>364</v>
      </c>
      <c r="AA1065" s="4"/>
      <c r="AB1065" s="4"/>
      <c r="AC1065" s="4"/>
      <c r="AD1065" s="4"/>
      <c r="AE1065" s="4"/>
      <c r="AF1065" s="4"/>
      <c r="AG1065" s="4"/>
      <c r="AH1065" s="4"/>
      <c r="AI1065" s="4"/>
      <c r="AJ1065" s="4"/>
      <c r="AK1065" s="4"/>
      <c r="AL1065" s="4"/>
    </row>
    <row r="1066" spans="1:38">
      <c r="A1066" s="358" t="s">
        <v>394</v>
      </c>
      <c r="B1066" s="29" t="s">
        <v>111</v>
      </c>
      <c r="C1066" s="4" t="s">
        <v>5905</v>
      </c>
      <c r="D1066" s="130"/>
      <c r="E1066" s="232">
        <v>45957</v>
      </c>
      <c r="F1066" s="2">
        <f>E1066+14</f>
        <v>45971</v>
      </c>
      <c r="G1066" s="331" t="s">
        <v>28</v>
      </c>
      <c r="H1066" s="41">
        <v>2720</v>
      </c>
      <c r="I1066" s="1" t="s">
        <v>457</v>
      </c>
      <c r="J1066" s="1" t="s">
        <v>1448</v>
      </c>
      <c r="K1066" s="1" t="s">
        <v>31</v>
      </c>
      <c r="L1066" s="1">
        <v>85339</v>
      </c>
      <c r="M1066" s="1" t="s">
        <v>32</v>
      </c>
      <c r="N1066" s="4"/>
      <c r="O1066" s="1" t="s">
        <v>5906</v>
      </c>
      <c r="P1066" s="1" t="s">
        <v>5907</v>
      </c>
      <c r="Q1066" s="239" t="s">
        <v>5908</v>
      </c>
      <c r="R1066" s="266" t="s">
        <v>35</v>
      </c>
      <c r="S1066" s="4"/>
      <c r="T1066" s="4"/>
      <c r="U1066" s="4"/>
      <c r="V1066" s="4" t="s">
        <v>443</v>
      </c>
      <c r="W1066" s="4" t="s">
        <v>37</v>
      </c>
      <c r="X1066" s="17" t="s">
        <v>98</v>
      </c>
      <c r="Y1066" s="302" t="s">
        <v>99</v>
      </c>
      <c r="Z1066" s="4"/>
    </row>
    <row r="1067" spans="1:38">
      <c r="A1067" s="358" t="s">
        <v>394</v>
      </c>
      <c r="B1067" s="29" t="s">
        <v>478</v>
      </c>
      <c r="C1067" s="4" t="s">
        <v>5909</v>
      </c>
      <c r="D1067" s="130"/>
      <c r="E1067" s="232">
        <v>45957</v>
      </c>
      <c r="F1067" s="2">
        <f>E1067+14</f>
        <v>45971</v>
      </c>
      <c r="G1067" s="331" t="s">
        <v>42</v>
      </c>
      <c r="H1067" s="41">
        <v>5401</v>
      </c>
      <c r="I1067" s="1" t="s">
        <v>5910</v>
      </c>
      <c r="J1067" s="1" t="s">
        <v>434</v>
      </c>
      <c r="K1067" s="1" t="s">
        <v>31</v>
      </c>
      <c r="L1067" s="1">
        <v>85041</v>
      </c>
      <c r="M1067" s="1" t="s">
        <v>32</v>
      </c>
      <c r="N1067" s="4"/>
      <c r="O1067" s="1" t="s">
        <v>5911</v>
      </c>
      <c r="P1067" s="1"/>
      <c r="Q1067" s="87" t="s">
        <v>5912</v>
      </c>
      <c r="R1067" s="31">
        <v>103942</v>
      </c>
      <c r="S1067" s="4"/>
      <c r="T1067" s="4"/>
      <c r="U1067" s="4"/>
      <c r="V1067" s="4" t="s">
        <v>36</v>
      </c>
      <c r="W1067" s="4" t="s">
        <v>37</v>
      </c>
      <c r="X1067" s="17" t="s">
        <v>98</v>
      </c>
      <c r="Y1067" s="302" t="s">
        <v>99</v>
      </c>
      <c r="Z1067" s="167" t="s">
        <v>364</v>
      </c>
    </row>
    <row r="1068" spans="1:38">
      <c r="A1068" s="164" t="s">
        <v>812</v>
      </c>
      <c r="B1068" s="29" t="s">
        <v>938</v>
      </c>
      <c r="C1068" s="4" t="s">
        <v>5913</v>
      </c>
      <c r="D1068" s="2"/>
      <c r="E1068" s="232">
        <v>45957</v>
      </c>
      <c r="F1068" s="2">
        <f>E1068+14</f>
        <v>45971</v>
      </c>
      <c r="G1068" s="331" t="s">
        <v>28</v>
      </c>
      <c r="H1068" s="41"/>
      <c r="I1068" s="1" t="s">
        <v>5914</v>
      </c>
      <c r="J1068" s="1" t="s">
        <v>844</v>
      </c>
      <c r="K1068" s="1" t="s">
        <v>31</v>
      </c>
      <c r="L1068" s="1">
        <v>85338</v>
      </c>
      <c r="M1068" s="1" t="s">
        <v>32</v>
      </c>
      <c r="N1068" s="4"/>
      <c r="O1068" s="1" t="s">
        <v>5915</v>
      </c>
      <c r="P1068" s="1" t="s">
        <v>5916</v>
      </c>
      <c r="Q1068" s="87" t="s">
        <v>5917</v>
      </c>
      <c r="R1068" s="31">
        <v>95441</v>
      </c>
      <c r="S1068" s="4"/>
      <c r="T1068" s="4"/>
      <c r="U1068" s="4"/>
      <c r="V1068" s="4" t="s">
        <v>443</v>
      </c>
      <c r="W1068" s="4" t="s">
        <v>37</v>
      </c>
      <c r="X1068" s="4" t="s">
        <v>616</v>
      </c>
      <c r="Y1068" s="235" t="s">
        <v>617</v>
      </c>
      <c r="Z1068" s="167" t="s">
        <v>364</v>
      </c>
      <c r="AA1068" s="4"/>
      <c r="AB1068" s="4"/>
      <c r="AC1068" s="4"/>
      <c r="AD1068" s="4"/>
      <c r="AE1068" s="4"/>
      <c r="AF1068" s="4"/>
      <c r="AG1068" s="4"/>
      <c r="AH1068" s="4"/>
      <c r="AI1068" s="369"/>
      <c r="AJ1068" s="369"/>
      <c r="AK1068" s="369"/>
      <c r="AL1068" s="369"/>
    </row>
    <row r="1069" spans="1:38">
      <c r="A1069" s="164" t="s">
        <v>812</v>
      </c>
      <c r="B1069" s="29" t="s">
        <v>4586</v>
      </c>
      <c r="C1069" s="4" t="s">
        <v>5918</v>
      </c>
      <c r="D1069" s="2"/>
      <c r="E1069" s="232">
        <v>45957</v>
      </c>
      <c r="F1069" s="2">
        <f>E1069+14</f>
        <v>45971</v>
      </c>
      <c r="G1069" s="331" t="s">
        <v>28</v>
      </c>
      <c r="H1069" s="41">
        <v>24750</v>
      </c>
      <c r="I1069" s="1" t="s">
        <v>2174</v>
      </c>
      <c r="J1069" s="1" t="s">
        <v>831</v>
      </c>
      <c r="K1069" s="1" t="s">
        <v>31</v>
      </c>
      <c r="L1069" s="1">
        <v>85326</v>
      </c>
      <c r="M1069" s="1" t="s">
        <v>32</v>
      </c>
      <c r="N1069" s="4"/>
      <c r="O1069" s="1" t="s">
        <v>5919</v>
      </c>
      <c r="P1069" s="1" t="s">
        <v>5920</v>
      </c>
      <c r="Q1069" s="87" t="s">
        <v>5921</v>
      </c>
      <c r="R1069" s="31">
        <v>107866</v>
      </c>
      <c r="S1069" s="4"/>
      <c r="T1069" s="4"/>
      <c r="U1069" s="4"/>
      <c r="V1069" s="4" t="s">
        <v>443</v>
      </c>
      <c r="W1069" s="4" t="s">
        <v>37</v>
      </c>
      <c r="X1069" s="4" t="s">
        <v>616</v>
      </c>
      <c r="Y1069" s="235" t="s">
        <v>617</v>
      </c>
      <c r="Z1069" s="167" t="s">
        <v>364</v>
      </c>
      <c r="AA1069" s="4"/>
      <c r="AB1069" s="4"/>
      <c r="AC1069" s="4"/>
      <c r="AD1069" s="4"/>
      <c r="AE1069" s="4"/>
      <c r="AF1069" s="4"/>
      <c r="AG1069" s="4"/>
      <c r="AH1069" s="4"/>
      <c r="AI1069" s="4"/>
      <c r="AJ1069" s="4"/>
      <c r="AK1069" s="4"/>
      <c r="AL1069" s="4"/>
    </row>
    <row r="1070" spans="1:38">
      <c r="A1070" s="164" t="s">
        <v>812</v>
      </c>
      <c r="B1070" s="15" t="s">
        <v>5922</v>
      </c>
      <c r="C1070" s="29" t="s">
        <v>5923</v>
      </c>
      <c r="D1070" s="2"/>
      <c r="E1070" s="232">
        <v>45959</v>
      </c>
      <c r="F1070" s="2">
        <f>E1070+28</f>
        <v>45987</v>
      </c>
      <c r="G1070" s="332" t="s">
        <v>42</v>
      </c>
      <c r="H1070" s="1">
        <v>7188</v>
      </c>
      <c r="I1070" s="25" t="s">
        <v>5924</v>
      </c>
      <c r="J1070" s="1" t="s">
        <v>822</v>
      </c>
      <c r="K1070" s="1" t="s">
        <v>31</v>
      </c>
      <c r="L1070" s="1">
        <v>85308</v>
      </c>
      <c r="M1070" s="1" t="s">
        <v>32</v>
      </c>
      <c r="N1070" s="4"/>
      <c r="O1070" s="1" t="s">
        <v>5925</v>
      </c>
      <c r="P1070" s="1" t="s">
        <v>5926</v>
      </c>
      <c r="Q1070" s="129" t="s">
        <v>5927</v>
      </c>
      <c r="R1070" s="179">
        <v>106063</v>
      </c>
      <c r="S1070" s="4"/>
      <c r="T1070" s="4"/>
      <c r="U1070" s="4"/>
      <c r="V1070" s="4" t="s">
        <v>443</v>
      </c>
      <c r="W1070" s="4" t="s">
        <v>37</v>
      </c>
      <c r="X1070" s="17" t="s">
        <v>616</v>
      </c>
      <c r="Y1070" s="308" t="s">
        <v>617</v>
      </c>
      <c r="Z1070" s="168"/>
      <c r="AA1070" s="4"/>
      <c r="AB1070" s="4"/>
      <c r="AC1070" s="4"/>
      <c r="AD1070" s="4"/>
      <c r="AE1070" s="4"/>
      <c r="AF1070" s="4"/>
      <c r="AG1070" s="4"/>
      <c r="AH1070" s="4"/>
      <c r="AI1070" s="4"/>
      <c r="AJ1070" s="4"/>
      <c r="AK1070" s="4"/>
      <c r="AL1070" s="4"/>
    </row>
    <row r="1071" spans="1:38">
      <c r="A1071" s="289" t="s">
        <v>812</v>
      </c>
      <c r="B1071" s="158" t="s">
        <v>1213</v>
      </c>
      <c r="C1071" s="284" t="s">
        <v>5928</v>
      </c>
      <c r="D1071" s="158" t="s">
        <v>554</v>
      </c>
      <c r="E1071" s="232">
        <v>45951</v>
      </c>
      <c r="F1071" s="2">
        <f>E1071+14</f>
        <v>45965</v>
      </c>
      <c r="G1071" s="329" t="s">
        <v>42</v>
      </c>
      <c r="H1071" s="297">
        <v>13550</v>
      </c>
      <c r="I1071" s="297" t="s">
        <v>5519</v>
      </c>
      <c r="J1071" s="297" t="s">
        <v>844</v>
      </c>
      <c r="K1071" s="297" t="s">
        <v>31</v>
      </c>
      <c r="L1071" s="297">
        <v>85338</v>
      </c>
      <c r="M1071" s="297" t="s">
        <v>32</v>
      </c>
      <c r="N1071" s="297" t="s">
        <v>5520</v>
      </c>
      <c r="O1071" s="297" t="s">
        <v>5929</v>
      </c>
      <c r="P1071" s="297" t="s">
        <v>5930</v>
      </c>
      <c r="Q1071" s="129" t="s">
        <v>5931</v>
      </c>
      <c r="R1071" s="313">
        <v>104021</v>
      </c>
      <c r="S1071" s="158" t="s">
        <v>37</v>
      </c>
      <c r="T1071" s="158" t="s">
        <v>616</v>
      </c>
      <c r="U1071" s="300" t="s">
        <v>617</v>
      </c>
      <c r="V1071" s="4" t="s">
        <v>443</v>
      </c>
      <c r="W1071" s="4" t="s">
        <v>37</v>
      </c>
      <c r="X1071" s="4" t="s">
        <v>616</v>
      </c>
      <c r="Y1071" s="241" t="s">
        <v>617</v>
      </c>
      <c r="Z1071" s="158" t="s">
        <v>554</v>
      </c>
      <c r="AA1071" s="158" t="s">
        <v>554</v>
      </c>
      <c r="AB1071" s="158" t="s">
        <v>554</v>
      </c>
      <c r="AC1071" s="158" t="s">
        <v>554</v>
      </c>
      <c r="AD1071" s="158" t="s">
        <v>554</v>
      </c>
      <c r="AE1071" s="158" t="s">
        <v>554</v>
      </c>
      <c r="AF1071" s="158" t="s">
        <v>554</v>
      </c>
      <c r="AG1071" s="158" t="s">
        <v>554</v>
      </c>
      <c r="AH1071" s="158" t="s">
        <v>554</v>
      </c>
    </row>
    <row r="1072" spans="1:38">
      <c r="A1072" s="258" t="s">
        <v>812</v>
      </c>
      <c r="B1072" s="15" t="s">
        <v>5932</v>
      </c>
      <c r="C1072" s="4" t="s">
        <v>5933</v>
      </c>
      <c r="D1072" s="130" t="s">
        <v>516</v>
      </c>
      <c r="E1072" s="232">
        <v>45960</v>
      </c>
      <c r="F1072" s="2">
        <f>E1072+14</f>
        <v>45974</v>
      </c>
      <c r="G1072" s="331" t="s">
        <v>28</v>
      </c>
      <c r="H1072" s="41">
        <v>1709</v>
      </c>
      <c r="I1072" s="1" t="s">
        <v>1585</v>
      </c>
      <c r="J1072" s="1" t="s">
        <v>916</v>
      </c>
      <c r="K1072" s="1" t="s">
        <v>31</v>
      </c>
      <c r="L1072" s="1">
        <v>85711</v>
      </c>
      <c r="M1072" s="1" t="s">
        <v>32</v>
      </c>
      <c r="N1072" s="4"/>
      <c r="O1072" s="1"/>
      <c r="P1072" s="1" t="s">
        <v>5934</v>
      </c>
      <c r="Q1072" s="87" t="s">
        <v>5935</v>
      </c>
      <c r="R1072" s="174"/>
      <c r="S1072" s="4"/>
      <c r="T1072" s="4"/>
      <c r="U1072" s="4"/>
      <c r="V1072" s="4" t="s">
        <v>443</v>
      </c>
      <c r="W1072" s="4" t="s">
        <v>37</v>
      </c>
      <c r="X1072" s="4" t="s">
        <v>616</v>
      </c>
      <c r="Y1072" s="235" t="s">
        <v>617</v>
      </c>
      <c r="Z1072" s="4"/>
      <c r="AA1072" s="4"/>
      <c r="AB1072" s="4"/>
      <c r="AC1072" s="4"/>
      <c r="AD1072" s="4"/>
      <c r="AE1072" s="4"/>
      <c r="AF1072" s="4"/>
      <c r="AG1072" s="4"/>
      <c r="AH1072" s="4"/>
      <c r="AI1072" s="4"/>
      <c r="AJ1072" s="4"/>
      <c r="AK1072" s="4"/>
      <c r="AL1072" s="4"/>
    </row>
    <row r="1073" spans="1:38" ht="17.25" customHeight="1">
      <c r="A1073" s="292" t="s">
        <v>812</v>
      </c>
      <c r="B1073" s="158" t="s">
        <v>3094</v>
      </c>
      <c r="C1073" s="284" t="s">
        <v>5936</v>
      </c>
      <c r="D1073" s="297"/>
      <c r="E1073" s="232">
        <v>45960</v>
      </c>
      <c r="F1073" s="60">
        <f>E1073+14</f>
        <v>45974</v>
      </c>
      <c r="G1073" s="313" t="s">
        <v>28</v>
      </c>
      <c r="H1073" s="297">
        <v>4888</v>
      </c>
      <c r="I1073" s="297" t="s">
        <v>5937</v>
      </c>
      <c r="J1073" s="297" t="s">
        <v>916</v>
      </c>
      <c r="K1073" s="297" t="s">
        <v>31</v>
      </c>
      <c r="L1073" s="297">
        <v>85704</v>
      </c>
      <c r="M1073" s="313" t="s">
        <v>32</v>
      </c>
      <c r="N1073" s="313" t="s">
        <v>554</v>
      </c>
      <c r="O1073" s="313" t="s">
        <v>5938</v>
      </c>
      <c r="P1073" s="386" t="s">
        <v>5939</v>
      </c>
      <c r="Q1073" s="89" t="s">
        <v>5940</v>
      </c>
      <c r="R1073" s="259"/>
      <c r="S1073" s="4"/>
      <c r="T1073" s="4"/>
      <c r="U1073" s="4"/>
      <c r="V1073" s="4" t="s">
        <v>443</v>
      </c>
      <c r="W1073" s="4" t="s">
        <v>37</v>
      </c>
      <c r="X1073" s="4" t="s">
        <v>616</v>
      </c>
      <c r="Y1073" s="235" t="s">
        <v>617</v>
      </c>
      <c r="Z1073" s="158" t="s">
        <v>554</v>
      </c>
      <c r="AA1073" s="158" t="s">
        <v>554</v>
      </c>
      <c r="AB1073" s="158" t="s">
        <v>554</v>
      </c>
      <c r="AC1073" s="158" t="s">
        <v>554</v>
      </c>
      <c r="AD1073" s="158" t="s">
        <v>554</v>
      </c>
      <c r="AE1073" s="158" t="s">
        <v>554</v>
      </c>
      <c r="AF1073" s="158" t="s">
        <v>554</v>
      </c>
      <c r="AG1073" s="158" t="s">
        <v>554</v>
      </c>
      <c r="AH1073" s="158" t="s">
        <v>554</v>
      </c>
      <c r="AI1073" s="4"/>
      <c r="AJ1073" s="4"/>
      <c r="AK1073" s="4"/>
      <c r="AL1073" s="4"/>
    </row>
    <row r="1074" spans="1:38">
      <c r="A1074" s="358" t="s">
        <v>394</v>
      </c>
      <c r="B1074" s="29" t="s">
        <v>618</v>
      </c>
      <c r="C1074" s="4" t="s">
        <v>5941</v>
      </c>
      <c r="D1074" s="130" t="s">
        <v>516</v>
      </c>
      <c r="E1074" s="2">
        <v>45964</v>
      </c>
      <c r="F1074" s="2">
        <f>E1074+28</f>
        <v>45992</v>
      </c>
      <c r="G1074" s="331" t="s">
        <v>42</v>
      </c>
      <c r="H1074" s="41">
        <v>4625</v>
      </c>
      <c r="I1074" s="1" t="s">
        <v>5942</v>
      </c>
      <c r="J1074" s="1" t="s">
        <v>434</v>
      </c>
      <c r="K1074" s="1" t="s">
        <v>31</v>
      </c>
      <c r="L1074" s="1">
        <v>85032</v>
      </c>
      <c r="M1074" s="1" t="s">
        <v>32</v>
      </c>
      <c r="N1074" s="4"/>
      <c r="O1074" s="1" t="s">
        <v>5382</v>
      </c>
      <c r="P1074" s="1" t="s">
        <v>5943</v>
      </c>
      <c r="Q1074" s="129" t="s">
        <v>5944</v>
      </c>
      <c r="R1074" s="31">
        <v>105279</v>
      </c>
      <c r="S1074" s="4"/>
      <c r="T1074" s="4"/>
      <c r="U1074" s="4"/>
      <c r="V1074" s="158" t="s">
        <v>36</v>
      </c>
      <c r="W1074" s="158" t="s">
        <v>37</v>
      </c>
      <c r="X1074" s="17" t="s">
        <v>98</v>
      </c>
      <c r="Y1074" s="302" t="s">
        <v>99</v>
      </c>
      <c r="Z1074" s="4"/>
      <c r="AA1074" s="4"/>
      <c r="AB1074" s="4"/>
      <c r="AC1074" s="4"/>
      <c r="AD1074" s="4"/>
      <c r="AE1074" s="4"/>
      <c r="AF1074" s="4"/>
      <c r="AG1074" s="4"/>
      <c r="AH1074" s="4"/>
    </row>
    <row r="1075" spans="1:38">
      <c r="A1075" s="163" t="s">
        <v>25</v>
      </c>
      <c r="B1075" s="29" t="s">
        <v>236</v>
      </c>
      <c r="C1075" s="4" t="s">
        <v>5945</v>
      </c>
      <c r="D1075" s="130">
        <v>45783</v>
      </c>
      <c r="E1075" s="2">
        <v>45964</v>
      </c>
      <c r="F1075" s="2">
        <f>E1075+14</f>
        <v>45978</v>
      </c>
      <c r="G1075" s="232" t="s">
        <v>42</v>
      </c>
      <c r="H1075" s="41">
        <v>18418</v>
      </c>
      <c r="I1075" s="1" t="s">
        <v>5946</v>
      </c>
      <c r="J1075" s="1" t="s">
        <v>129</v>
      </c>
      <c r="K1075" s="1" t="s">
        <v>31</v>
      </c>
      <c r="L1075" s="1">
        <v>85142</v>
      </c>
      <c r="M1075" s="1" t="s">
        <v>32</v>
      </c>
      <c r="N1075" s="4"/>
      <c r="O1075" s="1" t="s">
        <v>5947</v>
      </c>
      <c r="P1075" s="1" t="s">
        <v>5948</v>
      </c>
      <c r="Q1075" s="87" t="s">
        <v>5949</v>
      </c>
      <c r="R1075" s="31">
        <v>107100</v>
      </c>
      <c r="S1075" s="4"/>
      <c r="T1075" s="4"/>
      <c r="U1075" s="4"/>
      <c r="V1075" s="4" t="s">
        <v>36</v>
      </c>
      <c r="W1075" s="4" t="s">
        <v>37</v>
      </c>
      <c r="X1075" s="1" t="s">
        <v>59</v>
      </c>
      <c r="Y1075" s="167" t="s">
        <v>39</v>
      </c>
      <c r="Z1075" s="4"/>
    </row>
    <row r="1076" spans="1:38">
      <c r="A1076" s="163" t="s">
        <v>25</v>
      </c>
      <c r="B1076" s="15" t="s">
        <v>5950</v>
      </c>
      <c r="C1076" s="29" t="s">
        <v>5951</v>
      </c>
      <c r="D1076" s="4"/>
      <c r="E1076" s="2">
        <v>45966</v>
      </c>
      <c r="F1076" s="60">
        <f>E1076+14</f>
        <v>45980</v>
      </c>
      <c r="G1076" s="42" t="s">
        <v>28</v>
      </c>
      <c r="H1076" s="1">
        <v>10136</v>
      </c>
      <c r="I1076" s="1" t="s">
        <v>697</v>
      </c>
      <c r="J1076" s="1" t="s">
        <v>63</v>
      </c>
      <c r="K1076" s="1" t="s">
        <v>31</v>
      </c>
      <c r="L1076" s="1">
        <v>85209</v>
      </c>
      <c r="M1076" s="1" t="s">
        <v>32</v>
      </c>
      <c r="N1076" s="4"/>
      <c r="O1076" s="1" t="s">
        <v>5545</v>
      </c>
      <c r="P1076" s="1" t="s">
        <v>5546</v>
      </c>
      <c r="Q1076" s="87"/>
      <c r="R1076" s="1">
        <v>99195</v>
      </c>
      <c r="S1076" s="4"/>
      <c r="T1076" s="4"/>
      <c r="U1076" s="4"/>
      <c r="V1076" s="4" t="s">
        <v>36</v>
      </c>
      <c r="W1076" s="4" t="s">
        <v>37</v>
      </c>
      <c r="X1076" s="4" t="s">
        <v>38</v>
      </c>
      <c r="Y1076" s="235" t="s">
        <v>39</v>
      </c>
      <c r="Z1076" s="168"/>
    </row>
    <row r="1077" spans="1:38">
      <c r="A1077" s="327" t="s">
        <v>25</v>
      </c>
      <c r="B1077" s="29" t="s">
        <v>2521</v>
      </c>
      <c r="C1077" s="4" t="s">
        <v>5952</v>
      </c>
      <c r="D1077" s="130"/>
      <c r="E1077" s="2">
        <v>45965</v>
      </c>
      <c r="F1077" s="2">
        <f>E1077+14</f>
        <v>45979</v>
      </c>
      <c r="G1077" s="331" t="s">
        <v>28</v>
      </c>
      <c r="H1077" s="41">
        <v>8336</v>
      </c>
      <c r="I1077" s="1" t="s">
        <v>5953</v>
      </c>
      <c r="J1077" s="1" t="s">
        <v>63</v>
      </c>
      <c r="K1077" s="1" t="s">
        <v>31</v>
      </c>
      <c r="L1077" s="1">
        <v>85212</v>
      </c>
      <c r="M1077" s="1" t="s">
        <v>32</v>
      </c>
      <c r="N1077" s="4"/>
      <c r="O1077" s="1" t="s">
        <v>5954</v>
      </c>
      <c r="P1077" s="1" t="s">
        <v>5955</v>
      </c>
      <c r="Q1077" s="98" t="s">
        <v>5956</v>
      </c>
      <c r="R1077" s="31">
        <v>104224</v>
      </c>
      <c r="S1077" s="4"/>
      <c r="T1077" s="4"/>
      <c r="U1077" s="4"/>
      <c r="V1077" s="4" t="s">
        <v>36</v>
      </c>
      <c r="W1077" s="4" t="s">
        <v>37</v>
      </c>
      <c r="X1077" s="1" t="s">
        <v>59</v>
      </c>
      <c r="Y1077" s="167" t="s">
        <v>39</v>
      </c>
      <c r="Z1077" s="4"/>
    </row>
    <row r="1078" spans="1:38">
      <c r="A1078" s="163" t="s">
        <v>25</v>
      </c>
      <c r="B1078" s="29" t="s">
        <v>2254</v>
      </c>
      <c r="C1078" s="4" t="s">
        <v>5957</v>
      </c>
      <c r="D1078" s="130">
        <v>45735</v>
      </c>
      <c r="E1078" s="2">
        <v>45965</v>
      </c>
      <c r="F1078" s="2">
        <f>E1078+14</f>
        <v>45979</v>
      </c>
      <c r="G1078" s="332" t="s">
        <v>42</v>
      </c>
      <c r="H1078" s="41">
        <v>6922</v>
      </c>
      <c r="I1078" s="1" t="s">
        <v>5958</v>
      </c>
      <c r="J1078" s="1" t="s">
        <v>63</v>
      </c>
      <c r="K1078" s="1" t="s">
        <v>31</v>
      </c>
      <c r="L1078" s="1">
        <v>85212</v>
      </c>
      <c r="M1078" s="1" t="s">
        <v>32</v>
      </c>
      <c r="N1078" s="4"/>
      <c r="O1078" s="1" t="s">
        <v>3972</v>
      </c>
      <c r="P1078" s="1" t="s">
        <v>3973</v>
      </c>
      <c r="Q1078" s="87" t="s">
        <v>5959</v>
      </c>
      <c r="R1078" s="31">
        <v>107781</v>
      </c>
      <c r="S1078" s="4"/>
      <c r="T1078" s="4"/>
      <c r="U1078" s="4"/>
      <c r="V1078" s="4" t="s">
        <v>36</v>
      </c>
      <c r="W1078" s="4" t="s">
        <v>37</v>
      </c>
      <c r="X1078" s="1" t="s">
        <v>59</v>
      </c>
      <c r="Y1078" s="167" t="s">
        <v>39</v>
      </c>
      <c r="Z1078" s="4"/>
    </row>
    <row r="1079" spans="1:38">
      <c r="A1079" s="164" t="s">
        <v>812</v>
      </c>
      <c r="B1079" s="70" t="s">
        <v>3736</v>
      </c>
      <c r="C1079" s="56" t="s">
        <v>5960</v>
      </c>
      <c r="D1079" s="60"/>
      <c r="E1079" s="232">
        <v>45966</v>
      </c>
      <c r="F1079" s="2">
        <f>E1079+14</f>
        <v>45980</v>
      </c>
      <c r="G1079" s="331" t="s">
        <v>28</v>
      </c>
      <c r="H1079" s="41">
        <v>2425</v>
      </c>
      <c r="I1079" s="55" t="s">
        <v>5961</v>
      </c>
      <c r="J1079" s="55" t="s">
        <v>434</v>
      </c>
      <c r="K1079" s="55" t="s">
        <v>31</v>
      </c>
      <c r="L1079" s="1">
        <v>85009</v>
      </c>
      <c r="M1079" s="55" t="s">
        <v>32</v>
      </c>
      <c r="N1079" s="56"/>
      <c r="O1079" s="1" t="s">
        <v>5736</v>
      </c>
      <c r="P1079" s="1" t="s">
        <v>5737</v>
      </c>
      <c r="Q1079" s="98" t="s">
        <v>5738</v>
      </c>
      <c r="R1079" s="259">
        <v>94618</v>
      </c>
      <c r="S1079" s="4"/>
      <c r="T1079" s="4"/>
      <c r="U1079" s="4"/>
      <c r="V1079" s="4" t="s">
        <v>443</v>
      </c>
      <c r="W1079" s="4" t="s">
        <v>37</v>
      </c>
      <c r="X1079" s="17" t="s">
        <v>616</v>
      </c>
      <c r="Y1079" s="302" t="s">
        <v>617</v>
      </c>
      <c r="Z1079" s="167" t="s">
        <v>364</v>
      </c>
      <c r="AA1079" s="4"/>
      <c r="AB1079" s="4"/>
      <c r="AC1079" s="4"/>
      <c r="AD1079" s="4"/>
      <c r="AE1079" s="4"/>
      <c r="AF1079" s="4"/>
      <c r="AG1079" s="4"/>
      <c r="AH1079" s="4"/>
    </row>
    <row r="1080" spans="1:38">
      <c r="A1080" s="258" t="s">
        <v>812</v>
      </c>
      <c r="B1080" s="349" t="s">
        <v>1046</v>
      </c>
      <c r="C1080" s="4" t="s">
        <v>5962</v>
      </c>
      <c r="D1080" s="130"/>
      <c r="E1080" s="232">
        <v>45967</v>
      </c>
      <c r="F1080" s="2">
        <f>E1080+14</f>
        <v>45981</v>
      </c>
      <c r="G1080" s="332" t="s">
        <v>722</v>
      </c>
      <c r="H1080" s="41">
        <v>2510</v>
      </c>
      <c r="I1080" s="1" t="s">
        <v>5963</v>
      </c>
      <c r="J1080" s="1" t="s">
        <v>916</v>
      </c>
      <c r="K1080" s="1" t="s">
        <v>31</v>
      </c>
      <c r="L1080" s="1">
        <v>85706</v>
      </c>
      <c r="M1080" s="1" t="s">
        <v>32</v>
      </c>
      <c r="N1080" s="4"/>
      <c r="O1080" s="1" t="s">
        <v>4917</v>
      </c>
      <c r="P1080" s="1" t="s">
        <v>4918</v>
      </c>
      <c r="Q1080" s="87" t="s">
        <v>4919</v>
      </c>
      <c r="R1080" s="179" t="s">
        <v>35</v>
      </c>
      <c r="S1080" s="4"/>
      <c r="T1080" s="4"/>
      <c r="U1080" s="4"/>
      <c r="V1080" s="4" t="s">
        <v>443</v>
      </c>
      <c r="W1080" s="4" t="s">
        <v>37</v>
      </c>
      <c r="X1080" s="17" t="s">
        <v>616</v>
      </c>
      <c r="Y1080" s="302" t="s">
        <v>617</v>
      </c>
      <c r="Z1080" s="4"/>
      <c r="AA1080" s="4"/>
      <c r="AB1080" s="4"/>
      <c r="AC1080" s="4"/>
      <c r="AD1080" s="4"/>
      <c r="AE1080" s="4"/>
      <c r="AF1080" s="4"/>
      <c r="AG1080" s="4"/>
      <c r="AH1080" s="4"/>
      <c r="AI1080" s="4"/>
      <c r="AJ1080" s="4"/>
      <c r="AK1080" s="4"/>
      <c r="AL1080" s="4"/>
    </row>
    <row r="1081" spans="1:38">
      <c r="A1081" s="163" t="s">
        <v>25</v>
      </c>
      <c r="B1081" s="15" t="s">
        <v>372</v>
      </c>
      <c r="C1081" s="29" t="s">
        <v>5964</v>
      </c>
      <c r="D1081" s="26">
        <v>45476</v>
      </c>
      <c r="E1081" s="2">
        <v>45981</v>
      </c>
      <c r="F1081" s="2">
        <f>E1081+14</f>
        <v>45995</v>
      </c>
      <c r="G1081" s="42" t="s">
        <v>42</v>
      </c>
      <c r="H1081" s="1">
        <v>5036</v>
      </c>
      <c r="I1081" s="1" t="s">
        <v>5965</v>
      </c>
      <c r="J1081" s="1" t="s">
        <v>63</v>
      </c>
      <c r="K1081" s="1" t="s">
        <v>31</v>
      </c>
      <c r="L1081" s="1">
        <v>85212</v>
      </c>
      <c r="M1081" s="1" t="s">
        <v>32</v>
      </c>
      <c r="N1081" s="4"/>
      <c r="O1081" s="1" t="s">
        <v>5966</v>
      </c>
      <c r="P1081" s="1" t="s">
        <v>5967</v>
      </c>
      <c r="Q1081" s="129" t="s">
        <v>5968</v>
      </c>
      <c r="R1081" s="1">
        <v>104173</v>
      </c>
      <c r="S1081" s="4"/>
      <c r="T1081" s="4"/>
      <c r="U1081" s="4"/>
      <c r="V1081" s="4" t="s">
        <v>36</v>
      </c>
      <c r="W1081" s="4" t="s">
        <v>37</v>
      </c>
      <c r="X1081" s="17" t="s">
        <v>38</v>
      </c>
      <c r="Y1081" s="302" t="s">
        <v>39</v>
      </c>
      <c r="Z1081" s="4"/>
      <c r="AA1081" s="4"/>
      <c r="AB1081" s="4"/>
      <c r="AC1081" s="4"/>
      <c r="AD1081" s="4"/>
      <c r="AE1081" s="4"/>
      <c r="AF1081" s="4"/>
      <c r="AG1081" s="4"/>
      <c r="AH1081" s="4"/>
      <c r="AI1081" s="4"/>
      <c r="AJ1081" s="4"/>
      <c r="AK1081" s="4"/>
      <c r="AL1081" s="4"/>
    </row>
    <row r="1082" spans="1:38">
      <c r="A1082" s="258" t="s">
        <v>812</v>
      </c>
      <c r="B1082" s="15" t="s">
        <v>1174</v>
      </c>
      <c r="C1082" s="4" t="s">
        <v>5969</v>
      </c>
      <c r="D1082" s="130" t="s">
        <v>516</v>
      </c>
      <c r="E1082" s="232">
        <v>45974</v>
      </c>
      <c r="F1082" s="2">
        <f>E1082+14</f>
        <v>45988</v>
      </c>
      <c r="G1082" s="331" t="s">
        <v>404</v>
      </c>
      <c r="H1082" s="41">
        <v>4431</v>
      </c>
      <c r="I1082" s="1" t="s">
        <v>1844</v>
      </c>
      <c r="J1082" s="1" t="s">
        <v>916</v>
      </c>
      <c r="K1082" s="1" t="s">
        <v>31</v>
      </c>
      <c r="L1082" s="1">
        <v>85711</v>
      </c>
      <c r="M1082" s="1" t="s">
        <v>32</v>
      </c>
      <c r="N1082" s="4"/>
      <c r="O1082" s="1" t="s">
        <v>5970</v>
      </c>
      <c r="P1082" s="1" t="s">
        <v>5971</v>
      </c>
      <c r="Q1082" s="87" t="s">
        <v>5972</v>
      </c>
      <c r="R1082" s="178">
        <v>105321</v>
      </c>
      <c r="S1082" s="4"/>
      <c r="T1082" s="4"/>
      <c r="U1082" s="4"/>
      <c r="V1082" s="4" t="s">
        <v>443</v>
      </c>
      <c r="W1082" s="4" t="s">
        <v>37</v>
      </c>
      <c r="X1082" s="4" t="s">
        <v>616</v>
      </c>
      <c r="Y1082" s="235" t="s">
        <v>617</v>
      </c>
      <c r="Z1082" s="4"/>
      <c r="AA1082" s="4"/>
      <c r="AB1082" s="4"/>
      <c r="AC1082" s="4"/>
      <c r="AD1082" s="4"/>
      <c r="AE1082" s="4"/>
      <c r="AF1082" s="4"/>
      <c r="AG1082" s="4"/>
      <c r="AH1082" s="4"/>
    </row>
    <row r="1083" spans="1:38">
      <c r="A1083" s="164" t="s">
        <v>812</v>
      </c>
      <c r="B1083" s="311" t="s">
        <v>5973</v>
      </c>
      <c r="C1083" s="4" t="s">
        <v>5974</v>
      </c>
      <c r="D1083" s="2"/>
      <c r="E1083" s="232">
        <v>45979</v>
      </c>
      <c r="F1083" s="2">
        <f>E1083+14</f>
        <v>45993</v>
      </c>
      <c r="G1083" s="332" t="s">
        <v>42</v>
      </c>
      <c r="H1083" s="1">
        <v>426</v>
      </c>
      <c r="I1083" s="41" t="s">
        <v>2174</v>
      </c>
      <c r="J1083" s="1" t="s">
        <v>873</v>
      </c>
      <c r="K1083" s="1" t="s">
        <v>31</v>
      </c>
      <c r="L1083" s="1"/>
      <c r="M1083" s="1" t="s">
        <v>32</v>
      </c>
      <c r="N1083" s="4"/>
      <c r="O1083" s="42" t="s">
        <v>5828</v>
      </c>
      <c r="P1083" s="179" t="s">
        <v>5975</v>
      </c>
      <c r="Q1083" s="184" t="s">
        <v>5976</v>
      </c>
      <c r="R1083" s="179"/>
      <c r="S1083" s="4"/>
      <c r="T1083" s="4"/>
      <c r="U1083" s="4"/>
      <c r="V1083" s="4" t="s">
        <v>443</v>
      </c>
      <c r="W1083" s="4" t="s">
        <v>37</v>
      </c>
      <c r="X1083" s="4" t="s">
        <v>616</v>
      </c>
      <c r="Y1083" s="235" t="s">
        <v>617</v>
      </c>
      <c r="Z1083" s="167" t="s">
        <v>364</v>
      </c>
    </row>
    <row r="1084" spans="1:38">
      <c r="A1084" s="358" t="s">
        <v>394</v>
      </c>
      <c r="B1084" s="29" t="s">
        <v>258</v>
      </c>
      <c r="C1084" s="4" t="s">
        <v>5977</v>
      </c>
      <c r="D1084" s="2" t="s">
        <v>516</v>
      </c>
      <c r="E1084" s="232">
        <v>45965</v>
      </c>
      <c r="F1084" s="2">
        <f>E1084+28</f>
        <v>45993</v>
      </c>
      <c r="G1084" s="331" t="s">
        <v>42</v>
      </c>
      <c r="H1084" s="41">
        <v>31925</v>
      </c>
      <c r="I1084" s="1" t="s">
        <v>549</v>
      </c>
      <c r="J1084" s="1" t="s">
        <v>1661</v>
      </c>
      <c r="K1084" s="1" t="s">
        <v>31</v>
      </c>
      <c r="L1084" s="1">
        <v>85083</v>
      </c>
      <c r="M1084" s="1" t="s">
        <v>32</v>
      </c>
      <c r="N1084" s="4"/>
      <c r="O1084" s="253" t="s">
        <v>2995</v>
      </c>
      <c r="P1084" s="1" t="s">
        <v>5978</v>
      </c>
      <c r="Q1084" s="87" t="s">
        <v>5979</v>
      </c>
      <c r="R1084" s="31">
        <v>99593</v>
      </c>
      <c r="S1084" s="4"/>
      <c r="T1084" s="4"/>
      <c r="U1084" s="4"/>
      <c r="V1084" s="4" t="s">
        <v>443</v>
      </c>
      <c r="W1084" s="4" t="s">
        <v>37</v>
      </c>
      <c r="X1084" s="4" t="s">
        <v>98</v>
      </c>
      <c r="Y1084" s="235" t="s">
        <v>99</v>
      </c>
      <c r="Z1084" s="167" t="s">
        <v>364</v>
      </c>
    </row>
    <row r="1085" spans="1:38">
      <c r="A1085" s="258" t="s">
        <v>812</v>
      </c>
      <c r="B1085" s="29" t="s">
        <v>3512</v>
      </c>
      <c r="C1085" s="4" t="s">
        <v>5980</v>
      </c>
      <c r="D1085" s="130"/>
      <c r="E1085" s="232">
        <v>45981</v>
      </c>
      <c r="F1085" s="2">
        <f>E1085+14</f>
        <v>45995</v>
      </c>
      <c r="G1085" s="331" t="s">
        <v>28</v>
      </c>
      <c r="H1085" s="41">
        <v>2730</v>
      </c>
      <c r="I1085" s="1" t="s">
        <v>5963</v>
      </c>
      <c r="J1085" s="1" t="s">
        <v>916</v>
      </c>
      <c r="K1085" s="1" t="s">
        <v>31</v>
      </c>
      <c r="L1085" s="1">
        <v>85706</v>
      </c>
      <c r="M1085" s="1" t="s">
        <v>32</v>
      </c>
      <c r="N1085" s="4"/>
      <c r="O1085" s="1" t="s">
        <v>5981</v>
      </c>
      <c r="P1085" s="1" t="s">
        <v>5982</v>
      </c>
      <c r="Q1085" s="87" t="s">
        <v>5983</v>
      </c>
      <c r="R1085" s="178">
        <v>105898</v>
      </c>
      <c r="S1085" s="4"/>
      <c r="T1085" s="4"/>
      <c r="U1085" s="4"/>
      <c r="V1085" s="4" t="s">
        <v>443</v>
      </c>
      <c r="W1085" s="4" t="s">
        <v>37</v>
      </c>
      <c r="X1085" s="4" t="s">
        <v>616</v>
      </c>
      <c r="Y1085" s="235" t="s">
        <v>617</v>
      </c>
      <c r="Z1085" s="4"/>
      <c r="AA1085" s="4"/>
      <c r="AB1085" s="4"/>
      <c r="AC1085" s="4"/>
      <c r="AD1085" s="4"/>
      <c r="AE1085" s="4"/>
      <c r="AF1085" s="4"/>
      <c r="AG1085" s="4"/>
      <c r="AH1085" s="4"/>
      <c r="AI1085" s="4"/>
      <c r="AJ1085" s="4"/>
      <c r="AK1085" s="4"/>
      <c r="AL1085" s="4"/>
    </row>
    <row r="1086" spans="1:38">
      <c r="A1086" s="163" t="s">
        <v>25</v>
      </c>
      <c r="B1086" s="29" t="s">
        <v>402</v>
      </c>
      <c r="C1086" s="4" t="s">
        <v>5984</v>
      </c>
      <c r="D1086" s="130"/>
      <c r="E1086" s="2">
        <v>45978</v>
      </c>
      <c r="F1086" s="2">
        <f>E1086+14</f>
        <v>45992</v>
      </c>
      <c r="G1086" s="331" t="s">
        <v>42</v>
      </c>
      <c r="H1086" s="41">
        <v>5818</v>
      </c>
      <c r="I1086" s="1" t="s">
        <v>342</v>
      </c>
      <c r="J1086" s="1" t="s">
        <v>63</v>
      </c>
      <c r="K1086" s="1" t="s">
        <v>31</v>
      </c>
      <c r="L1086" s="1">
        <v>85206</v>
      </c>
      <c r="M1086" s="1" t="s">
        <v>32</v>
      </c>
      <c r="N1086" s="4"/>
      <c r="O1086" s="1" t="s">
        <v>5985</v>
      </c>
      <c r="P1086" s="1" t="s">
        <v>5986</v>
      </c>
      <c r="Q1086" s="87" t="s">
        <v>5987</v>
      </c>
      <c r="R1086" s="31">
        <v>99221</v>
      </c>
      <c r="S1086" s="4"/>
      <c r="T1086" s="4"/>
      <c r="U1086" s="4"/>
      <c r="V1086" s="4" t="s">
        <v>36</v>
      </c>
      <c r="W1086" s="4" t="s">
        <v>37</v>
      </c>
      <c r="X1086" s="4" t="s">
        <v>38</v>
      </c>
      <c r="Y1086" s="235" t="s">
        <v>39</v>
      </c>
    </row>
    <row r="1087" spans="1:38">
      <c r="A1087" s="163" t="s">
        <v>25</v>
      </c>
      <c r="B1087" s="15" t="s">
        <v>761</v>
      </c>
      <c r="C1087" s="29" t="s">
        <v>5988</v>
      </c>
      <c r="D1087" s="4" t="s">
        <v>5786</v>
      </c>
      <c r="E1087" s="232">
        <v>45986</v>
      </c>
      <c r="F1087" s="2">
        <f>E1087+14</f>
        <v>46000</v>
      </c>
      <c r="G1087" s="41" t="s">
        <v>28</v>
      </c>
      <c r="H1087" s="1">
        <v>4040</v>
      </c>
      <c r="I1087" s="1" t="s">
        <v>5989</v>
      </c>
      <c r="J1087" s="1" t="s">
        <v>49</v>
      </c>
      <c r="K1087" s="1" t="s">
        <v>31</v>
      </c>
      <c r="L1087" s="1">
        <v>85297</v>
      </c>
      <c r="M1087" s="1" t="s">
        <v>32</v>
      </c>
      <c r="N1087" s="4"/>
      <c r="O1087" s="4" t="s">
        <v>5990</v>
      </c>
      <c r="P1087" s="1" t="s">
        <v>5991</v>
      </c>
      <c r="Q1087" s="129" t="s">
        <v>5992</v>
      </c>
      <c r="R1087" s="124" t="s">
        <v>35</v>
      </c>
      <c r="S1087" s="4"/>
      <c r="T1087" s="4"/>
      <c r="U1087" s="4"/>
      <c r="V1087" s="4" t="s">
        <v>36</v>
      </c>
      <c r="W1087" s="4" t="s">
        <v>37</v>
      </c>
      <c r="X1087" s="17" t="s">
        <v>38</v>
      </c>
      <c r="Y1087" s="302" t="s">
        <v>39</v>
      </c>
      <c r="Z1087" s="4"/>
      <c r="AA1087" s="4"/>
      <c r="AB1087" s="4"/>
      <c r="AC1087" s="4"/>
      <c r="AD1087" s="4"/>
      <c r="AE1087" s="4"/>
      <c r="AF1087" s="4"/>
      <c r="AG1087" s="4"/>
      <c r="AH1087" s="4"/>
      <c r="AI1087" s="4"/>
      <c r="AJ1087" s="4"/>
      <c r="AK1087" s="4"/>
      <c r="AL1087" s="4"/>
    </row>
    <row r="1088" spans="1:38">
      <c r="A1088" s="358" t="s">
        <v>394</v>
      </c>
      <c r="B1088" s="192" t="s">
        <v>252</v>
      </c>
      <c r="C1088" s="348" t="s">
        <v>5993</v>
      </c>
      <c r="D1088" s="312"/>
      <c r="E1088" s="2">
        <v>45981</v>
      </c>
      <c r="F1088" s="2">
        <f>E1088+14</f>
        <v>45995</v>
      </c>
      <c r="G1088" s="331" t="s">
        <v>42</v>
      </c>
      <c r="H1088" s="41">
        <v>835</v>
      </c>
      <c r="I1088" s="25" t="s">
        <v>5994</v>
      </c>
      <c r="J1088" s="1" t="s">
        <v>415</v>
      </c>
      <c r="K1088" s="1" t="s">
        <v>31</v>
      </c>
      <c r="L1088" s="1">
        <v>85281</v>
      </c>
      <c r="M1088" s="1" t="s">
        <v>32</v>
      </c>
      <c r="N1088" s="4"/>
      <c r="O1088" s="1" t="s">
        <v>5995</v>
      </c>
      <c r="P1088" s="1" t="s">
        <v>5996</v>
      </c>
      <c r="Q1088" s="87" t="s">
        <v>5997</v>
      </c>
      <c r="R1088" s="31">
        <v>98308</v>
      </c>
      <c r="S1088" s="4"/>
      <c r="T1088" s="4"/>
      <c r="U1088" s="4"/>
      <c r="V1088" s="4" t="s">
        <v>36</v>
      </c>
      <c r="W1088" s="4" t="s">
        <v>37</v>
      </c>
      <c r="X1088" s="4" t="s">
        <v>98</v>
      </c>
      <c r="Y1088" s="235" t="s">
        <v>99</v>
      </c>
      <c r="Z1088" s="4"/>
    </row>
    <row r="1089" spans="1:38">
      <c r="A1089" s="258" t="s">
        <v>812</v>
      </c>
      <c r="B1089" s="309" t="s">
        <v>2329</v>
      </c>
      <c r="C1089" s="4" t="s">
        <v>5998</v>
      </c>
      <c r="D1089" s="130"/>
      <c r="E1089" s="232">
        <v>45988</v>
      </c>
      <c r="F1089" s="2">
        <f>E1089+14</f>
        <v>46002</v>
      </c>
      <c r="G1089" s="232" t="s">
        <v>42</v>
      </c>
      <c r="H1089" s="41" t="s">
        <v>184</v>
      </c>
      <c r="I1089" s="41" t="s">
        <v>5999</v>
      </c>
      <c r="J1089" s="1" t="s">
        <v>916</v>
      </c>
      <c r="K1089" s="1" t="s">
        <v>31</v>
      </c>
      <c r="L1089" s="1">
        <v>85713</v>
      </c>
      <c r="M1089" s="1" t="s">
        <v>32</v>
      </c>
      <c r="N1089" s="4"/>
      <c r="O1089" s="351" t="s">
        <v>6000</v>
      </c>
      <c r="P1089" s="351" t="s">
        <v>6001</v>
      </c>
      <c r="Q1089" s="87" t="s">
        <v>6002</v>
      </c>
      <c r="R1089" s="178">
        <v>109295</v>
      </c>
      <c r="S1089" s="4"/>
      <c r="T1089" s="4"/>
      <c r="U1089" s="4"/>
      <c r="V1089" s="4" t="s">
        <v>443</v>
      </c>
      <c r="W1089" s="4" t="s">
        <v>37</v>
      </c>
      <c r="X1089" s="4" t="s">
        <v>616</v>
      </c>
      <c r="Y1089" s="235" t="s">
        <v>617</v>
      </c>
      <c r="Z1089" s="4"/>
    </row>
    <row r="1090" spans="1:38">
      <c r="A1090" s="358" t="s">
        <v>394</v>
      </c>
      <c r="B1090" s="158" t="s">
        <v>4622</v>
      </c>
      <c r="C1090" s="158" t="s">
        <v>6003</v>
      </c>
      <c r="D1090" s="158" t="s">
        <v>554</v>
      </c>
      <c r="E1090" s="232">
        <v>45988</v>
      </c>
      <c r="F1090" s="2">
        <f>E1090+14</f>
        <v>46002</v>
      </c>
      <c r="G1090" s="313" t="s">
        <v>404</v>
      </c>
      <c r="H1090" s="297">
        <v>1935</v>
      </c>
      <c r="I1090" s="297" t="s">
        <v>1002</v>
      </c>
      <c r="J1090" s="297" t="s">
        <v>434</v>
      </c>
      <c r="K1090" s="297" t="s">
        <v>31</v>
      </c>
      <c r="L1090" s="297">
        <v>85041</v>
      </c>
      <c r="M1090" s="297" t="s">
        <v>32</v>
      </c>
      <c r="N1090" s="158" t="s">
        <v>554</v>
      </c>
      <c r="O1090" s="73" t="s">
        <v>4830</v>
      </c>
      <c r="P1090" s="297" t="s">
        <v>4831</v>
      </c>
      <c r="Q1090" s="265" t="s">
        <v>6004</v>
      </c>
      <c r="R1090" s="388">
        <v>111813</v>
      </c>
      <c r="S1090" s="158" t="s">
        <v>554</v>
      </c>
      <c r="T1090" s="158" t="s">
        <v>554</v>
      </c>
      <c r="U1090" s="158" t="s">
        <v>554</v>
      </c>
      <c r="V1090" s="158" t="s">
        <v>443</v>
      </c>
      <c r="W1090" s="158" t="s">
        <v>37</v>
      </c>
      <c r="X1090" s="4" t="s">
        <v>98</v>
      </c>
      <c r="Y1090" s="235" t="s">
        <v>99</v>
      </c>
      <c r="Z1090" s="307" t="s">
        <v>364</v>
      </c>
      <c r="AA1090" s="4"/>
      <c r="AB1090" s="4"/>
      <c r="AC1090" s="4"/>
      <c r="AD1090" s="4"/>
      <c r="AE1090" s="4"/>
      <c r="AF1090" s="4"/>
      <c r="AG1090" s="4"/>
      <c r="AH1090" s="4"/>
      <c r="AI1090" s="4"/>
      <c r="AJ1090" s="4"/>
      <c r="AK1090" s="4"/>
      <c r="AL1090" s="4"/>
    </row>
    <row r="1091" spans="1:38">
      <c r="A1091" s="358" t="s">
        <v>394</v>
      </c>
      <c r="B1091" s="141" t="s">
        <v>989</v>
      </c>
      <c r="C1091" s="102" t="s">
        <v>6005</v>
      </c>
      <c r="D1091" s="12"/>
      <c r="E1091" s="232">
        <v>45992</v>
      </c>
      <c r="F1091" s="298">
        <f>E1091+14</f>
        <v>46006</v>
      </c>
      <c r="G1091" s="334" t="s">
        <v>42</v>
      </c>
      <c r="H1091" s="12" t="s">
        <v>379</v>
      </c>
      <c r="I1091" s="12" t="s">
        <v>6006</v>
      </c>
      <c r="J1091" s="12" t="s">
        <v>434</v>
      </c>
      <c r="K1091" s="12" t="s">
        <v>31</v>
      </c>
      <c r="L1091" s="12">
        <v>85054</v>
      </c>
      <c r="M1091" s="12" t="s">
        <v>32</v>
      </c>
      <c r="N1091" s="17"/>
      <c r="O1091" s="12" t="s">
        <v>6007</v>
      </c>
      <c r="P1091" s="12" t="s">
        <v>6008</v>
      </c>
      <c r="Q1091" s="396" t="s">
        <v>6009</v>
      </c>
      <c r="R1091" s="397">
        <v>112196</v>
      </c>
      <c r="S1091" s="17"/>
      <c r="T1091" s="17"/>
      <c r="U1091" s="17"/>
      <c r="V1091" s="17" t="s">
        <v>443</v>
      </c>
      <c r="W1091" s="17" t="s">
        <v>37</v>
      </c>
      <c r="X1091" s="17" t="s">
        <v>98</v>
      </c>
      <c r="Y1091" s="302" t="s">
        <v>99</v>
      </c>
      <c r="Z1091" s="303" t="s">
        <v>364</v>
      </c>
      <c r="AA1091" s="4"/>
      <c r="AB1091" s="4"/>
      <c r="AC1091" s="4"/>
      <c r="AD1091" s="4"/>
      <c r="AE1091" s="4"/>
      <c r="AF1091" s="4"/>
      <c r="AG1091" s="4"/>
      <c r="AH1091" s="4"/>
      <c r="AI1091" s="4"/>
      <c r="AJ1091" s="4"/>
      <c r="AK1091" s="4"/>
      <c r="AL1091" s="4"/>
    </row>
    <row r="1092" spans="1:38">
      <c r="A1092" s="164" t="s">
        <v>812</v>
      </c>
      <c r="B1092" s="70" t="s">
        <v>559</v>
      </c>
      <c r="C1092" s="56" t="s">
        <v>6010</v>
      </c>
      <c r="D1092" s="60"/>
      <c r="E1092" s="232">
        <v>46000</v>
      </c>
      <c r="F1092" s="2">
        <f>E1092+14</f>
        <v>46014</v>
      </c>
      <c r="G1092" s="331" t="s">
        <v>42</v>
      </c>
      <c r="H1092" s="54" t="s">
        <v>6011</v>
      </c>
      <c r="I1092" s="55" t="s">
        <v>6012</v>
      </c>
      <c r="J1092" s="55" t="s">
        <v>1111</v>
      </c>
      <c r="K1092" s="55" t="s">
        <v>31</v>
      </c>
      <c r="L1092" s="55" t="s">
        <v>1287</v>
      </c>
      <c r="M1092" s="55" t="s">
        <v>32</v>
      </c>
      <c r="N1092" s="56"/>
      <c r="O1092" s="55" t="s">
        <v>6013</v>
      </c>
      <c r="P1092" s="55" t="s">
        <v>6014</v>
      </c>
      <c r="Q1092" s="89" t="s">
        <v>2056</v>
      </c>
      <c r="R1092" s="259">
        <v>105765</v>
      </c>
      <c r="S1092" s="4"/>
      <c r="T1092" s="4"/>
      <c r="U1092" s="4"/>
      <c r="V1092" s="4" t="s">
        <v>443</v>
      </c>
      <c r="W1092" s="4" t="s">
        <v>37</v>
      </c>
      <c r="X1092" s="4" t="s">
        <v>616</v>
      </c>
      <c r="Y1092" s="235" t="s">
        <v>617</v>
      </c>
      <c r="Z1092" s="167" t="s">
        <v>364</v>
      </c>
    </row>
    <row r="1093" spans="1:38">
      <c r="A1093" s="358" t="s">
        <v>394</v>
      </c>
      <c r="B1093" s="15" t="s">
        <v>559</v>
      </c>
      <c r="C1093" s="29" t="s">
        <v>6015</v>
      </c>
      <c r="D1093" s="4"/>
      <c r="E1093" s="2">
        <v>45989</v>
      </c>
      <c r="F1093" s="60">
        <f>E1093+14</f>
        <v>46003</v>
      </c>
      <c r="G1093" s="41" t="s">
        <v>42</v>
      </c>
      <c r="H1093" s="1">
        <v>4636</v>
      </c>
      <c r="I1093" s="25" t="s">
        <v>4142</v>
      </c>
      <c r="J1093" s="1" t="s">
        <v>63</v>
      </c>
      <c r="K1093" s="1" t="s">
        <v>31</v>
      </c>
      <c r="L1093" s="1">
        <v>85215</v>
      </c>
      <c r="M1093" s="1" t="s">
        <v>32</v>
      </c>
      <c r="N1093" s="4"/>
      <c r="O1093" s="1" t="s">
        <v>6016</v>
      </c>
      <c r="P1093" s="1" t="s">
        <v>6017</v>
      </c>
      <c r="Q1093" s="87" t="s">
        <v>6018</v>
      </c>
      <c r="R1093" s="1">
        <v>105068</v>
      </c>
      <c r="S1093" s="4"/>
      <c r="T1093" s="4"/>
      <c r="U1093" s="4"/>
      <c r="V1093" s="4" t="s">
        <v>36</v>
      </c>
      <c r="W1093" s="4" t="s">
        <v>37</v>
      </c>
      <c r="X1093" s="17" t="s">
        <v>98</v>
      </c>
      <c r="Y1093" s="302" t="s">
        <v>99</v>
      </c>
      <c r="Z1093" s="168"/>
      <c r="AA1093" s="4"/>
      <c r="AB1093" s="4"/>
      <c r="AC1093" s="4"/>
      <c r="AD1093" s="4"/>
      <c r="AE1093" s="4"/>
      <c r="AF1093" s="4"/>
      <c r="AG1093" s="4"/>
      <c r="AH1093" s="4"/>
      <c r="AI1093" s="4"/>
      <c r="AJ1093" s="4"/>
      <c r="AK1093" s="4"/>
      <c r="AL1093" s="4"/>
    </row>
    <row r="1094" spans="1:38">
      <c r="A1094" s="358" t="s">
        <v>394</v>
      </c>
      <c r="B1094" s="233" t="s">
        <v>372</v>
      </c>
      <c r="C1094" s="29" t="s">
        <v>6019</v>
      </c>
      <c r="D1094" s="26">
        <v>45525</v>
      </c>
      <c r="E1094" s="2">
        <v>45987</v>
      </c>
      <c r="F1094" s="2">
        <f>E1094+14</f>
        <v>46001</v>
      </c>
      <c r="G1094" s="42" t="s">
        <v>42</v>
      </c>
      <c r="H1094" s="1">
        <v>8888</v>
      </c>
      <c r="I1094" s="1" t="s">
        <v>692</v>
      </c>
      <c r="J1094" s="1" t="s">
        <v>398</v>
      </c>
      <c r="K1094" s="1" t="s">
        <v>31</v>
      </c>
      <c r="L1094" s="1">
        <v>85255</v>
      </c>
      <c r="M1094" s="1" t="s">
        <v>32</v>
      </c>
      <c r="N1094" s="4"/>
      <c r="O1094" s="1" t="s">
        <v>6020</v>
      </c>
      <c r="P1094" s="1" t="s">
        <v>6021</v>
      </c>
      <c r="Q1094" s="129" t="s">
        <v>6022</v>
      </c>
      <c r="R1094" s="1">
        <v>102569</v>
      </c>
      <c r="S1094" s="4"/>
      <c r="T1094" s="4"/>
      <c r="U1094" s="4"/>
      <c r="V1094" s="4" t="s">
        <v>36</v>
      </c>
      <c r="W1094" s="4" t="s">
        <v>37</v>
      </c>
      <c r="X1094" s="4" t="s">
        <v>38</v>
      </c>
      <c r="Y1094" s="235" t="s">
        <v>39</v>
      </c>
      <c r="Z1094" s="4"/>
      <c r="AA1094" s="4"/>
      <c r="AB1094" s="4"/>
      <c r="AC1094" s="4"/>
      <c r="AD1094" s="4"/>
      <c r="AE1094" s="4"/>
      <c r="AF1094" s="4"/>
      <c r="AG1094" s="4"/>
      <c r="AH1094" s="4"/>
      <c r="AI1094" s="4"/>
      <c r="AJ1094" s="4"/>
      <c r="AK1094" s="4"/>
      <c r="AL1094" s="4"/>
    </row>
    <row r="1095" spans="1:38">
      <c r="A1095" s="163" t="s">
        <v>25</v>
      </c>
      <c r="B1095" s="29" t="s">
        <v>478</v>
      </c>
      <c r="C1095" s="4" t="s">
        <v>6023</v>
      </c>
      <c r="D1095" s="130">
        <v>45736</v>
      </c>
      <c r="E1095" s="2">
        <v>46006</v>
      </c>
      <c r="F1095" s="232">
        <f>E1095+14</f>
        <v>46020</v>
      </c>
      <c r="G1095" s="332" t="s">
        <v>28</v>
      </c>
      <c r="H1095" s="42">
        <v>7158</v>
      </c>
      <c r="I1095" s="179" t="s">
        <v>6024</v>
      </c>
      <c r="J1095" s="179" t="s">
        <v>63</v>
      </c>
      <c r="K1095" s="179" t="s">
        <v>31</v>
      </c>
      <c r="L1095" s="179">
        <v>85212</v>
      </c>
      <c r="M1095" s="179" t="s">
        <v>32</v>
      </c>
      <c r="N1095" s="119"/>
      <c r="O1095" s="395" t="s">
        <v>6025</v>
      </c>
      <c r="P1095" s="1" t="s">
        <v>6026</v>
      </c>
      <c r="Q1095" s="87" t="s">
        <v>6027</v>
      </c>
      <c r="R1095" s="124" t="s">
        <v>35</v>
      </c>
      <c r="S1095" s="4"/>
      <c r="T1095" s="4"/>
      <c r="U1095" s="4"/>
      <c r="V1095" s="4" t="s">
        <v>36</v>
      </c>
      <c r="W1095" s="4" t="s">
        <v>37</v>
      </c>
      <c r="X1095" s="4" t="s">
        <v>38</v>
      </c>
      <c r="Y1095" s="235" t="s">
        <v>39</v>
      </c>
      <c r="Z1095" s="4"/>
    </row>
    <row r="1096" spans="1:38">
      <c r="A1096" s="164" t="s">
        <v>812</v>
      </c>
      <c r="B1096" s="15" t="s">
        <v>226</v>
      </c>
      <c r="C1096" s="29" t="s">
        <v>6028</v>
      </c>
      <c r="D1096" s="26"/>
      <c r="E1096" s="232">
        <v>45994</v>
      </c>
      <c r="F1096" s="2">
        <f>E1096+14</f>
        <v>46008</v>
      </c>
      <c r="G1096" s="332" t="s">
        <v>28</v>
      </c>
      <c r="H1096" s="1">
        <v>555</v>
      </c>
      <c r="I1096" s="1" t="s">
        <v>893</v>
      </c>
      <c r="J1096" s="1" t="s">
        <v>434</v>
      </c>
      <c r="K1096" s="1" t="s">
        <v>31</v>
      </c>
      <c r="L1096" s="1">
        <v>85043</v>
      </c>
      <c r="M1096" s="1" t="s">
        <v>32</v>
      </c>
      <c r="N1096" s="4"/>
      <c r="O1096" s="1" t="s">
        <v>6029</v>
      </c>
      <c r="P1096" s="1" t="s">
        <v>6030</v>
      </c>
      <c r="Q1096" s="184" t="s">
        <v>6031</v>
      </c>
      <c r="R1096" s="179">
        <v>105036</v>
      </c>
      <c r="S1096" s="4"/>
      <c r="T1096" s="4"/>
      <c r="U1096" s="4"/>
      <c r="V1096" s="4" t="s">
        <v>443</v>
      </c>
      <c r="W1096" s="4" t="s">
        <v>37</v>
      </c>
      <c r="X1096" s="17" t="s">
        <v>616</v>
      </c>
      <c r="Y1096" s="302" t="s">
        <v>617</v>
      </c>
      <c r="Z1096" s="4"/>
      <c r="AA1096" s="4"/>
      <c r="AB1096" s="4"/>
      <c r="AC1096" s="4"/>
      <c r="AD1096" s="4"/>
      <c r="AE1096" s="4"/>
      <c r="AF1096" s="4"/>
      <c r="AG1096" s="4"/>
      <c r="AH1096" s="4"/>
      <c r="AI1096" s="4"/>
      <c r="AJ1096" s="4"/>
      <c r="AK1096" s="4"/>
      <c r="AL1096" s="4"/>
    </row>
    <row r="1097" spans="1:38">
      <c r="A1097" s="358" t="s">
        <v>394</v>
      </c>
      <c r="B1097" s="15" t="s">
        <v>5745</v>
      </c>
      <c r="C1097" s="4" t="s">
        <v>6032</v>
      </c>
      <c r="D1097" s="130"/>
      <c r="E1097" s="2">
        <v>46003</v>
      </c>
      <c r="F1097" s="2">
        <f>E1097+14</f>
        <v>46017</v>
      </c>
      <c r="G1097" s="332" t="s">
        <v>42</v>
      </c>
      <c r="H1097" s="41">
        <v>2510</v>
      </c>
      <c r="I1097" s="1" t="s">
        <v>5994</v>
      </c>
      <c r="J1097" s="1" t="s">
        <v>63</v>
      </c>
      <c r="K1097" s="1" t="s">
        <v>31</v>
      </c>
      <c r="L1097" s="1"/>
      <c r="M1097" s="1" t="s">
        <v>32</v>
      </c>
      <c r="N1097" s="4"/>
      <c r="O1097" s="1" t="s">
        <v>6033</v>
      </c>
      <c r="P1097" s="1" t="s">
        <v>6034</v>
      </c>
      <c r="Q1097" s="87" t="s">
        <v>6035</v>
      </c>
      <c r="R1097" s="379">
        <v>111548</v>
      </c>
      <c r="S1097" s="4"/>
      <c r="T1097" s="4"/>
      <c r="U1097" s="4"/>
      <c r="V1097" s="4" t="s">
        <v>36</v>
      </c>
      <c r="W1097" s="4" t="s">
        <v>37</v>
      </c>
      <c r="X1097" s="4" t="s">
        <v>98</v>
      </c>
      <c r="Y1097" s="235" t="s">
        <v>99</v>
      </c>
      <c r="Z1097" s="4"/>
    </row>
    <row r="1098" spans="1:38">
      <c r="A1098" s="163" t="s">
        <v>25</v>
      </c>
      <c r="B1098" s="15" t="s">
        <v>4733</v>
      </c>
      <c r="C1098" s="4" t="s">
        <v>6036</v>
      </c>
      <c r="D1098" s="130"/>
      <c r="E1098" s="2">
        <v>45999</v>
      </c>
      <c r="F1098" s="2">
        <f>E1098+14</f>
        <v>46013</v>
      </c>
      <c r="G1098" s="331" t="s">
        <v>28</v>
      </c>
      <c r="H1098" s="41">
        <v>1350</v>
      </c>
      <c r="I1098" s="1" t="s">
        <v>6037</v>
      </c>
      <c r="J1098" s="1" t="s">
        <v>69</v>
      </c>
      <c r="K1098" s="1" t="s">
        <v>31</v>
      </c>
      <c r="L1098" s="1"/>
      <c r="M1098" s="1" t="s">
        <v>32</v>
      </c>
      <c r="N1098" s="4"/>
      <c r="O1098" s="1" t="s">
        <v>6038</v>
      </c>
      <c r="P1098" s="1" t="s">
        <v>6039</v>
      </c>
      <c r="Q1098" s="87" t="s">
        <v>6040</v>
      </c>
      <c r="R1098" s="31" t="s">
        <v>156</v>
      </c>
      <c r="S1098" s="4"/>
      <c r="T1098" s="4"/>
      <c r="U1098" s="4"/>
      <c r="V1098" s="4" t="s">
        <v>36</v>
      </c>
      <c r="W1098" s="4" t="s">
        <v>37</v>
      </c>
      <c r="X1098" s="1" t="s">
        <v>59</v>
      </c>
      <c r="Y1098" s="167" t="s">
        <v>39</v>
      </c>
    </row>
  </sheetData>
  <sortState xmlns:xlrd2="http://schemas.microsoft.com/office/spreadsheetml/2017/richdata2" ref="A2:AL776">
    <sortCondition ref="B1:B470"/>
  </sortState>
  <mergeCells count="1">
    <mergeCell ref="D494:F494"/>
  </mergeCells>
  <dataValidations count="5">
    <dataValidation type="whole" operator="greaterThanOrEqual" allowBlank="1" showInputMessage="1" showErrorMessage="1" promptTitle="Visit Time" prompt="Visit time must be a whole number greater or equal to 0" sqref="U340 S5:S15 U356:U357 S17 Q18:R18 S19 S21:S28 S30:S42 S47:S49 S51:S57 S59:S69 S71 S73:S75 S78:S80 S82:S89 S94:S96 S99 S101 S104 S107:S109 S111 S113:S117 S120 S122:S125 S127 S130:S131 S134:S142 S145:S148 S150:S153 S155:S159 S168:S173 S175 S177 S180 S182:S183 S186:S188 S190:S194 S196:S197 S164:S166 S162 S203 S206:S208 S212 S215:S216 S219 S223:S226 S231:S233 S236 S238:S239 S241:S242 S244 S246:S250 T260:T264 T267:T269 T279 T286 T288 T292:T294 T312 U314:U315 U326 U335 U338 R16 U372 U393 U397 U414 U417 U435 U437 U440 U456:U457 U460 U464 U466 U481 U485 U490 U494 U530 U536 U543 U594 U600 U610 U631 U652 U656 U804 U827 U837 U841 U953 U961 U975 U984 U1060" xr:uid="{00000000-0002-0000-0400-000000000000}">
      <formula1>0</formula1>
    </dataValidation>
    <dataValidation type="decimal" allowBlank="1" showInputMessage="1" showErrorMessage="1" promptTitle="Longitude" prompt="Longitude must be a decimal between -180 and 180" sqref="T314 Q188:R188 S267 S269 R15 S286 S292:S294 S312 Q2:R2 Q4:R4 R99 Q55:R55 T335 Q16 T357 T435 T437 T464 T490 T494 T536 T600 T610 T652 T656 T961" xr:uid="{00000000-0002-0000-0400-000001000000}">
      <formula1>-180</formula1>
      <formula2>180</formula2>
    </dataValidation>
    <dataValidation type="decimal" allowBlank="1" showInputMessage="1" showErrorMessage="1" promptTitle="Latitude" prompt="Must be a decimal between -90 and 90" sqref="Q15 Q3:R3 Q7:R14 Q17:R17 P16 R84:R89 Q73 Q22:R25 Q38:R42 Q49:R49 Q57:R57 Q89 Q59:R61 R73:R74 Q69:R69 Q94:R96 Q99 Q1:R1 R71 S314 Q109:R109 Q113:R113 Q115:R117 Q120:R120 Q5:R5 Q131:R131 Q138:R138 Q142:R142 Q145:R146 Q30:R35 Q155:R156 Q153:R153 Q166:R166 Q173:R173 Q175:R175 Q177:R177 Q183:R183 Q186:R186 Q151:R151 Q191:R191 Q47:R47 Q51:R54 Q203:R203 R101 Q208:R208 Q236:R236 Q239:R239 S335 P18 S357 S435 S437 S464 S490 S494 S536 S600 S610 S652 S656 S961" xr:uid="{00000000-0002-0000-0400-000002000000}">
      <formula1>-90</formula1>
      <formula2>90</formula2>
    </dataValidation>
    <dataValidation allowBlank="1" showInputMessage="1" showErrorMessage="1" promptTitle="Color" prompt="Color must be a decimal between 0 and 1" sqref="M258:M350 P11:P15 P25 M1:M4 O15:O16 P30:P42 M21:M23 P47:P49 O18 N23:N29 P51:P54 O55:P55 N52:N64 P60:P68 M40:M42 N42:N48 R75 O113 R82:R83 O73:P73 P114:P117 P127 O2:P4 P130:P131 P122:R125 P145:P148 P157:P159 P153 P162:R162 O104 P56:P57 P168:R169 P177 P71:Q71 P203 P206:P208 P134:P141 N68:N72 P190:P192 P164:P166 P82:Q87 O175:P175 P170:P173 P219:P220 O188:P188 P27:R28 P312:R312 P223:P226 P216 P268:R269 P260:Q260 P238:P239 P111:R111 P241:P242 O236:P236 P107:R107 O136:O138 P246:P250 P109 O244 O259 P80:R80 R244 P74:Q75 O215:P215 P261:R264 P150:R150 R246:R250 P180 O314 P182:P183 O286:R286 O182 Q288:R288 O165:O166 P326 R225:R226 O206 Q190 Q157 P356:R356 N4:N10 P6:R6 P94:P96 P78:R78 O57 O99:P99 N14:N20 Q130:R130 Q134:R135 Q139:R139 Q148:R148 Q159:R159 Q182:R182 P186:P187 P197:R197 P21:P23 N33:N39 Q21:R21 Q36:R37 Q48:R48 Q56:R56 Q62:R68 P101:Q101 Q206:R207 O239 P231:P233 P315 R231:R232 P7:P9 Q314:R315 P335 R335 P338:R338 O340:R340 O288 P279:R279 P194:R194 P293:R294 L18 P357 R357 N357 N364 N372 P372:R372 N375:N376 P393:R393 N393 P397:R397 N397 N400 N405 N411 N414 P414:R414 N417 P417:R417 N424 N435 P435:R435 N437 P437:R437 N440 P440 R440 N443 N446 N453 P456:R457 N456:N460 P460:R460 N464 P464:R464 R466 P466 N466 N481 P481:R481 N485 P485:R485 P490:R490 N490 N492 N494 N503 N512 N514 P530:R530 N530 N536 P536:R536 N543:N544 P543:R543 N553:N554 N567 N574 N594 P594:R594 N600 N610 N614 N631 P631:R631 N652 P656:R656 N656 N695 P804:R804 N804 P827:R827 N827 N837 P837:R837 P841:R841 N841 N949 P953:Q953 N953 N961 N975 P975:R975 P984:R984 N984 P1060:R1060 N1060" xr:uid="{00000000-0002-0000-0400-000003000000}"/>
    <dataValidation type="list" allowBlank="1" showInputMessage="1" showErrorMessage="1" promptTitle="Country Code" prompt="Country Code must be ISO-Alpha 2 letter country code" sqref="M5:M17 M19 L1:L4 L27:L28 L30:L31 M38 M43:M55 L214:M214 M237:M257 L236:M236 L120 L94:L95 M57 L258 L286 M59:M71 M73:M213 L175 M215:M235 M356:M357 M24:M36 K18 M364 M372 M375:M376 M397 M400 M405 M411 M424 M435 M437 M440 M443 M446 M453 M456:M459 M464 M490 M492 M494 M503 M512 M514 M536 M544 M553:M554 M567 M574 M600 M610 M614 M652 M656 M695" xr:uid="{00000000-0002-0000-0400-000004000000}">
      <formula1>#REF!</formula1>
    </dataValidation>
  </dataValidations>
  <hyperlinks>
    <hyperlink ref="Q215" r:id="rId1" xr:uid="{00000000-0004-0000-0000-000052000000}"/>
    <hyperlink ref="Q391" r:id="rId2" xr:uid="{9936615D-3A07-4BB0-9CAA-B2C6E47B77C4}"/>
    <hyperlink ref="Q323" r:id="rId3" xr:uid="{64E0D97D-07B8-4DF4-B9D0-217A81850505}"/>
    <hyperlink ref="Q102" r:id="rId4" xr:uid="{00000000-0004-0000-0000-000032000000}"/>
    <hyperlink ref="Q50" r:id="rId5" xr:uid="{00000000-0004-0000-0000-000024000000}"/>
    <hyperlink ref="Q191" r:id="rId6" xr:uid="{323F5F4E-BF4A-4AA9-98CC-A63DD83A2D87}"/>
    <hyperlink ref="Q169" r:id="rId7" xr:uid="{00000000-0004-0000-0000-00005C000000}"/>
    <hyperlink ref="Q23" r:id="rId8" xr:uid="{00000000-0004-0000-0000-00004C000000}"/>
    <hyperlink ref="Q317" r:id="rId9" display="mailto:alanf@omadaconstruction.com" xr:uid="{00000000-0004-0000-0000-000002000000}"/>
    <hyperlink ref="Q151" r:id="rId10" xr:uid="{8F7888DC-6CDF-4012-81A5-2845C19353B9}"/>
    <hyperlink ref="Q20" r:id="rId11" xr:uid="{5B44FF9B-A5BF-4F96-A196-713D99128ABF}"/>
    <hyperlink ref="Q41" r:id="rId12" display="mailto:jhernandez@becknellindustrial.com" xr:uid="{00000000-0004-0000-0000-000016000000}"/>
    <hyperlink ref="Q406" r:id="rId13" xr:uid="{60329F43-8F85-456E-A3BF-C58B044FCB35}"/>
    <hyperlink ref="Q298" r:id="rId14" xr:uid="{FEA1D8E2-1982-4C7E-9760-9AACAFA1C27B}"/>
    <hyperlink ref="Q457" r:id="rId15" xr:uid="{A9154ED3-3046-4932-A835-144C31930051}"/>
    <hyperlink ref="Q411" r:id="rId16" xr:uid="{92B610B9-6AD2-4A98-8A2F-409C1294AF5C}"/>
    <hyperlink ref="Q416" r:id="rId17" xr:uid="{A825A704-029D-4506-ABC8-67D9F358FBBE}"/>
    <hyperlink ref="Q417" r:id="rId18" xr:uid="{D42E8FCF-B557-4978-996E-BB47C036B19F}"/>
    <hyperlink ref="Q325" r:id="rId19" xr:uid="{9C71658E-0E72-4A7C-89E5-2961EA54DA4D}"/>
    <hyperlink ref="Q296" r:id="rId20" xr:uid="{D92A2A33-3CA0-4355-84C8-B22F613AF520}"/>
    <hyperlink ref="Q235" r:id="rId21" xr:uid="{AC97EDFE-A4DB-41CC-B4C6-96BF41F2760B}"/>
    <hyperlink ref="Q214" r:id="rId22" xr:uid="{4C037152-805E-4166-A6C3-5B26880B5238}"/>
    <hyperlink ref="Q201" r:id="rId23" xr:uid="{9EC20F0E-2979-4FF7-B6CB-C6341F059326}"/>
    <hyperlink ref="Q130" r:id="rId24" xr:uid="{4815AE62-3059-4351-9DA2-2D519AA3D443}"/>
    <hyperlink ref="Q131" r:id="rId25" xr:uid="{F31030D1-2EEB-48D0-AC5B-3B8B60A0F7B0}"/>
    <hyperlink ref="Q118" r:id="rId26" xr:uid="{A7AAB0BC-EA21-4B6B-A203-640609E7A0CE}"/>
    <hyperlink ref="Q19" r:id="rId27" xr:uid="{B930DB7D-17B4-4105-B284-FF68065C765F}"/>
    <hyperlink ref="Q35" r:id="rId28" display="mailto:spaul@armays.com" xr:uid="{46CCAE01-5FFE-47E0-A16A-9A0079912BB2}"/>
    <hyperlink ref="Q152" r:id="rId29" xr:uid="{00000000-0004-0000-0000-00000F000000}"/>
    <hyperlink ref="Q316" r:id="rId30" display="mailto:alanf@omadaconstruction.com" xr:uid="{00000000-0004-0000-0000-000003000000}"/>
    <hyperlink ref="Q49" r:id="rId31" xr:uid="{3474F259-BF49-4C78-ACE8-B925DEE9492B}"/>
    <hyperlink ref="Q178" r:id="rId32" xr:uid="{00000000-0004-0000-0000-000057000000}"/>
    <hyperlink ref="Q63" r:id="rId33" xr:uid="{35B21D45-AAF7-4B73-B4FF-1F8419187A99}"/>
    <hyperlink ref="Q299" r:id="rId34" xr:uid="{00000000-0004-0000-0000-000008000000}"/>
    <hyperlink ref="Q101" r:id="rId35" xr:uid="{0626A6A3-B2C5-49F6-B098-50BCA7BA483B}"/>
    <hyperlink ref="Q225" r:id="rId36" xr:uid="{00000000-0004-0000-0000-000036000000}"/>
    <hyperlink ref="Q459" r:id="rId37" xr:uid="{00000000-0004-0000-0000-000018000000}"/>
    <hyperlink ref="Q120" r:id="rId38" xr:uid="{00000000-0004-0000-0000-00001D000000}"/>
    <hyperlink ref="Q282" r:id="rId39" xr:uid="{00000000-0004-0000-0000-000019000000}"/>
    <hyperlink ref="Q141" r:id="rId40" xr:uid="{61C7C84B-16E8-44A0-B6E2-F3106248A13A}"/>
    <hyperlink ref="Q415" r:id="rId41" xr:uid="{00000000-0004-0000-0000-000044000000}"/>
    <hyperlink ref="Q202" r:id="rId42" display="mailto:adellorto@haydonbc.com" xr:uid="{00000000-0004-0000-0000-000013000000}"/>
    <hyperlink ref="Q24" r:id="rId43" display="mailto:sroberts@alstonco.com" xr:uid="{00000000-0004-0000-0000-000004000000}"/>
    <hyperlink ref="Q461" r:id="rId44" xr:uid="{00000000-0004-0000-0000-000058000000}"/>
    <hyperlink ref="Q95" r:id="rId45" xr:uid="{F2CE4A38-F021-4A55-8E15-071912D5C500}"/>
    <hyperlink ref="Q463" r:id="rId46" display="DHENSON@AWOLFF.COM" xr:uid="{3B4A67B9-E114-4258-9914-DB7879538D24}"/>
    <hyperlink ref="Q337" r:id="rId47" xr:uid="{00000000-0004-0000-0000-000006000000}"/>
    <hyperlink ref="Q133" r:id="rId48" xr:uid="{46D2DEA4-0FD0-4E1D-B0F8-34181FDC5DBF}"/>
    <hyperlink ref="Q356" r:id="rId49" xr:uid="{2A9861B7-E6E5-472C-B717-DEC1322A7061}"/>
    <hyperlink ref="Q393" r:id="rId50" xr:uid="{D8730BD3-4893-4A1C-A002-2621758F6707}"/>
    <hyperlink ref="Q274" r:id="rId51" xr:uid="{00000000-0004-0000-0000-000066000000}"/>
    <hyperlink ref="Q285" r:id="rId52" xr:uid="{B51790DA-9033-4E58-ABD2-223DC24009C1}"/>
    <hyperlink ref="Q132" r:id="rId53" xr:uid="{CB698AFC-2B43-4F2C-B927-4FD1783BCCE1}"/>
    <hyperlink ref="Q375" r:id="rId54" xr:uid="{A442CA2C-FB50-4BC1-A86F-61CFEEC9BE8F}"/>
    <hyperlink ref="Q3" r:id="rId55" xr:uid="{4636568D-8B4D-48FC-92EC-302EEA0E27CA}"/>
    <hyperlink ref="Q279" r:id="rId56" xr:uid="{F0549A53-40A0-4A7A-843D-F177C0E2A592}"/>
    <hyperlink ref="Q136" r:id="rId57" xr:uid="{00000000-0004-0000-0000-00005B000000}"/>
    <hyperlink ref="Q199" r:id="rId58" xr:uid="{355A7704-CC2B-4B31-86BE-3FCFB8B39796}"/>
    <hyperlink ref="Q197" r:id="rId59" xr:uid="{BD476E26-930E-4010-ADB1-F23B0C1E9BC9}"/>
    <hyperlink ref="Q220" r:id="rId60" xr:uid="{00000000-0004-0000-0000-000056000000}"/>
    <hyperlink ref="Q348" r:id="rId61" xr:uid="{00000000-0004-0000-0000-00000E000000}"/>
    <hyperlink ref="Q66" r:id="rId62" xr:uid="{00000000-0004-0000-0000-00001F000000}"/>
    <hyperlink ref="Q69" r:id="rId63" xr:uid="{CFA09E67-09CB-4427-A61B-04477F455846}"/>
    <hyperlink ref="Q315" r:id="rId64" xr:uid="{5C195A72-B382-49B5-9AD3-C8DBC4DD996E}"/>
    <hyperlink ref="Q466" r:id="rId65" xr:uid="{00000000-0004-0000-0000-000046000000}"/>
    <hyperlink ref="Q38" r:id="rId66" display="mailto:dgulotta@barkerone.com" xr:uid="{FE533E8F-C699-409A-8E35-8729CFDC3AE6}"/>
    <hyperlink ref="Q167" r:id="rId67" xr:uid="{37A3CEAE-9DA9-4F5D-864D-3873899CEA83}"/>
    <hyperlink ref="Q62" r:id="rId68" xr:uid="{78CE40B9-513B-4C5B-A682-345D684C44E2}"/>
    <hyperlink ref="Q257" r:id="rId69" xr:uid="{4725226F-E2A3-4B16-B64B-B0A3D820FA95}"/>
    <hyperlink ref="Q277" r:id="rId70" xr:uid="{CD46AA33-72D7-4B5C-9A34-A015B2019AC4}"/>
    <hyperlink ref="Q4" r:id="rId71" xr:uid="{B24F6E54-CFB4-4D5A-B063-8E29C74149CD}"/>
    <hyperlink ref="Q288" r:id="rId72" display="mailto:scott@treger.com" xr:uid="{00000000-0004-0000-0000-000067000000}"/>
    <hyperlink ref="Q410" r:id="rId73" xr:uid="{F87631D7-372E-44AD-B334-82611232F272}"/>
    <hyperlink ref="Q143" r:id="rId74" xr:uid="{5F197879-7F8E-4FC5-A22D-A12F55AEAA6B}"/>
    <hyperlink ref="Q342" r:id="rId75" xr:uid="{76DC8343-A300-4B88-929E-924716D6C534}"/>
    <hyperlink ref="Q329" r:id="rId76" xr:uid="{40CA77A4-F3E2-45EB-9CBC-71707FE14D3A}"/>
    <hyperlink ref="Q301" r:id="rId77" xr:uid="{FC9D1A9E-E420-4180-AB20-7CDB13AD4EE9}"/>
    <hyperlink ref="Q404" r:id="rId78" xr:uid="{00000000-0004-0000-0000-000000000000}"/>
    <hyperlink ref="Q153" r:id="rId79" xr:uid="{AC870AA4-A890-4A3E-909D-4248C9A0277E}"/>
    <hyperlink ref="Q310" r:id="rId80" xr:uid="{20D70A8D-AC3A-4A93-A3BA-0D6548789560}"/>
    <hyperlink ref="Q439" r:id="rId81" xr:uid="{6EB849C4-9943-46C8-811D-369C2024BD80}"/>
    <hyperlink ref="Q302" r:id="rId82" xr:uid="{00000000-0004-0000-0000-000033000000}"/>
    <hyperlink ref="Q238" r:id="rId83" xr:uid="{226BEB44-7790-4D99-8D27-125B7163DC99}"/>
    <hyperlink ref="Q154" r:id="rId84" xr:uid="{E1DAFDA1-95DE-4231-81BA-E6874A41B917}"/>
    <hyperlink ref="Q97" r:id="rId85" xr:uid="{8F66743E-B96C-4F60-AC54-EDC14584DB4F}"/>
    <hyperlink ref="Q462" r:id="rId86" xr:uid="{D14B256E-C3E1-4403-BF7E-8F9B791C0EC6}"/>
    <hyperlink ref="Q425" r:id="rId87" xr:uid="{00000000-0004-0000-0000-00003B000000}"/>
    <hyperlink ref="Q144" r:id="rId88" xr:uid="{9D54879C-B9F2-4EEC-AAA1-049A79F4D14A}"/>
    <hyperlink ref="Q142" r:id="rId89" xr:uid="{9A3E20D5-73BD-4348-A452-52238E1D7CB8}"/>
    <hyperlink ref="Q145" r:id="rId90" xr:uid="{55981F03-1747-462E-B640-7E4138096805}"/>
    <hyperlink ref="Q146" r:id="rId91" xr:uid="{00000000-0004-0000-0000-000021000000}"/>
    <hyperlink ref="Q405" r:id="rId92" xr:uid="{4A774CD0-C60C-4EF2-8BE5-A6F6CCC9DD3D}"/>
    <hyperlink ref="Q419" r:id="rId93" xr:uid="{1C9A0708-967B-4163-96C5-B7C9841DA256}"/>
    <hyperlink ref="Q98" r:id="rId94" xr:uid="{BFA92E2F-B216-4DAD-8F66-575BF7753E15}"/>
    <hyperlink ref="Q376" r:id="rId95" display="mailto:amontano@rytanconstruction.com" xr:uid="{661A515B-0640-406F-BC71-F57E978E33F4}"/>
    <hyperlink ref="Q165" r:id="rId96" xr:uid="{3A0B87D7-82DF-414E-BBF7-3DFAE303724C}"/>
    <hyperlink ref="Q175" r:id="rId97" xr:uid="{00CFF2B1-E1E1-4695-8E6C-628B4E094919}"/>
    <hyperlink ref="Q179" r:id="rId98" xr:uid="{DA834537-53D5-401D-8D08-C6089C50EEE7}"/>
    <hyperlink ref="Q471" r:id="rId99" xr:uid="{80B57889-E26E-4396-8444-48E3F45C51C8}"/>
    <hyperlink ref="Q472" r:id="rId100" xr:uid="{631876FD-6AB6-42FB-B1E6-85B8D8F5A170}"/>
    <hyperlink ref="Q474" r:id="rId101" xr:uid="{73D1DAED-3BC0-4246-9E55-575960AB88AE}"/>
    <hyperlink ref="Q476" r:id="rId102" xr:uid="{6657FA68-6F66-4727-93D3-D149937CB318}"/>
    <hyperlink ref="Q477" r:id="rId103" xr:uid="{AFC14E46-9628-4408-BC0B-98FCE7391D38}"/>
    <hyperlink ref="Q478" r:id="rId104" xr:uid="{6A610C82-16DE-4F1B-89EE-453881B9B2E3}"/>
    <hyperlink ref="Q479" r:id="rId105" xr:uid="{8DC334D6-5057-4001-BFA2-68E83177CF2E}"/>
    <hyperlink ref="Q480" r:id="rId106" xr:uid="{9BAFABD6-96A5-4202-B6C7-1FE6FB2A7F18}"/>
    <hyperlink ref="Q481" r:id="rId107" xr:uid="{00000000-0004-0000-0000-000050000000}"/>
    <hyperlink ref="Q482" r:id="rId108" xr:uid="{00000000-0004-0000-0000-000009000000}"/>
    <hyperlink ref="Q483" r:id="rId109" xr:uid="{3D7E2AA4-61DC-4F3F-8C0B-316BBC55BFBD}"/>
    <hyperlink ref="Q485" r:id="rId110" xr:uid="{0F803791-4546-4AD4-BCE3-0DE8E2B2071A}"/>
    <hyperlink ref="Q487" r:id="rId111" xr:uid="{749A5E18-0DB1-46B8-AF64-62589E3FC938}"/>
    <hyperlink ref="Q488" r:id="rId112" xr:uid="{FB04B9D6-ABCD-4027-8D88-F19B5951C0DD}"/>
    <hyperlink ref="Q489" r:id="rId113" xr:uid="{03383EE3-AF80-49D4-8721-F54BEC5B6FBF}"/>
    <hyperlink ref="Q491" r:id="rId114" xr:uid="{B24EE494-3A82-44FB-94E0-3C765C4D87FE}"/>
    <hyperlink ref="Q492" r:id="rId115" xr:uid="{BE0CEDB8-6B38-47C3-9D7F-E781E7E867F8}"/>
    <hyperlink ref="Q493" r:id="rId116" xr:uid="{8EDDEE83-9372-4243-B503-8A3C5B3A5EFC}"/>
    <hyperlink ref="Q495" r:id="rId117" xr:uid="{FD2E8CDD-29F7-4491-BBE6-009096A00F94}"/>
    <hyperlink ref="Y495" r:id="rId118" display="Logan@desertservices.net" xr:uid="{02765A14-2D73-4851-B4F7-BA6170489900}"/>
    <hyperlink ref="Q496" r:id="rId119" xr:uid="{F3DD8D68-640D-4B12-A64E-FB158187CAC1}"/>
    <hyperlink ref="Y496" r:id="rId120" display="Logan@desertservices.net" xr:uid="{B18AB4A4-FEF1-44A6-91D2-21CCB8C0CA06}"/>
    <hyperlink ref="Q497" r:id="rId121" xr:uid="{F91B26CD-B80F-4DF5-8074-A930147C42C4}"/>
    <hyperlink ref="Y497" r:id="rId122" display="Logan@desertservices.net" xr:uid="{07FB9BE2-80DA-469A-87C1-DFC719DD52A9}"/>
    <hyperlink ref="Q498" r:id="rId123" xr:uid="{6BDA2EF1-72FC-4298-A331-AAF9EF9A1EE0}"/>
    <hyperlink ref="Y498" r:id="rId124" xr:uid="{F8083094-4442-4654-BE57-3ED00F74F8CC}"/>
    <hyperlink ref="Q500" r:id="rId125" xr:uid="{70C88610-4C74-49E0-A146-9D5A8D7C8F80}"/>
    <hyperlink ref="Q501" r:id="rId126" display="audie@cambridgecoinc.com" xr:uid="{FFA8495A-BDCA-4B0D-80B1-BB177DDDF522}"/>
    <hyperlink ref="Q502" r:id="rId127" xr:uid="{5C79738B-4D7B-4CEE-8DB7-21EC34FA37BB}"/>
    <hyperlink ref="Q504" r:id="rId128" xr:uid="{28954184-6CFB-44B9-838A-2A3165998A34}"/>
    <hyperlink ref="Q505" r:id="rId129" xr:uid="{44444B3D-62C0-4ABA-A4D3-0A7FA20BAC4B}"/>
    <hyperlink ref="Y505" r:id="rId130" display="Logan@desertservices.net" xr:uid="{1DA8BC94-D970-4F58-8746-DC1CF178B1BB}"/>
    <hyperlink ref="Q506" r:id="rId131" xr:uid="{55DB44AA-91B4-41B2-BC5F-512CC7848A6B}"/>
    <hyperlink ref="Y506" r:id="rId132" display="Logan@desertservices.net" xr:uid="{B8DFAFD4-78BB-4D06-898B-53F4C773E717}"/>
    <hyperlink ref="Q507" r:id="rId133" xr:uid="{E08B78A3-AFCB-4B87-817B-4E9A42A1DBB2}"/>
    <hyperlink ref="Q508" r:id="rId134" xr:uid="{F8EDF12B-6BA7-466B-A3C0-36836DFA4E0B}"/>
    <hyperlink ref="Y508" r:id="rId135" display="Logan@desertservices.net" xr:uid="{91787836-2A70-40C3-852D-E9EE4FFDD182}"/>
    <hyperlink ref="Q509" r:id="rId136" xr:uid="{07C67017-D1BB-4E74-9014-39545B4DFB15}"/>
    <hyperlink ref="Y509" r:id="rId137" xr:uid="{0F3549AB-D26A-46EE-9E63-26EAED3BE159}"/>
    <hyperlink ref="Q510" r:id="rId138" xr:uid="{627120EF-3325-4291-8528-D1E418F0F23A}"/>
    <hyperlink ref="Y510" r:id="rId139" display="Logan@desertservices.net" xr:uid="{A58DDF17-B31E-4493-A6B0-47DD04211992}"/>
    <hyperlink ref="Q511" r:id="rId140" xr:uid="{4C9E8B96-E1BD-4240-9188-3A8E1FF13C57}"/>
    <hyperlink ref="Q512" r:id="rId141" xr:uid="{0BF1676A-E456-4BE6-87CB-6DBB85835AA6}"/>
    <hyperlink ref="Q514" r:id="rId142" xr:uid="{54007F2E-F771-421A-8A4F-332029DB9EE0}"/>
    <hyperlink ref="Q515" r:id="rId143" display="mailto:gchavez@chasse.us" xr:uid="{5D28C385-5613-4B31-9A6A-C90034D83B01}"/>
    <hyperlink ref="Q516" r:id="rId144" xr:uid="{7C20AC5C-7FF2-4D3D-896D-93E422CEB2E4}"/>
    <hyperlink ref="Q517" r:id="rId145" xr:uid="{4FDB97B6-E53A-4129-AF34-FA4B748A0B0A}"/>
    <hyperlink ref="Y517" r:id="rId146" display="Logan@desertservices.net" xr:uid="{92911940-CE0F-4F67-BFF4-2AC6DC2FB460}"/>
    <hyperlink ref="Q518" r:id="rId147" display="mailto:gchavez@chasse.us" xr:uid="{F7B9AE8B-9A41-43D9-83C4-CAE57EEF3F12}"/>
    <hyperlink ref="Q519" r:id="rId148" xr:uid="{B25F04AB-A000-46AA-97BA-25B3D1EA18D8}"/>
    <hyperlink ref="Q520" r:id="rId149" display="mailto:cgammon@embreegroup.com" xr:uid="{67F471D3-0186-4003-8ADE-991E7295D4B4}"/>
    <hyperlink ref="Y521" r:id="rId150" display="Logan@desertservices.net" xr:uid="{F3F89819-1BD3-450F-9B34-DB29EE19747A}"/>
    <hyperlink ref="Q521" r:id="rId151" xr:uid="{4FE74655-4391-4A66-AC7E-9C170E37E761}"/>
    <hyperlink ref="Q522" r:id="rId152" xr:uid="{45B0926E-23EF-498A-98E2-715BF9F2769F}"/>
    <hyperlink ref="Y522" r:id="rId153" display="Logan@desertservices.net" xr:uid="{EB628B03-2D98-41E8-B32D-849EAA3F73EA}"/>
    <hyperlink ref="Q523" r:id="rId154" xr:uid="{CCB3C4BD-E481-46F5-B605-3A1C942E079D}"/>
    <hyperlink ref="Y523" r:id="rId155" display="Logan@desertservices.net" xr:uid="{DD52F367-7EFA-48EB-8E37-5FE1A8266834}"/>
    <hyperlink ref="Q524" r:id="rId156" display="KBENDURE@FCLBUILDERS.COM" xr:uid="{4EC7A1B2-68FE-47BC-8A2F-9B6645E55056}"/>
    <hyperlink ref="Q525" r:id="rId157" xr:uid="{5358D8AE-B299-4C0C-85EC-E282F4825CB8}"/>
    <hyperlink ref="Y525" r:id="rId158" display="Logan@desertservices.net" xr:uid="{2563E109-786B-49E9-B1DF-7CE04FA7480F}"/>
    <hyperlink ref="Q526" r:id="rId159" xr:uid="{919261C6-B4BC-4BFC-812D-1CB09AEA010E}"/>
    <hyperlink ref="Y526" r:id="rId160" display="Logan@desertservices.net" xr:uid="{2E419EF0-200D-4922-A880-052A9A9CFB70}"/>
    <hyperlink ref="Q527" r:id="rId161" xr:uid="{229C5C54-5044-4DFE-B29A-466A1187B099}"/>
    <hyperlink ref="Y527" r:id="rId162" display="Logan@desertservices.net" xr:uid="{A051EA67-F90A-4D45-BFEF-792A9DE4BB15}"/>
    <hyperlink ref="Q528" r:id="rId163" xr:uid="{96F97983-4A4F-41B8-B305-69CEF65C719F}"/>
    <hyperlink ref="Q530" r:id="rId164" xr:uid="{35439CB6-C966-4978-93E4-A4432A360FDA}"/>
    <hyperlink ref="Y530" r:id="rId165" xr:uid="{170F89B3-4E97-42BE-BB76-5750BD68667A}"/>
    <hyperlink ref="Q531" r:id="rId166" xr:uid="{2C53B6F5-579E-457F-AB4D-14E5C3521B00}"/>
    <hyperlink ref="Q532" r:id="rId167" xr:uid="{805EB469-1FCA-4F2A-B4A0-CC673D71FE9F}"/>
    <hyperlink ref="Y532" r:id="rId168" display="Logan@desertservices.net" xr:uid="{6681A16F-248B-487B-823A-AEA631E39A6A}"/>
    <hyperlink ref="Y533" r:id="rId169" display="Logan@desertservices.net" xr:uid="{B64FB994-CE01-4B85-BB31-39ACA518E3C8}"/>
    <hyperlink ref="Q533" r:id="rId170" display="mailto:TJones@DerekBuilders.com" xr:uid="{A8361CB6-5712-4C4A-8C10-84344164ABCC}"/>
    <hyperlink ref="Q534" r:id="rId171" xr:uid="{CE4B8F50-23BD-413E-9173-EAAA383F190B}"/>
    <hyperlink ref="Y534" r:id="rId172" display="Logan@desertservices.net" xr:uid="{2CE4F533-3AFA-498D-A7D9-B2C8A0060341}"/>
    <hyperlink ref="Q535" r:id="rId173" xr:uid="{463BC3B5-A01A-47EF-8C82-F208ACD6DC48}"/>
    <hyperlink ref="Y535" r:id="rId174" display="Logan@desertservices.net" xr:uid="{3DF9CE37-2F2D-4BC8-AB8A-BE8014FF3D13}"/>
    <hyperlink ref="Q536" r:id="rId175" xr:uid="{C5929E0A-E427-4DB9-B2B0-6C2362D154AE}"/>
    <hyperlink ref="Q537" r:id="rId176" xr:uid="{E70EAD70-A621-4B6A-BF13-C79F6E9FDEC5}"/>
    <hyperlink ref="Y537" r:id="rId177" display="Logan@desertservices.net" xr:uid="{17A8D8B3-9094-40ED-A416-6F7560D0456B}"/>
    <hyperlink ref="Q538" r:id="rId178" display="mailto:dhugeback@ashtoncoinc.com" xr:uid="{9A09D02B-498A-4714-9CAC-EBB08FDD9378}"/>
    <hyperlink ref="Q539" r:id="rId179" xr:uid="{84DB1A60-C03A-4151-A78A-6405893B27BA}"/>
    <hyperlink ref="Q540" r:id="rId180" xr:uid="{B730963F-3806-4320-A14F-C56C73A030C0}"/>
    <hyperlink ref="Q542" r:id="rId181" xr:uid="{748E4125-4660-4B6E-910D-9FC61F7CDB28}"/>
    <hyperlink ref="Y542" r:id="rId182" display="Logan@desertservices.net" xr:uid="{CC0A815C-7936-49C0-8824-EBD7242A1CB9}"/>
    <hyperlink ref="Q543" r:id="rId183" display="larrymitchell@coreconstruction.com;nasebrahim@coreconstruction.com;remanalmusawi@coreconstruction.com;jacobblum@coreconstruction.com;lanetodoroff@coreconstruction.com" xr:uid="{D113C802-9AFD-4517-B8C6-E10167ADE1E0}"/>
    <hyperlink ref="Q545" r:id="rId184" xr:uid="{4FABA7C5-1868-4FDA-8149-E437E5BABF95}"/>
    <hyperlink ref="Y545" r:id="rId185" display="Logan@desertservices.net" xr:uid="{61616566-0BD9-461C-890E-B45D89872672}"/>
    <hyperlink ref="Q546" r:id="rId186" xr:uid="{4BB5EA7C-847B-41C0-A03B-8B275A80A0E4}"/>
    <hyperlink ref="Y546" r:id="rId187" display="Logan@desertservices.net" xr:uid="{3926798D-7431-4A1E-B7AC-A369CCA03C49}"/>
    <hyperlink ref="Q548" r:id="rId188" xr:uid="{5FA56137-AEAB-4740-8CD5-5DCA10F53EB9}"/>
    <hyperlink ref="Y548" r:id="rId189" display="Logan@desertservices.net" xr:uid="{D25949B5-7290-4AE0-A974-701E37DE81F1}"/>
    <hyperlink ref="Q549" r:id="rId190" xr:uid="{7F10E0D7-4303-4C81-AA35-DDEEDE89BE2F}"/>
    <hyperlink ref="Q550" r:id="rId191" xr:uid="{39A416FC-DC90-4D42-B90A-DCD258DF7145}"/>
    <hyperlink ref="Y550" r:id="rId192" display="Logan@desertservices.net" xr:uid="{1DDF1FD0-F5B8-499E-809E-38F240777FAD}"/>
    <hyperlink ref="Q551" r:id="rId193" xr:uid="{8C48887D-3037-41CC-9418-BCE1F8DA57CE}"/>
    <hyperlink ref="Y551" r:id="rId194" display="Logan@desertservices.net" xr:uid="{0390D072-118D-4DAD-89E7-D84FFC534632}"/>
    <hyperlink ref="Q552" r:id="rId195" xr:uid="{9091AE0B-8526-48B4-B37F-F3BAFDEAE8E1}"/>
    <hyperlink ref="Q554" r:id="rId196" xr:uid="{670D5679-6720-4929-9BFB-59035CAC8867}"/>
    <hyperlink ref="Q555" r:id="rId197" xr:uid="{C264B415-3F6D-475E-B96D-DADE22D83F89}"/>
    <hyperlink ref="Y555" r:id="rId198" display="Logan@desertservices.net" xr:uid="{327C4138-3173-470A-8F98-4454CB0FC031}"/>
    <hyperlink ref="Q556" r:id="rId199" xr:uid="{8E61F205-D3BA-4759-9F14-DF3B9EBF9F94}"/>
    <hyperlink ref="Y557" r:id="rId200" display="Logan@desertservices.net" xr:uid="{0D8B2581-C4AC-4394-9A8E-F5ED538AF51B}"/>
    <hyperlink ref="Q557" r:id="rId201" xr:uid="{B3CA178B-4D31-4AEC-9383-974E91AA9169}"/>
    <hyperlink ref="Q558" r:id="rId202" xr:uid="{7DEA2B76-0294-46A1-903C-53234CD5A9F0}"/>
    <hyperlink ref="Q559" r:id="rId203" xr:uid="{0E17F136-644E-477B-843D-DE41C81ADEF5}"/>
    <hyperlink ref="Q560" r:id="rId204" xr:uid="{3F8C7DB9-30A3-42CB-8D29-8ED0B0FC3272}"/>
    <hyperlink ref="Q561" r:id="rId205" xr:uid="{3916821A-1FCB-4E88-98AB-0E742A39B1E4}"/>
    <hyperlink ref="Q562" r:id="rId206" xr:uid="{3112835A-118D-4763-898E-946599C86811}"/>
    <hyperlink ref="Y562" r:id="rId207" display="Logan@desertservices.net" xr:uid="{BB9006BC-C7C8-42D0-B5A7-3A4AE3B2913B}"/>
    <hyperlink ref="Q563" r:id="rId208" xr:uid="{BF590349-7F23-4974-BA08-E7474ABB8AB0}"/>
    <hyperlink ref="Y563" r:id="rId209" display="Logan@desertservices.net" xr:uid="{0F67E3EF-04CF-43CC-97F6-995AE54DD6F9}"/>
    <hyperlink ref="Q565" r:id="rId210" display="mailto:pbunnell@sunlandasphalt.com" xr:uid="{7396288E-5B38-4EAC-804A-3EA29D273EFA}"/>
    <hyperlink ref="Q566" r:id="rId211" xr:uid="{E3247D06-94E9-43E0-9726-46A9F474D159}"/>
    <hyperlink ref="Y566" r:id="rId212" display="Logan@desertservices.net" xr:uid="{A58B58DD-8FDE-4C8B-BCDE-50E4F193050A}"/>
    <hyperlink ref="Q567" r:id="rId213" xr:uid="{ED5786EC-33AD-4563-9F70-BB0A8C1864F1}"/>
    <hyperlink ref="Q568" r:id="rId214" xr:uid="{5847B286-EA5A-4CA4-B2A4-48B7F66E678B}"/>
    <hyperlink ref="Q569" r:id="rId215" xr:uid="{FD13BCDD-7624-402D-BBBD-4F709C600563}"/>
    <hyperlink ref="Y569" r:id="rId216" display="Logan@desertservices.net" xr:uid="{E2ED3569-26BD-4C64-90D8-97D2964D127E}"/>
    <hyperlink ref="Q571" r:id="rId217" display="marcus.morales@sodella.com" xr:uid="{895B30BE-4C00-495D-A287-0A02B3E3847C}"/>
    <hyperlink ref="Y571" r:id="rId218" display="Logan@desertservices.net" xr:uid="{5F24029C-0AD2-44C4-8173-63FC6C45B315}"/>
    <hyperlink ref="Q573" r:id="rId219" xr:uid="{55FAD9A2-C119-456A-B590-6A42BB383DEE}"/>
    <hyperlink ref="Y574" r:id="rId220" display="Logan@desertservices.net" xr:uid="{69B96287-CF9D-474A-9BBF-D5376922B169}"/>
    <hyperlink ref="Q574" r:id="rId221" xr:uid="{E2F61918-C0CC-4515-8DE5-88046892CE3D}"/>
    <hyperlink ref="Q576" r:id="rId222" xr:uid="{A9F63EE2-7762-4BF1-B9A6-773734449388}"/>
    <hyperlink ref="Y577" r:id="rId223" display="Logan@desertservices.net" xr:uid="{176D3BD2-9D20-4D64-BFE1-95BD074C6C4A}"/>
    <hyperlink ref="Q577" r:id="rId224" xr:uid="{485F6316-8698-4834-899F-70B6577C2405}"/>
    <hyperlink ref="Q578" r:id="rId225" xr:uid="{B20EF3A5-E35A-4FC3-B5EC-51FFA6A42ACE}"/>
    <hyperlink ref="Q579" r:id="rId226" xr:uid="{AD0A8FF6-2134-4238-AAA7-B70E61C10C14}"/>
    <hyperlink ref="Q580" r:id="rId227" xr:uid="{C461995C-6BF3-4828-A1AA-485C7967572A}"/>
    <hyperlink ref="Y581" r:id="rId228" display="Logan@desertservices.net" xr:uid="{5336F26F-BB59-42E8-A048-7DD5B5FB30A5}"/>
    <hyperlink ref="Q581" r:id="rId229" xr:uid="{81FE5354-2055-40B1-BE75-8C084DDC03FC}"/>
    <hyperlink ref="Q582" r:id="rId230" xr:uid="{200B8DA6-4DDB-4B3B-8F3A-38FF747A69F8}"/>
    <hyperlink ref="Y582" r:id="rId231" display="Logan@desertservices.net" xr:uid="{1FDB56E3-2FFE-4B69-97F0-AAFF95A82017}"/>
    <hyperlink ref="Q583" r:id="rId232" xr:uid="{E6F83655-260A-42A6-BD5B-434329495E82}"/>
    <hyperlink ref="Q584" r:id="rId233" xr:uid="{A166EA6D-736E-4A1C-8614-F624B45E1819}"/>
    <hyperlink ref="Y584" r:id="rId234" display="Logan@desertservices.net" xr:uid="{CF47B831-3058-4596-B382-C12DF1831C74}"/>
    <hyperlink ref="Y585" r:id="rId235" display="Logan@desertservices.net" xr:uid="{8275C102-7B5F-4E52-B74C-9E5298C3707B}"/>
    <hyperlink ref="Q585" r:id="rId236" xr:uid="{5B1E675B-2F77-46BC-90BC-2C035ED26E68}"/>
    <hyperlink ref="Q586" r:id="rId237" xr:uid="{2BC4E728-AE71-4AAC-A117-8F2D3714C228}"/>
    <hyperlink ref="Y587" r:id="rId238" xr:uid="{F0193CAD-04A3-475F-A22A-77B15690EA77}"/>
    <hyperlink ref="Q587" r:id="rId239" xr:uid="{DDF260C4-D0A0-4F58-98AF-202B7E1E9611}"/>
    <hyperlink ref="Q588" r:id="rId240" xr:uid="{D4DD2599-321D-4B80-B9C3-111135A4F682}"/>
    <hyperlink ref="Q589" r:id="rId241" xr:uid="{200EF8AB-BC8B-4E68-B547-5E3D19413EE1}"/>
    <hyperlink ref="Y589" r:id="rId242" display="Logan@desertservices.net" xr:uid="{0C4D04FC-7324-4151-AC20-E06DDB027D4C}"/>
    <hyperlink ref="Q590" r:id="rId243" xr:uid="{58399B47-16B0-430C-91EA-5087387C33F5}"/>
    <hyperlink ref="Q591" r:id="rId244" xr:uid="{117A2556-A0EC-4BEF-A15C-D3311413F6ED}"/>
    <hyperlink ref="Q592" r:id="rId245" xr:uid="{252D9C00-8994-48A4-B7BE-DCED7DC27270}"/>
    <hyperlink ref="Y592" r:id="rId246" display="Logan@desertservices.net" xr:uid="{9546AFA1-6E3C-4DD8-9354-35A2387CFE2E}"/>
    <hyperlink ref="Q593" r:id="rId247" xr:uid="{9BA50614-4BD9-4900-BCC2-11E62B61AD0E}"/>
    <hyperlink ref="Q594" r:id="rId248" xr:uid="{876925C6-1798-4602-BEDE-45BF679BA055}"/>
    <hyperlink ref="Q595" r:id="rId249" xr:uid="{FCE0C6F9-C614-4390-9F84-B2CC61DDC8C0}"/>
    <hyperlink ref="Y595" r:id="rId250" display="Logan@desertservices.net" xr:uid="{8A94BB9B-E380-4312-9F50-94752A66B08E}"/>
    <hyperlink ref="Q596" r:id="rId251" xr:uid="{D9D4F4DD-6B8F-4C2D-A546-040B4A8E1D53}"/>
    <hyperlink ref="Y596" r:id="rId252" display="Logan@desertservices.net" xr:uid="{574C675F-255C-4B0C-AD8A-C22886BDDF16}"/>
    <hyperlink ref="Q597" r:id="rId253" xr:uid="{DE226EC6-3E0C-40B2-862F-0185E20AB2D0}"/>
    <hyperlink ref="Y597" r:id="rId254" display="Logan@desertservices.net" xr:uid="{777708C7-9D7F-47DC-82FE-234CCE4A4791}"/>
    <hyperlink ref="Q598" r:id="rId255" xr:uid="{43B5568B-1BF7-4C7D-9479-B22810DB0AE9}"/>
    <hyperlink ref="Q599" r:id="rId256" xr:uid="{17639A5B-7097-4910-9D21-CF19EF6AE624}"/>
    <hyperlink ref="Y599" r:id="rId257" display="Logan@desertservices.net" xr:uid="{0FA83AF5-C7E4-4144-A23F-A862FEA443AF}"/>
    <hyperlink ref="Q600" r:id="rId258" xr:uid="{D2ECAF32-14F4-4E11-951F-593FDBE97F35}"/>
    <hyperlink ref="Y600" r:id="rId259" display="Logan@desertservices.net" xr:uid="{40C93115-846A-46F6-9E55-E6B7B34AC068}"/>
    <hyperlink ref="Q601" r:id="rId260" xr:uid="{EDE7CBA7-BF5F-45E9-B246-46972D3F77B4}"/>
    <hyperlink ref="Q602" r:id="rId261" xr:uid="{F589E493-C209-41D5-8CAA-BEEACE4CCCAA}"/>
    <hyperlink ref="Q603" r:id="rId262" xr:uid="{76F0C408-CC74-4A07-8241-56E16C2A277E}"/>
    <hyperlink ref="Q604" r:id="rId263" xr:uid="{7CD23BBA-1F7D-4A91-883C-5C2B9713C350}"/>
    <hyperlink ref="Y604" r:id="rId264" display="Logan@desertservices.net" xr:uid="{72C672A9-1290-4E07-A13A-48DF2D01220E}"/>
    <hyperlink ref="Q605" r:id="rId265" xr:uid="{D7806619-1128-46D4-89D5-928F92514CFB}"/>
    <hyperlink ref="Q606" r:id="rId266" xr:uid="{AFC64615-7F94-4020-B764-DB225791985B}"/>
    <hyperlink ref="Q607" r:id="rId267" xr:uid="{2046EE3D-DD1D-4D7C-821F-A809CF21F228}"/>
    <hyperlink ref="Y607" r:id="rId268" display="Logan@desertservices.net" xr:uid="{B7A76C30-590D-464B-8AE0-EFCB5302BE8C}"/>
    <hyperlink ref="Y609" r:id="rId269" display="Logan@desertservices.net" xr:uid="{416A049C-AD8F-4995-B7DC-B9316FF5C8AC}"/>
    <hyperlink ref="Q609" r:id="rId270" display="shawn.w@collabconst.com" xr:uid="{E008F820-88F0-4285-AA52-D1359C632D3D}"/>
    <hyperlink ref="Q610" r:id="rId271" xr:uid="{87F37AF3-EB29-47B5-B8B3-8DD434B5459B}"/>
    <hyperlink ref="Q611" r:id="rId272" xr:uid="{1CFB16C0-3208-41A9-BB17-A439A608C0E0}"/>
    <hyperlink ref="Q612" r:id="rId273" xr:uid="{56A0E3C1-AC16-4AFF-899F-1ACE7F21C82D}"/>
    <hyperlink ref="Q613" r:id="rId274" xr:uid="{5EF66F98-BBDB-4A4A-B7DA-CDC00C963D53}"/>
    <hyperlink ref="Q614" r:id="rId275" xr:uid="{3A6D205B-ECFE-42DC-94EF-ECD642583556}"/>
    <hyperlink ref="Q615" r:id="rId276" xr:uid="{BC0B3A1C-7077-42A6-A0BA-309075CA83D5}"/>
    <hyperlink ref="Q616" r:id="rId277" xr:uid="{8C96D5ED-0985-4C99-894E-19D8DBC28443}"/>
    <hyperlink ref="Q617" r:id="rId278" xr:uid="{47C99839-416D-44D0-AB5B-C0C86AB77F71}"/>
    <hyperlink ref="Y617" r:id="rId279" display="Logan@desertservices.net" xr:uid="{35EFD1DB-D295-4B56-BA22-209AAFCC9ACF}"/>
    <hyperlink ref="Q618" r:id="rId280" display="mailto:Clint@edgeconstruct.com" xr:uid="{2F21A8B2-3888-4034-BEC0-22949B1D7131}"/>
    <hyperlink ref="Q619" r:id="rId281" xr:uid="{3B86815D-D91E-42FC-936E-54C24A12E089}"/>
    <hyperlink ref="Q620" r:id="rId282" xr:uid="{D3331070-5788-46FE-B6F5-82E4671CAF6F}"/>
    <hyperlink ref="Y620" r:id="rId283" display="Logan@desertservices.net" xr:uid="{E3D77A1F-0B53-41C3-97A3-8FEB0A6B88F6}"/>
    <hyperlink ref="Q621" r:id="rId284" xr:uid="{FD40D356-064B-4A65-947B-DE02531C2396}"/>
    <hyperlink ref="Q622" r:id="rId285" xr:uid="{63BD9298-864C-471B-AC6A-ECA602B64843}"/>
    <hyperlink ref="Y622" r:id="rId286" display="Logan@desertservices.net" xr:uid="{C0384394-880C-4EF3-8CB5-811E108EA6AE}"/>
    <hyperlink ref="Q623" r:id="rId287" xr:uid="{B6EB6F4D-7029-488B-849E-3410C0D36E93}"/>
    <hyperlink ref="Q624" r:id="rId288" xr:uid="{A1D8CE63-6430-4AA2-BA34-F7CE76ED1D3D}"/>
    <hyperlink ref="Q625" r:id="rId289" xr:uid="{0DFF0785-5A5A-473C-A061-089A3073F576}"/>
    <hyperlink ref="Q626" r:id="rId290" xr:uid="{0A03344B-38C5-4944-848A-999CD4C64A26}"/>
    <hyperlink ref="Q627" r:id="rId291" xr:uid="{9F381CBB-CAD6-4BEA-9345-B82DBD2B3400}"/>
    <hyperlink ref="Q628" r:id="rId292" xr:uid="{18105B89-5E16-4D99-A09D-2529C991105D}"/>
    <hyperlink ref="Q629" r:id="rId293" xr:uid="{EEA57340-6E5D-427E-8EE1-8E299F29D413}"/>
    <hyperlink ref="Q630" r:id="rId294" xr:uid="{9A59719D-7BE9-4DC6-9A3B-9C32C1713967}"/>
    <hyperlink ref="Q631" r:id="rId295" xr:uid="{A32201AD-C587-47F1-936A-8F13C63EFFBB}"/>
    <hyperlink ref="Q632" r:id="rId296" xr:uid="{9651AD37-CED1-4E3B-B810-02A853E99FEF}"/>
    <hyperlink ref="Q633" r:id="rId297" xr:uid="{C468269C-CB28-4F4F-83FF-C94D43376CB7}"/>
    <hyperlink ref="Q634" r:id="rId298" xr:uid="{04B02777-BC2E-4DD4-B193-B3B4D2476DF9}"/>
    <hyperlink ref="Y634" r:id="rId299" display="Logan@desertservices.net" xr:uid="{A5D66F22-1CFC-46E8-A43E-2928D642BBBC}"/>
    <hyperlink ref="Q635" r:id="rId300" display="SCOTTW@TREGER.COM;ken@treger.com;jason@treger.com_x000a_" xr:uid="{A1B907ED-7CF6-4616-9030-7E80F717CFEC}"/>
    <hyperlink ref="Q636" r:id="rId301" xr:uid="{BF14FA1C-CBA8-4750-A84F-50FD46EEE4CE}"/>
    <hyperlink ref="Y636" r:id="rId302" display="Logan@desertservices.net" xr:uid="{A19FBAF1-523B-4224-9038-0B77C302AB25}"/>
    <hyperlink ref="Q637" r:id="rId303" xr:uid="{E1666543-DAD6-4626-BE64-9FC25D38FC90}"/>
    <hyperlink ref="Q638" r:id="rId304" xr:uid="{C3BA94DF-F97C-49A0-9E3C-B87EF8DE53C2}"/>
    <hyperlink ref="Y638" r:id="rId305" display="Logan@desertservices.net" xr:uid="{D67BD09F-49F7-4F34-9CC3-CF4EA30BB447}"/>
    <hyperlink ref="Q639" r:id="rId306" xr:uid="{0ABBD6D7-4A6F-43F3-897E-9F2A78C7C511}"/>
    <hyperlink ref="Q640" r:id="rId307" xr:uid="{2AD2A53C-B5D2-4BE5-992E-364463890EFF}"/>
    <hyperlink ref="Q641" r:id="rId308" xr:uid="{1E537D35-37CE-4275-A320-D124529F7ABA}"/>
    <hyperlink ref="Q642" r:id="rId309" xr:uid="{162FE2E0-44A9-4DE1-A22A-B76EBE77592D}"/>
    <hyperlink ref="Y643" r:id="rId310" display="Logan@desertservices.net" xr:uid="{29D845D8-D1C2-4CA8-8682-05CD33BB47A8}"/>
    <hyperlink ref="R643" r:id="rId311" display="DHOPKINS@VPCONSTRUCT.COM" xr:uid="{7D885344-B31A-4F59-9E31-291FA5D3DEB8}"/>
    <hyperlink ref="Q643" r:id="rId312" xr:uid="{C6338D1D-D8B9-4FDC-97F7-51C00B48C155}"/>
    <hyperlink ref="Q644" r:id="rId313" xr:uid="{23EBF9B0-D02F-47DD-8E3D-7E8202A6A971}"/>
    <hyperlink ref="Q645" r:id="rId314" xr:uid="{12F14993-444B-4B11-B95E-C25B52945E9D}"/>
    <hyperlink ref="Y646" r:id="rId315" display="Logan@desertservices.net" xr:uid="{512FD09F-37D2-42CC-990E-DF38F587A1B5}"/>
    <hyperlink ref="Q646" r:id="rId316" xr:uid="{FC09B4E0-C9B0-456C-984E-112CFD1A0700}"/>
    <hyperlink ref="Q647" r:id="rId317" xr:uid="{13C81F05-9DA8-49AD-8D4F-468B1C955FC7}"/>
    <hyperlink ref="Y648" r:id="rId318" display="Logan@desertservices.net" xr:uid="{6AE4C43D-0927-492B-A5D9-645C9522DD65}"/>
    <hyperlink ref="Q648" r:id="rId319" xr:uid="{F6C02C15-7296-4727-AC43-882A6CEA4957}"/>
    <hyperlink ref="Y649" r:id="rId320" display="Logan@desertservices.net" xr:uid="{DA1D08DF-4A85-4C3D-84C6-3B4C518FB750}"/>
    <hyperlink ref="Q649" r:id="rId321" xr:uid="{BF9805C9-E714-40DA-A3BA-BBF3B7A45C9C}"/>
    <hyperlink ref="Q650" r:id="rId322" xr:uid="{1150C168-6581-4135-9119-73527B8B4BC9}"/>
    <hyperlink ref="Q651" r:id="rId323" xr:uid="{61BA511E-CC6C-4462-93A9-720B74D1E72B}"/>
    <hyperlink ref="Y651" r:id="rId324" display="Logan@desertservices.net" xr:uid="{779DCE14-607B-4BFB-8E9D-939BE216134D}"/>
    <hyperlink ref="Q652" r:id="rId325" display="beldredge@renconco.com" xr:uid="{47BD1039-5F24-4961-9E91-E44D3E8B8ACA}"/>
    <hyperlink ref="Y653" r:id="rId326" display="Logan@desertservices.net" xr:uid="{86D864F1-61FB-4EAB-AAE6-85CA872D38F5}"/>
    <hyperlink ref="Q653" r:id="rId327" xr:uid="{3CF1898E-B712-47D9-A85F-F9B07AA74622}"/>
    <hyperlink ref="Q654" r:id="rId328" display="donovanjames@coreconstruction.com " xr:uid="{7CCBFA2D-D7AB-41D2-86DF-3B6BC6B10CAA}"/>
    <hyperlink ref="Q655" r:id="rId329" xr:uid="{D4E0A272-6FAC-4D25-ADCB-4E800710FD2A}"/>
    <hyperlink ref="Q656" r:id="rId330" xr:uid="{BFE6A51D-5929-4751-B3F6-D17B5BA08B29}"/>
    <hyperlink ref="Q657" r:id="rId331" xr:uid="{088FB97C-0004-4639-8B8D-D42BAE7D0597}"/>
    <hyperlink ref="Y658" r:id="rId332" display="Logan@desertservices.net" xr:uid="{46C53395-5F8F-4BB8-90AB-6B575A7D6B41}"/>
    <hyperlink ref="Q658" r:id="rId333" xr:uid="{E98C88C3-5B34-4DDF-B8CE-DE0ACCDB721F}"/>
    <hyperlink ref="Q659" r:id="rId334" xr:uid="{EF1C5716-B195-47EE-AA27-37321532C07D}"/>
    <hyperlink ref="Q660" r:id="rId335" xr:uid="{33E443EF-4AD5-4EE4-904D-81F42CDDA385}"/>
    <hyperlink ref="Q661" r:id="rId336" xr:uid="{14E3FAA5-45FC-4021-AAC4-D88AA46BF113}"/>
    <hyperlink ref="Q662" r:id="rId337" xr:uid="{45FA5176-DC66-47A4-9115-16E20BD1D87E}"/>
    <hyperlink ref="Q663" r:id="rId338" xr:uid="{82DE0A67-3BAE-411E-BE18-C4269548919E}"/>
    <hyperlink ref="Y663" r:id="rId339" display="Logan@desertservices.net" xr:uid="{571426D4-D53B-46E3-8D64-633A93E1870B}"/>
    <hyperlink ref="Q664" r:id="rId340" xr:uid="{64E7ED38-4E13-4008-BD3F-1D0FBCE3039D}"/>
    <hyperlink ref="Y664" r:id="rId341" display="Logan@desertservices.net" xr:uid="{15E1EF2D-ED27-4386-BFC2-9474503357CB}"/>
    <hyperlink ref="Q665" r:id="rId342" xr:uid="{0026E710-113A-47EA-B9B3-45ABA46A6730}"/>
    <hyperlink ref="Y665" r:id="rId343" display="Logan@desertservices.net" xr:uid="{75CA36C0-3F61-498B-83F8-C642D0A4688B}"/>
    <hyperlink ref="Y666" r:id="rId344" display="Logan@desertservices.net" xr:uid="{D3D478A9-A2A2-44AB-9C52-1D20DE69DEE6}"/>
    <hyperlink ref="Q666" r:id="rId345" xr:uid="{728BD57C-860D-4065-A660-9C8743368C90}"/>
    <hyperlink ref="Q667" r:id="rId346" xr:uid="{B0D833CE-3937-442F-8F8A-1FD76FF0F082}"/>
    <hyperlink ref="Y667" r:id="rId347" display="Logan@desertservices.net" xr:uid="{C6F5E187-412E-43F6-80FC-F26DCB34DFAD}"/>
    <hyperlink ref="Q668" r:id="rId348" xr:uid="{654515A3-1A35-4D9F-B6DE-34DF6C76F1E2}"/>
    <hyperlink ref="Y669" r:id="rId349" xr:uid="{4934A678-FAD7-42C8-A3F6-7FFDE157D3E8}"/>
    <hyperlink ref="Q669" r:id="rId350" xr:uid="{52FE1810-DA8A-4B7C-8806-4C5C2C7B2D36}"/>
    <hyperlink ref="Q670" r:id="rId351" xr:uid="{07124F16-2D29-4F45-896E-B9687BC270CC}"/>
    <hyperlink ref="Y670" r:id="rId352" display="Logan@desertservices.net" xr:uid="{3A9E9850-2E32-434E-B2A2-8018E1FE171D}"/>
    <hyperlink ref="Q671" r:id="rId353" xr:uid="{17D9760F-8EC1-4731-9DF7-C9E53FBDC7DE}"/>
    <hyperlink ref="Y671" r:id="rId354" display="Logan@desertservices.net" xr:uid="{4F3809D5-1E1C-4466-A102-B9A563122918}"/>
    <hyperlink ref="Q672" r:id="rId355" xr:uid="{9AC17D91-496B-4EB7-9EFD-F2456B15FEC0}"/>
    <hyperlink ref="Y673" r:id="rId356" display="Logan@desertservices.net" xr:uid="{EC2FD3F7-0E76-405B-908A-A5DD82FD673A}"/>
    <hyperlink ref="Y674" r:id="rId357" display="Logan@desertservices.net" xr:uid="{DD7C516C-ABAB-476D-AC37-92DAB1E7147F}"/>
    <hyperlink ref="Q674" r:id="rId358" display="m.jessick@pacsysinteriors.com" xr:uid="{576301E5-3512-4EEC-BD69-B41AE107AFDD}"/>
    <hyperlink ref="Y675" r:id="rId359" display="Logan@desertservices.net" xr:uid="{B5230314-E9C9-43F6-BA73-0B264F20148B}"/>
    <hyperlink ref="Q675" r:id="rId360" display="randy.metz@catamountinc.com" xr:uid="{13B31FFD-968F-4EAF-889A-919A2F8ABF25}"/>
    <hyperlink ref="Q676" r:id="rId361" xr:uid="{463398A3-EE47-4F8E-B3CE-B242F3F04EAA}"/>
    <hyperlink ref="Y676" r:id="rId362" display="Logan@desertservices.net" xr:uid="{E42149B9-ACBA-42C8-ABDB-C209D02D01E0}"/>
    <hyperlink ref="Y677" r:id="rId363" display="Logan@desertservices.net" xr:uid="{FFEC212E-B34C-4CCE-A780-EBDC0866CE41}"/>
    <hyperlink ref="Y678" r:id="rId364" display="Logan@desertservices.net" xr:uid="{65B29646-1F43-46CA-ABB4-80BD17BF0DD0}"/>
    <hyperlink ref="Q678" r:id="rId365" xr:uid="{144D14F2-9FD9-45EE-A02B-F50B39C5B14D}"/>
    <hyperlink ref="Q679" r:id="rId366" xr:uid="{5BA3C10F-0CF4-41B0-ACB0-96EE37B41996}"/>
    <hyperlink ref="Q680" r:id="rId367" xr:uid="{4ED0A904-008C-4D12-9FA3-7685E8FECD94}"/>
    <hyperlink ref="Q681" r:id="rId368" xr:uid="{E581ADB7-E667-4E36-989E-B79E1A320D01}"/>
    <hyperlink ref="Q682" r:id="rId369" display="MICHAEL.MURRAY@GREYSTAR.COM;tye.davis@greystar.com" xr:uid="{A15F1838-8D5D-4DDA-8540-1A60E92F5204}"/>
    <hyperlink ref="Q683" r:id="rId370" xr:uid="{85C96D94-AF0A-451C-BBDA-84033FAB5607}"/>
    <hyperlink ref="Q684" r:id="rId371" xr:uid="{BA81BA5D-FA28-404B-9041-7BAD1603EFAB}"/>
    <hyperlink ref="Q685" r:id="rId372" xr:uid="{92149B7E-C8C4-42A6-9202-7CDE9D8389B2}"/>
    <hyperlink ref="Q686" r:id="rId373" display="mikeb@gconinc.com;dmartinez@gconinc.com;ianj@gconinc.com;chantallk@gconinc.com;ryand@gconinc.com" xr:uid="{9F8C4099-FA76-4275-A829-9A1585042303}"/>
    <hyperlink ref="Q687" r:id="rId374" xr:uid="{59785BE7-BE05-44C0-9ED5-804111AA61E1}"/>
    <hyperlink ref="Q688" r:id="rId375" xr:uid="{ADE134B0-1336-4306-8C91-E9A28D298C62}"/>
    <hyperlink ref="Y689" r:id="rId376" display="Logan@desertservices.net" xr:uid="{FE2B28FA-2C77-4955-9A92-0876570F574C}"/>
    <hyperlink ref="Q689" r:id="rId377" xr:uid="{B9DA3052-FD7B-4149-957B-BFC8353E0581}"/>
    <hyperlink ref="Q690" r:id="rId378" display="RSIEMSEN@MCCARTHY.COM;RHANSON@MCCARTHY.COM" xr:uid="{B590405E-1C53-4B49-A29B-0523F73A0065}"/>
    <hyperlink ref="Q691" r:id="rId379" display="RSIEMSEN@MCCARTHY.COM;RHANSON@MCCARTHY.COM" xr:uid="{3436DB90-5814-4068-B282-2C88F7ED9358}"/>
    <hyperlink ref="Q692" r:id="rId380" xr:uid="{91C96A03-E6B8-43E2-AD6E-4015D1129500}"/>
    <hyperlink ref="Q693" r:id="rId381" display="tylerbivins@coreconstruction.com" xr:uid="{FE8AAA7F-90AA-4046-879D-ECCE8991DE2D}"/>
    <hyperlink ref="Q694" r:id="rId382" xr:uid="{7A1EA431-61EB-4754-8264-CC29D5EDE4D7}"/>
    <hyperlink ref="Y695" r:id="rId383" display="Logan@desertservices.net" xr:uid="{0DAC0FC1-4828-46C5-814C-DBCEED86D4CC}"/>
    <hyperlink ref="Q695" r:id="rId384" xr:uid="{CD8A8591-B3C9-4275-B92B-DB03F76E73ED}"/>
    <hyperlink ref="Q696" r:id="rId385" xr:uid="{2EA4909F-EA2A-4C04-911A-5B9D89CAB683}"/>
    <hyperlink ref="Q697" r:id="rId386" display="kreblin@mcshane.com;m.martinez@mcshane.com;emendivil@cadencemcshane.com" xr:uid="{C0A4A520-C11E-4531-A10E-6D5BB4C09E42}"/>
    <hyperlink ref="Y697" r:id="rId387" display="Logan@desertservices.net" xr:uid="{5CB2E6B1-701A-4FC1-888F-351A273AE5FC}"/>
    <hyperlink ref="Y698" r:id="rId388" display="Logan@desertservices.net" xr:uid="{C8FA5DA0-A8FE-4C2E-8EAE-CC017A635972}"/>
    <hyperlink ref="Y699" r:id="rId389" display="Logan@desertservices.net" xr:uid="{E0CB0C1E-A8D9-44A3-8EFB-FC08152BF950}"/>
    <hyperlink ref="Y700" r:id="rId390" display="Logan@desertservices.net" xr:uid="{BEE20466-6C52-4B63-B64A-093836486C28}"/>
    <hyperlink ref="Q700" r:id="rId391" xr:uid="{C32358C6-6A7C-47EC-9783-5138951DD4B2}"/>
    <hyperlink ref="Q701" r:id="rId392" xr:uid="{604548DF-8DE9-46DE-91BA-049AB500B4DA}"/>
    <hyperlink ref="Q702" r:id="rId393" xr:uid="{DE203634-2416-4D52-8850-F187327125C5}"/>
    <hyperlink ref="Y704" r:id="rId394" display="Logan@desertservices.net" xr:uid="{FC8D775E-80BE-4E60-AD52-17C8D09DC309}"/>
    <hyperlink ref="Q704" r:id="rId395" display="Keith@mcgrathconstructionphx.com;Art@sandstormconstructionaz.com;aaron@sandstormconstructionaz.com" xr:uid="{5E2590A5-4CBF-4A62-89D2-A18FF0B16E59}"/>
    <hyperlink ref="Y705" r:id="rId396" display="Logan@desertservices.net" xr:uid="{E54C5006-88D5-4E91-8838-ED5E2C072DB4}"/>
    <hyperlink ref="Q705" r:id="rId397" xr:uid="{980AD3AD-5493-49EE-9EA9-5529ED5EFC7D}"/>
    <hyperlink ref="Q706" r:id="rId398" display="mailto:Caleb_Johnson@Graycor.com" xr:uid="{EABD3B71-51A2-4FBC-8EEE-B930931F629F}"/>
    <hyperlink ref="Y707" r:id="rId399" display="Logan@desertservices.net" xr:uid="{4A4DDEED-3649-40E5-9A2B-B61DBF6FDCEC}"/>
    <hyperlink ref="Q707" r:id="rId400" xr:uid="{A23B589D-1927-41AD-A809-402A2A66864B}"/>
    <hyperlink ref="Y708" r:id="rId401" display="Logan@desertservices.net" xr:uid="{FBF3D655-180E-4A22-886F-F84F01C37BF6}"/>
    <hyperlink ref="Q708" r:id="rId402" xr:uid="{B04BCCB7-902C-46DA-8403-5005CA84D867}"/>
    <hyperlink ref="Y709" r:id="rId403" display="Logan@desertservices.net" xr:uid="{7A058337-5E14-4AFA-AEC6-74BC2A7BA219}"/>
    <hyperlink ref="Q710" r:id="rId404" xr:uid="{B786D10D-77D9-4EEB-9EFA-2950D4E7AF69}"/>
    <hyperlink ref="Y711" r:id="rId405" display="Logan@desertservices.net" xr:uid="{C9C0CF2A-2A27-4838-8ADB-1F102B6B45BD}"/>
    <hyperlink ref="Q711" r:id="rId406" xr:uid="{6DFFC4CD-9964-4EDD-A6D9-C49D376F72F7}"/>
    <hyperlink ref="Q712" r:id="rId407" display="kblanchard@brinkmannconstructors.com;lrogers@brinkmannconstructors.com" xr:uid="{B1CC932A-F271-4F7D-95CB-E6731F1582F7}"/>
    <hyperlink ref="Q713" r:id="rId408" xr:uid="{98618CC3-5618-4C3A-9EEB-653DCF3E23D7}"/>
    <hyperlink ref="Q714" r:id="rId409" display="mailto:markb@j-walters.com " xr:uid="{93618162-7224-4F9F-A8B7-0FE1B0F4176F}"/>
    <hyperlink ref="Y715" r:id="rId410" display="Logan@desertservices.net" xr:uid="{DE84F30C-7BBB-4093-A04C-50C34C6540B7}"/>
    <hyperlink ref="Q715" r:id="rId411" display="m.jessick@pacsysinteriors.com" xr:uid="{69652E79-C180-4BCB-B25F-57A9008570F5}"/>
    <hyperlink ref="Q716" r:id="rId412" display="BRYAN.STALKER@SODELLA.COM" xr:uid="{738FB7D6-6B83-4151-BD9C-5AB650F3B306}"/>
    <hyperlink ref="Y717" r:id="rId413" display="Logan@desertservices.net" xr:uid="{3AF4734C-067E-413D-91BA-882A87D45B84}"/>
    <hyperlink ref="Q717" r:id="rId414" display="mailto:Damon_Spangle@Graycor.com" xr:uid="{53F16C96-93D3-4B39-936A-8F126A570070}"/>
    <hyperlink ref="Q718" r:id="rId415" display="AlecN@lottbrothers.com" xr:uid="{58F3B540-8360-4C09-8B16-FE1BD81F6B10}"/>
    <hyperlink ref="Y720" r:id="rId416" display="Logan@desertservices.net" xr:uid="{29B638EF-AAAB-453A-9261-563DC103C2F7}"/>
    <hyperlink ref="Q720" r:id="rId417" xr:uid="{9E1BA913-1791-4EFB-A7A8-EAEDA111DE8E}"/>
    <hyperlink ref="Q722" r:id="rId418" display="zachary.commons@laytonconstruction.com;bgreen@laytonconstruction.com" xr:uid="{A8A720B2-3A54-44F6-8364-A5225BDF655D}"/>
    <hyperlink ref="Q723" r:id="rId419" xr:uid="{9CA21C08-99DD-4D42-AB83-1D4E078BC159}"/>
    <hyperlink ref="Y723" r:id="rId420" display="Logan@desertservices.net" xr:uid="{4FF076A8-2C4B-4832-BDC9-86B61B0964BA}"/>
    <hyperlink ref="Q724" r:id="rId421" xr:uid="{AC746478-EC19-47CE-8D1F-314BCF0B856A}"/>
    <hyperlink ref="Y725" r:id="rId422" display="Logan@desertservices.net" xr:uid="{961D5C8B-FD89-46D5-BD66-DA4E73EB411B}"/>
    <hyperlink ref="Q726" r:id="rId423" xr:uid="{A694C1E2-990F-4822-AAEA-FC52FB26829C}"/>
    <hyperlink ref="Y726" r:id="rId424" display="Logan@desertservices.net" xr:uid="{EA247B4F-60CF-4B45-9401-493222D174E6}"/>
    <hyperlink ref="Q727" r:id="rId425" xr:uid="{B3E6DA5D-8AA8-4561-ACB8-52CCCA08B0CE}"/>
    <hyperlink ref="Q728" r:id="rId426" display="wgullett@greenlightgc.com;gprieto@greenlightgc.com" xr:uid="{2F239DA2-E722-460A-BD52-043B53A1AE1D}"/>
    <hyperlink ref="Q729" r:id="rId427" xr:uid="{07463A32-5A58-4455-B851-DE3BDC65885D}"/>
    <hyperlink ref="Q731" r:id="rId428" xr:uid="{E437BBB3-91F1-41CC-BB30-5F38BBBB2B32}"/>
    <hyperlink ref="Q732" r:id="rId429" xr:uid="{1C1F2CE8-AAFE-4B02-9EF4-BFD088778C5B}"/>
    <hyperlink ref="Y732" r:id="rId430" display="Logan@desertservices.net" xr:uid="{461D3ECA-0B71-414C-A051-B9048FCE4607}"/>
    <hyperlink ref="Y733" r:id="rId431" display="Logan@desertservices.net" xr:uid="{0E3BE88C-6D63-424D-A1D9-5A0835484BD9}"/>
    <hyperlink ref="Q734" r:id="rId432" display="dallred@willmeng.com;bbaker@willmeng.com;darnberger@willmeng.com" xr:uid="{CFF0ECDE-8BCF-4865-B2F8-9E214A1D9A4C}"/>
    <hyperlink ref="Q735" r:id="rId433" xr:uid="{A9528DF9-9BE1-422F-85CA-31156702C6DA}"/>
    <hyperlink ref="Y736" r:id="rId434" display="Logan@desertservices.net" xr:uid="{DE5AF234-D8B9-48B8-BD3D-2EC687AE58BF}"/>
    <hyperlink ref="Q736" r:id="rId435" xr:uid="{31B3D040-987E-407F-AC14-10AFFA139242}"/>
    <hyperlink ref="Y737" r:id="rId436" display="Logan@desertservices.net" xr:uid="{8060641D-4737-4C2B-9AC8-3F1F24220565}"/>
    <hyperlink ref="Q737" r:id="rId437" xr:uid="{0DBD2ED7-332D-4C14-A4CC-3999804F91A5}"/>
    <hyperlink ref="Q738" r:id="rId438" xr:uid="{1E3188F2-ED96-4F75-B309-AF2EB3657EF4}"/>
    <hyperlink ref="Q739" r:id="rId439" xr:uid="{F63E776B-3AEA-45DF-8387-4A0AA6C8342D}"/>
    <hyperlink ref="Y739" r:id="rId440" display="Logan@desertservices.net" xr:uid="{B203CA4C-74BB-482E-88AF-C907F0CD88EF}"/>
    <hyperlink ref="Y740" r:id="rId441" display="Logan@desertservices.net" xr:uid="{718D0247-8822-4053-A963-F404444A031D}"/>
    <hyperlink ref="Q740" r:id="rId442" xr:uid="{C4FF7E29-134D-4E5D-BDCF-3859B56FD2E6}"/>
    <hyperlink ref="Q741" r:id="rId443" xr:uid="{D8407CB1-AA6F-4B83-8505-30F42A9C1B50}"/>
    <hyperlink ref="Q742" r:id="rId444" xr:uid="{B8EF1790-453C-453D-B75A-CC73E0E27BD1}"/>
    <hyperlink ref="Y742" r:id="rId445" display="Logan@desertservices.net" xr:uid="{8A2642F7-1ED4-4CBB-8C72-313A82FD66ED}"/>
    <hyperlink ref="Q743" r:id="rId446" xr:uid="{A3EF948A-29B9-4A61-9C41-7B40B1190936}"/>
    <hyperlink ref="Q744" r:id="rId447" xr:uid="{CDB6C9CA-7224-4ADB-8039-2A60D6F1AC3F}"/>
    <hyperlink ref="Q745" r:id="rId448" display="TOMC@DPRCOM" xr:uid="{9C5EC333-2F04-4F02-95B6-F660E5E6B22D}"/>
    <hyperlink ref="Y746" r:id="rId449" display="Logan@desertservices.net" xr:uid="{3CF49718-5C9D-48BE-86C9-B4D680C20FAC}"/>
    <hyperlink ref="Q746" r:id="rId450" xr:uid="{81532529-4099-41B3-AC3C-BB40513E2526}"/>
    <hyperlink ref="Y747" r:id="rId451" xr:uid="{AC81042A-88CB-405F-893F-1387ABFA8C85}"/>
    <hyperlink ref="Q747" r:id="rId452" xr:uid="{5B87BE83-F901-48CE-BD39-E947303E61E8}"/>
    <hyperlink ref="Q748" r:id="rId453" xr:uid="{99D940D0-CF6F-440B-BDF8-EBC65FF3D9D8}"/>
    <hyperlink ref="Q749" r:id="rId454" display="bspetman@greenlightgc.com;lmarshall@greenlightgc.com;pmontalvo@greenlightgc.com" xr:uid="{1C77F502-65C2-4737-8FBA-E6C8E5E0440B}"/>
    <hyperlink ref="Q750" r:id="rId455" xr:uid="{39D33FC4-1898-43D0-95F5-F1263644A7D6}"/>
    <hyperlink ref="Q751" r:id="rId456" xr:uid="{33B4FB28-321C-41A0-8985-AC9D76029E5D}"/>
    <hyperlink ref="Q753" r:id="rId457" display="AlecN@lottbrothers.com" xr:uid="{A9123B06-151E-4661-8CF2-1C368DECC8D6}"/>
    <hyperlink ref="Y754" r:id="rId458" display="Logan@desertservices.net" xr:uid="{F8D9A457-26C0-4BF4-8D5E-5A99492A18D2}"/>
    <hyperlink ref="Q754" r:id="rId459" xr:uid="{12AB08E2-DBDA-434F-9C7D-4C5E42910C9A}"/>
    <hyperlink ref="Y755" r:id="rId460" display="Logan@desertservices.net" xr:uid="{7FD4F8EA-E99C-4C81-9D6E-56C51210120C}"/>
    <hyperlink ref="Q755" r:id="rId461" xr:uid="{EF2EF69A-48C3-466B-8A4A-5FF1DAD1673A}"/>
    <hyperlink ref="Q756" r:id="rId462" xr:uid="{01EC637B-0C13-41D7-84AB-171D8805ADF8}"/>
    <hyperlink ref="Q757" r:id="rId463" xr:uid="{736CC7FA-C6A5-4968-8A90-83085D404A46}"/>
    <hyperlink ref="Q758" r:id="rId464" xr:uid="{23EA38D3-8C45-4A04-B9EB-7E71A6535D21}"/>
    <hyperlink ref="Q759" r:id="rId465" xr:uid="{4D4D3905-D240-4737-ABBF-DA39F532C827}"/>
    <hyperlink ref="Y760" r:id="rId466" display="Logan@desertservices.net" xr:uid="{AA8E6010-2343-4338-B432-B300520B0002}"/>
    <hyperlink ref="Q760" r:id="rId467" xr:uid="{B740B09C-BEE5-4109-9CD8-739405BE5FAE}"/>
    <hyperlink ref="Q761" r:id="rId468" xr:uid="{155FAD9E-2427-43B4-9C98-B86DE4A87B0A}"/>
    <hyperlink ref="Q762" r:id="rId469" xr:uid="{857EA678-AC0A-4EA3-AF0A-BC7ACE5B38BA}"/>
    <hyperlink ref="Y762" r:id="rId470" display="Logan@desertservices.net" xr:uid="{B485FAD5-0F5E-49D3-BBB5-970D01B67303}"/>
    <hyperlink ref="Y763" r:id="rId471" display="Logan@desertservices.net" xr:uid="{BCE64508-6661-4A9F-A30F-9026C4268725}"/>
    <hyperlink ref="Q763" r:id="rId472" xr:uid="{5AC399F0-7894-40FB-ADA5-3B143F07656A}"/>
    <hyperlink ref="Q764" r:id="rId473" xr:uid="{A2EB1946-6D58-40DA-A025-77449E38DA06}"/>
    <hyperlink ref="Y764" r:id="rId474" xr:uid="{AA057693-EEC0-4351-B9B0-F9EF4AC27774}"/>
    <hyperlink ref="Y765" r:id="rId475" display="Logan@desertservices.net" xr:uid="{DD9DD1E3-8A7E-4619-9E77-D7C0D925FAD0}"/>
    <hyperlink ref="Q765" r:id="rId476" display="jbrown@pathcc.com;cingram@pathcc.com;jstenzel@pathcc.com" xr:uid="{00A8B4C7-0639-46DE-9A86-C1A91EC793EC}"/>
    <hyperlink ref="Q766" r:id="rId477" display="LEE.PALMER@TDC-PROPERTIES.COM" xr:uid="{2D789BC8-8B7E-4191-B096-D7C4A9B1ACFF}"/>
    <hyperlink ref="Y766" r:id="rId478" xr:uid="{E861E777-E5D2-4B20-AE14-86EB46FE67A3}"/>
    <hyperlink ref="Y767" r:id="rId479" display="Logan@desertservices.net" xr:uid="{CEEBB7E3-64FA-4888-B041-F683ACCC695F}"/>
    <hyperlink ref="Y768" r:id="rId480" xr:uid="{B924DB32-9CE5-4372-9E5E-790F756BE677}"/>
    <hyperlink ref="Q768" r:id="rId481" xr:uid="{082F6F52-559C-4E2F-AB55-F266657ADEF1}"/>
    <hyperlink ref="Y769" r:id="rId482" display="Logan@desertservices.net" xr:uid="{2E0FC37B-7EBE-4DE2-8794-5926F218E391}"/>
    <hyperlink ref="Q770" r:id="rId483" display="alanarvizu@core construction;dillonhansford@coreconstruction.com" xr:uid="{AA273007-7E5D-4AA7-AB44-FD76DC302769}"/>
    <hyperlink ref="Q773" r:id="rId484" display="Art@sandstormconstructionaz.com;Aaron@sandstormconstructionaz.com;andy@sandstormconstructionaz.com" xr:uid="{D3A4C2E5-3CA7-472F-905A-539C8C7D5E67}"/>
    <hyperlink ref="Q774" r:id="rId485" display="Marcus@fronterabuildingco.com ;kevin.griffith@fronterabuildingco.com" xr:uid="{FCFE5E19-4185-4ADD-97A6-BF28FAE8AD1D}"/>
    <hyperlink ref="Y775" r:id="rId486" display="Logan@desertservices.net" xr:uid="{454C02FE-F7C5-4764-AD1F-D8D263E167B0}"/>
    <hyperlink ref="Y776" r:id="rId487" display="Logan@desertservices.net" xr:uid="{81DC7D41-67AB-42FD-A7C2-75A7C90903E7}"/>
    <hyperlink ref="Q776" r:id="rId488" xr:uid="{3AF72E24-54B3-4A13-A1A6-B9A152D51C51}"/>
    <hyperlink ref="Y778" r:id="rId489" display="Logan@desertservices.net" xr:uid="{A8595D98-CA48-414B-9C18-D0C74BCEB54C}"/>
    <hyperlink ref="Q778" r:id="rId490" xr:uid="{FD7FC0BE-C08E-455D-BC55-70F66BE5C138}"/>
    <hyperlink ref="Q780" r:id="rId491" xr:uid="{CA29D9E1-F1A6-42E2-A822-C0E56C79755E}"/>
    <hyperlink ref="Q781" r:id="rId492" display="fcwick@beztak.com" xr:uid="{C6DB54D9-74F3-4378-9CC6-5FE7AF0BDECB}"/>
    <hyperlink ref="Y782" r:id="rId493" display="Logan@desertservices.net" xr:uid="{B9B7AA03-B757-4358-86FF-AB3EB8A25B97}"/>
    <hyperlink ref="Q782" r:id="rId494" xr:uid="{43D774BE-2C2C-42D1-BD6A-E5B0E5E509E5}"/>
    <hyperlink ref="Q783" r:id="rId495" xr:uid="{AF3956FA-7A93-40CE-999B-4C08127CF94C}"/>
    <hyperlink ref="Y783" r:id="rId496" display="Logan@desertservices.net" xr:uid="{BAA1B312-5082-41C5-88BE-0332B4388F1D}"/>
    <hyperlink ref="Q785" r:id="rId497" display="mschwarzbach@ridgehouseco.com;jmurphy@ridgehouseco.com" xr:uid="{A71EE427-60E4-4379-9452-5C3AEA84EB20}"/>
    <hyperlink ref="Y786" r:id="rId498" display="Logan@desertservices.net" xr:uid="{FA933145-B4CC-437E-9233-6B837D94957A}"/>
    <hyperlink ref="Q786" r:id="rId499" display="kristinef@idealco.net" xr:uid="{B83D6243-71ED-42D3-AA8F-937162D7949B}"/>
    <hyperlink ref="Y787" r:id="rId500" xr:uid="{76A71DA1-9E81-4E54-A738-B098CDC7392D}"/>
    <hyperlink ref="Q787" r:id="rId501" xr:uid="{D13FB6BF-9757-4EE5-A35D-787B3B573247}"/>
    <hyperlink ref="Q788" r:id="rId502" xr:uid="{C1381215-92EF-4896-AB14-BF4AFCF2E40E}"/>
    <hyperlink ref="Q789" r:id="rId503" xr:uid="{EA46CED3-3DED-4E0D-A92A-0885F9BC2C2F}"/>
    <hyperlink ref="Q790" r:id="rId504" xr:uid="{4DD7A25C-B7A0-4706-B374-942582741423}"/>
    <hyperlink ref="Y791" r:id="rId505" xr:uid="{9EF8AEE2-048F-4D67-86E7-04F82DBE7E96}"/>
    <hyperlink ref="Q791" r:id="rId506" xr:uid="{BE53108D-05F7-45DF-A5F3-704A02EF3FA7}"/>
    <hyperlink ref="Y792" r:id="rId507" display="Logan@desertservices.net" xr:uid="{35B55E9B-94EB-48AD-836A-92CC64DF9205}"/>
    <hyperlink ref="Q792" r:id="rId508" display="edgarn@gconinc.com" xr:uid="{87C246E5-4C38-4E16-A744-77433123C0F6}"/>
    <hyperlink ref="Y793" r:id="rId509" display="Logan@desertservices.net" xr:uid="{60B00315-5B3D-4CC6-8403-D1E527FE6EC8}"/>
    <hyperlink ref="Q793" r:id="rId510" xr:uid="{0FC83667-5182-4D95-AB05-B8B4D87556DA}"/>
    <hyperlink ref="Q794" r:id="rId511" xr:uid="{34F7F223-32FE-40B6-B7F6-0803E59FF977}"/>
    <hyperlink ref="Y795" r:id="rId512" display="Logan@desertservices.net" xr:uid="{A9F73D9E-8C83-45C4-9F2F-4867DA641F85}"/>
    <hyperlink ref="Q795" r:id="rId513" display="dave@pridecontractingllc.com" xr:uid="{EAC65024-E360-4B68-8938-B2E8C1EB5D26}"/>
    <hyperlink ref="Q796" r:id="rId514" xr:uid="{F5201440-1EE9-4AE8-B136-05E5A3C4DA8D}"/>
    <hyperlink ref="Y796" r:id="rId515" display="Logan@desertservices.net" xr:uid="{6E7A3174-449A-45BD-ACB9-9CD09637DAEB}"/>
    <hyperlink ref="Q797" r:id="rId516" xr:uid="{8381AB6E-EE95-42AB-8A91-E5543CC9B03C}"/>
    <hyperlink ref="Y797" r:id="rId517" display="Logan@desertservices.net" xr:uid="{7A7DEC0F-8042-4C6C-943A-3D3D14E26634}"/>
    <hyperlink ref="Q798" r:id="rId518" xr:uid="{67E0E5A5-6CF9-43BA-A24A-7779CA4E0955}"/>
    <hyperlink ref="Q799" r:id="rId519" display="JQUAID@ALLRESCO.COM" xr:uid="{590D5A1B-4A53-43C1-B06A-EA8DDA24E220}"/>
    <hyperlink ref="Y800" r:id="rId520" display="Logan@desertservices.net" xr:uid="{673B5599-3F5B-4B0A-8115-C7833C1C66D1}"/>
    <hyperlink ref="Y801" r:id="rId521" display="Logan@desertservices.net" xr:uid="{6EFE9ACD-9B36-4599-AEF9-B24CCB616F23}"/>
    <hyperlink ref="Q801" r:id="rId522" xr:uid="{ED876292-8077-46FE-90AC-97C6728580A4}"/>
    <hyperlink ref="Q802" r:id="rId523" display="bbrinkerhoff@chasse.us" xr:uid="{95577F12-0941-43D0-BB46-629AEB775D0C}"/>
    <hyperlink ref="Q803" r:id="rId524" display="timothy.hutter@laytonconstruction.com" xr:uid="{F3FA6A65-B1BA-4382-A70F-0EC8924CEA3A}"/>
    <hyperlink ref="Q804" r:id="rId525" xr:uid="{CDD299B1-AC28-459B-8CB3-8D328F8F0D3F}"/>
    <hyperlink ref="Y805" r:id="rId526" xr:uid="{9C59FAC7-1C5F-43D8-A74C-90C26C941FF8}"/>
    <hyperlink ref="Q805" r:id="rId527" xr:uid="{FCB72AA6-A660-4746-A08F-7CC2669B96B9}"/>
    <hyperlink ref="Q806" r:id="rId528" xr:uid="{7BE81077-6648-4CE5-BF4F-937FF3E32C13}"/>
    <hyperlink ref="Q807" r:id="rId529" xr:uid="{422D49D3-C3C2-4F71-A377-94356AC844B6}"/>
    <hyperlink ref="Y807" r:id="rId530" xr:uid="{BF022D18-4767-4B54-B112-FEA7537708C7}"/>
    <hyperlink ref="Q808" r:id="rId531" xr:uid="{F655D2AE-65F8-423C-BA65-FCAB71632FB6}"/>
    <hyperlink ref="Q809" r:id="rId532" display="ckeim@fclbuilders.com" xr:uid="{1D7DCBD9-23CA-4156-8DD4-26CAD106ADE5}"/>
    <hyperlink ref="Q810" r:id="rId533" xr:uid="{0ECB6BAA-010B-4C19-BC5C-1537282AC682}"/>
    <hyperlink ref="Q811" r:id="rId534" xr:uid="{BE5F05B1-52DB-4789-B27C-C7CBEACA57A6}"/>
    <hyperlink ref="Q812" r:id="rId535" display="KENNETH.FOSMOEN@LAYTONCONSTRUCTION.COM" xr:uid="{51E30592-83B7-4D4F-837C-FE0AE58FDA79}"/>
    <hyperlink ref="Q813" r:id="rId536" xr:uid="{09877CF7-49BE-4C42-B71D-6C72985164EF}"/>
    <hyperlink ref="Q814" r:id="rId537" display="pdauksis@willmeng.com" xr:uid="{64D0C480-09A5-41F1-A96B-DDA494F76DAC}"/>
    <hyperlink ref="Q815" r:id="rId538" xr:uid="{8BEE0032-F852-4906-AB9C-40D7666E896B}"/>
    <hyperlink ref="Y815" r:id="rId539" xr:uid="{BCA54293-F5C0-4E29-918F-504F4C88D246}"/>
    <hyperlink ref="Q816" r:id="rId540" xr:uid="{E957CEFF-7622-4E8D-8FE3-CB2A4209AA4E}"/>
    <hyperlink ref="Q817" r:id="rId541" xr:uid="{5DC0070B-2EF2-4C12-B6E9-00B462064FD7}"/>
    <hyperlink ref="Y817" r:id="rId542" xr:uid="{54D7DFE5-DA2B-429E-BB51-70D399129227}"/>
    <hyperlink ref="Q818" r:id="rId543" xr:uid="{94A45098-9379-4053-B241-51863154F336}"/>
    <hyperlink ref="Y818" r:id="rId544" xr:uid="{67AD72C5-C4A9-4FBE-A25B-251C22B8625C}"/>
    <hyperlink ref="Q819" r:id="rId545" xr:uid="{C02306A4-F979-4901-9C8B-1841CFDCAF3B}"/>
    <hyperlink ref="Q820" r:id="rId546" display="stomlinson@ewbinc.com;dkherrick@ewbinc.com;dhendrickson@ewbinc.com" xr:uid="{A73BD61D-07B1-484B-953E-19A822FB1BA1}"/>
    <hyperlink ref="Y821" r:id="rId547" display="Logan@desertservices.net" xr:uid="{AE60486B-E49A-4AFE-8FFF-BE071CBB6A76}"/>
    <hyperlink ref="Y821" r:id="rId548" display="Logan@desertservices.net" xr:uid="{671BE9F0-F4DF-45BF-ADCC-6107B7B317C2}"/>
    <hyperlink ref="Q821" r:id="rId549" xr:uid="{0BAF7D77-CA6A-4BB5-8F78-ECCD8038881D}"/>
    <hyperlink ref="Y822" r:id="rId550" display="Logan@desertservices.net" xr:uid="{E7C4B9B4-C05F-4679-B019-FAB0A6378ADD}"/>
    <hyperlink ref="Q822" r:id="rId551" xr:uid="{4EFC0D78-326C-44CB-B05B-3662EDAB57D6}"/>
    <hyperlink ref="Y822" r:id="rId552" display="Logan@desertservices.net" xr:uid="{69485B24-0AFE-42ED-AB80-F032773B83AA}"/>
    <hyperlink ref="Q823" r:id="rId553" xr:uid="{0F314CCC-63FA-457B-8DF1-28AB61C6F1EC}"/>
    <hyperlink ref="Q824" r:id="rId554" display="bdorge@fclbuilders.com" xr:uid="{BD806128-8F2C-4995-B265-D8831B284DDB}"/>
    <hyperlink ref="Q825" r:id="rId555" xr:uid="{FC8FC70A-0604-4994-A048-650BF1970EDD}"/>
    <hyperlink ref="Y826" r:id="rId556" display="Logan@desertservices.net" xr:uid="{C22922CE-E142-4216-BC7B-1D4958583F40}"/>
    <hyperlink ref="Y826" r:id="rId557" xr:uid="{F2673F61-2027-4210-80EE-8B04C184FAFB}"/>
    <hyperlink ref="Q826" r:id="rId558" xr:uid="{C6C308AC-8F13-489A-9917-FC8F4E182BC0}"/>
    <hyperlink ref="Y827" r:id="rId559" display="Logan@desertservices.net" xr:uid="{6FB56E2E-3531-4E7F-8497-252F91CE6393}"/>
    <hyperlink ref="Q827" r:id="rId560" xr:uid="{C16E51C8-D5F9-4F58-A0D5-54D7CA722B33}"/>
    <hyperlink ref="Y828" r:id="rId561" display="Logan@desertservices.net" xr:uid="{EBA49661-8D86-4930-B287-9AB8C458836D}"/>
    <hyperlink ref="Q828" r:id="rId562" xr:uid="{5F57CD77-7952-4033-A845-27B4B634A35D}"/>
    <hyperlink ref="Y829" r:id="rId563" display="Logan@desertservices.net" xr:uid="{3E53865E-5749-41EB-9C62-411F9D5C33E2}"/>
    <hyperlink ref="Q829" r:id="rId564" xr:uid="{25EE825F-E9D7-4FAF-B2ED-DA92563937BA}"/>
    <hyperlink ref="Q830" r:id="rId565" xr:uid="{B4370C39-9D77-44A1-83D2-FA86916FD144}"/>
    <hyperlink ref="Q831" r:id="rId566" display="dtonn@chasse.us" xr:uid="{BD8499F2-F414-474A-AC7A-0F27A98A98D9}"/>
    <hyperlink ref="Y832" r:id="rId567" display="Logan@desertservices.net" xr:uid="{823C3FDA-C379-4364-BF58-E6D4A5771ED6}"/>
    <hyperlink ref="Q832" r:id="rId568" xr:uid="{593FF76A-4173-4E7C-9965-FE646768A121}"/>
    <hyperlink ref="Q833" r:id="rId569" display="tmalafa@EmbreyDC.com;zhyde@embreydc.com" xr:uid="{0578600B-E02E-4BB3-9B4B-BADDB9261AEB}"/>
    <hyperlink ref="Q835" r:id="rId570" xr:uid="{9CF8547A-FF42-4B2C-9001-C6428D4CBA34}"/>
    <hyperlink ref="Y836" r:id="rId571" display="Logan@desertservices.net" xr:uid="{C38C294C-8933-4C10-95B0-77D9CC0CEF8F}"/>
    <hyperlink ref="Q836" r:id="rId572" xr:uid="{D38B6B32-16F5-4012-BF19-6A0FFCDB37B3}"/>
    <hyperlink ref="Y837" r:id="rId573" xr:uid="{5FDDE934-0E1D-4555-970B-CD0EB73FB472}"/>
    <hyperlink ref="Q837" r:id="rId574" xr:uid="{62496DDC-3692-4EE8-90CF-7D22DB683A2D}"/>
    <hyperlink ref="Y838" r:id="rId575" display="Logan@desertservices.net" xr:uid="{23552E75-AC15-4B35-9C2F-CDA4C8846895}"/>
    <hyperlink ref="Y838" r:id="rId576" display="Logan@desertservices.net" xr:uid="{C4F80560-9525-42ED-B64B-B7EA37BC025F}"/>
    <hyperlink ref="Q838" r:id="rId577" xr:uid="{34639F58-D7A8-45BA-9ADC-36B6BE43A1CF}"/>
    <hyperlink ref="Q839" r:id="rId578" xr:uid="{C14AFB18-FCA4-4567-AEFE-AEF6F5221323}"/>
    <hyperlink ref="Q841" r:id="rId579" xr:uid="{CD8A4443-537A-410D-8D6D-3B50F84BCA4E}"/>
    <hyperlink ref="Q842" r:id="rId580" xr:uid="{048CE970-00FC-49EB-9718-68808DB6C141}"/>
    <hyperlink ref="Y843" r:id="rId581" display="Logan@desertservices.net" xr:uid="{DEF47631-7273-4FC2-B8AF-BFB0DFBB58E8}"/>
    <hyperlink ref="Q843" r:id="rId582" xr:uid="{2F6AA54F-4D30-46A6-8989-0A57A052F8BC}"/>
    <hyperlink ref="Q844" r:id="rId583" xr:uid="{9690B177-C0FC-4A1B-A467-0F4A9CF22318}"/>
    <hyperlink ref="Y845" r:id="rId584" display="Logan@desertservices.net" xr:uid="{D350DF4F-9E36-4370-A7E9-E33B14AB08CC}"/>
    <hyperlink ref="Q845" r:id="rId585" display="kmatsuda@chasse.us" xr:uid="{8F0CE236-9002-4B38-9988-29AF9C2490D4}"/>
    <hyperlink ref="Q846" r:id="rId586" xr:uid="{3EC95DDF-A438-4E25-B876-59FC54E695E0}"/>
    <hyperlink ref="Q847" r:id="rId587" xr:uid="{2D6C2064-C114-4812-BA67-DD8A98C625E8}"/>
    <hyperlink ref="Q848" r:id="rId588" xr:uid="{9BA062F2-0664-41DE-9C59-0CE74C48D971}"/>
    <hyperlink ref="Q849" r:id="rId589" xr:uid="{31A9A0F5-F9EF-4B11-B01A-C9374D8272FE}"/>
    <hyperlink ref="Q850" r:id="rId590" xr:uid="{1215C2A3-E2B3-4FD7-B24D-96B93A141C71}"/>
    <hyperlink ref="Q851" r:id="rId591" display="mailto:l.piatz@vequity.com" xr:uid="{1A99FD93-529B-4D94-982C-FFCD2F26B2BB}"/>
    <hyperlink ref="Q852" r:id="rId592" xr:uid="{511C4ECA-695B-4E6A-A0EB-81C8511EC189}"/>
    <hyperlink ref="Q853" r:id="rId593" display="jim.fay@big-d.com" xr:uid="{FDD5DA00-83BA-4822-BBF7-D6EBCFCD7162}"/>
    <hyperlink ref="Q854" r:id="rId594" xr:uid="{6C74EFCF-EEE0-464A-B622-3F388A49EA1F}"/>
    <hyperlink ref="Y855" r:id="rId595" display="Logan@desertservices.net" xr:uid="{E99A65F5-5DD4-4B9D-9880-8C2ED6B0E383}"/>
    <hyperlink ref="Q855" r:id="rId596" display="gatkin007@yahoo.com" xr:uid="{A1F5DE6F-6037-4316-8DE7-09BF3791A425}"/>
    <hyperlink ref="Y856" r:id="rId597" display="Logan@desertservices.net" xr:uid="{56A05942-097E-487A-8BDC-1C259AA19DC7}"/>
    <hyperlink ref="Y856" r:id="rId598" display="Logan@desertservices.net" xr:uid="{A46BDBD9-CF90-467F-892A-DF4EAE056EDC}"/>
    <hyperlink ref="Q857" r:id="rId599" xr:uid="{7B6E188F-F3DC-409B-99E6-CA7944FD1E44}"/>
    <hyperlink ref="Q858" r:id="rId600" xr:uid="{F2F4E6D5-C9BA-4BB8-8EB2-7A6CDDF85E26}"/>
    <hyperlink ref="Q859" r:id="rId601" xr:uid="{B3DA6AF1-32CB-4121-B144-59A8965F599B}"/>
    <hyperlink ref="Y860" r:id="rId602" xr:uid="{59608980-3585-492A-A550-9CF8806EB4A2}"/>
    <hyperlink ref="Q860" r:id="rId603" xr:uid="{4C0F4AB4-CCF5-4743-B58C-44FAD8BEE52D}"/>
    <hyperlink ref="Q861" r:id="rId604" display="enrique@prosteelstr.com;tomstitt@prosteelstr.com" xr:uid="{3BD2B16B-7B3F-4F5C-A55C-12BE5FD8D30B}"/>
    <hyperlink ref="Q862" r:id="rId605" xr:uid="{B2D3B318-DED7-4274-AF23-B1B64790AA76}"/>
    <hyperlink ref="Q863" r:id="rId606" xr:uid="{FFD24457-CBFC-4822-B9E3-C56585F8498B}"/>
    <hyperlink ref="Q864" r:id="rId607" xr:uid="{B5408EDC-0386-4C86-B820-797B9C57422D}"/>
    <hyperlink ref="Q865" r:id="rId608" xr:uid="{56E5271B-EA98-483E-9741-FC333624C910}"/>
    <hyperlink ref="Y866" r:id="rId609" display="Logan@desertservices.net" xr:uid="{6DE1AFC8-DABF-4726-858C-AF37DF6F58D6}"/>
    <hyperlink ref="Q867" r:id="rId610" xr:uid="{DCAB7948-344D-4094-9684-987BE9927A9A}"/>
    <hyperlink ref="Q868" r:id="rId611" display="jstewart@mtbprojects.com" xr:uid="{7A9102BF-71A2-4C09-9751-261364BEE566}"/>
    <hyperlink ref="Y869" r:id="rId612" display="Logan@desertservices.net" xr:uid="{459EDA76-1061-4117-ACA7-ED329E72E26E}"/>
    <hyperlink ref="Q869" r:id="rId613" display="mailto:gfreeman@guthriegeneral.com" xr:uid="{5245A56A-E49E-4B72-8135-48384A6DE71E}"/>
    <hyperlink ref="Q870" r:id="rId614" display="jbrown@pathcc.com;jcontes@pathcc.com;jstenzel@pathcc.com" xr:uid="{C9689291-2D63-4275-96AF-61B7F7FD1F05}"/>
    <hyperlink ref="Y872" r:id="rId615" display="Logan@desertservices.net" xr:uid="{D4D78EC3-761E-40B4-B855-6242CA2336F8}"/>
    <hyperlink ref="Q872" r:id="rId616" xr:uid="{6D94847B-5692-442A-8CC8-5742E1CAD376}"/>
    <hyperlink ref="Q873" r:id="rId617" xr:uid="{5B44EC68-6EBA-4BE1-A37B-8CE4C71B143F}"/>
    <hyperlink ref="Y874" r:id="rId618" display="Logan@desertservices.net" xr:uid="{A6878295-E5FF-4DDD-8155-779846BAF0EC}"/>
    <hyperlink ref="Q874" r:id="rId619" xr:uid="{E2C31ACF-FC26-4672-9961-EBECCF3AC10C}"/>
    <hyperlink ref="Y875" r:id="rId620" display="Logan@desertservices.net" xr:uid="{2823E00A-8CAC-4E87-8CCA-A03E3782C077}"/>
    <hyperlink ref="Q875" r:id="rId621" display="vmorrow@greenlightgc.com;tjollie@greenlightgc.com" xr:uid="{E7FE54D8-50DE-4D25-9FF7-CD92E2F49247}"/>
    <hyperlink ref="Q876" r:id="rId622" xr:uid="{771DA49A-97CF-49E4-849E-91D938706E7C}"/>
    <hyperlink ref="Y877" r:id="rId623" xr:uid="{4E8BA3EF-281A-47DE-AB84-2204D94CB00A}"/>
    <hyperlink ref="Q877" r:id="rId624" xr:uid="{7B27AAC0-E4C3-4C37-B52A-BFE6C3644124}"/>
    <hyperlink ref="Q878" r:id="rId625" xr:uid="{F686E504-2656-41B7-84AE-11F0701B4E4F}"/>
    <hyperlink ref="Q879" r:id="rId626" display="sterrazas@henselphelps.com;zach@redpointcontracting.com;TMartin4@henselphelps.com" xr:uid="{443DB40A-19BC-4AB6-9F9B-C2BCF62148E7}"/>
    <hyperlink ref="Y880" r:id="rId627" xr:uid="{247AD500-5B15-41E1-99A8-08195E5918E1}"/>
    <hyperlink ref="Q880" r:id="rId628" xr:uid="{EB2E4FCC-E9CE-43A6-A327-35357C138C05}"/>
    <hyperlink ref="Q881" r:id="rId629" xr:uid="{B9315C67-6E77-44E1-AF4E-205755201C24}"/>
    <hyperlink ref="Q883" r:id="rId630" xr:uid="{98870DEA-F040-4D59-BE89-FA61CAE3496C}"/>
    <hyperlink ref="Q884" r:id="rId631" xr:uid="{F483F906-C44B-4A9B-B198-FF39EE7063DE}"/>
    <hyperlink ref="Y885" r:id="rId632" display="Logan@desertservices.net" xr:uid="{19CC8693-87BC-404A-95A1-93358B7B9EA5}"/>
    <hyperlink ref="Q885" r:id="rId633" xr:uid="{059928AA-65CA-46D2-B04C-853BE28F9697}"/>
    <hyperlink ref="Y886" r:id="rId634" display="Logan@desertservices.net" xr:uid="{FDE4AEAA-EE52-4823-816B-8284153BB278}"/>
    <hyperlink ref="Q886" r:id="rId635" xr:uid="{DABC5BBC-90E1-4B76-9006-4377F1413110}"/>
    <hyperlink ref="Y887" r:id="rId636" xr:uid="{30B4B9CF-39ED-49FF-9AF7-A97487ACC222}"/>
    <hyperlink ref="Q887" r:id="rId637" display="mailto:wpace@wespacaz.com" xr:uid="{8C19C01E-4997-426D-ABAE-C70A4D03B3BD}"/>
    <hyperlink ref="Q888" r:id="rId638" xr:uid="{C015CD97-1AB2-44E3-BCF3-F6FCE9281A51}"/>
    <hyperlink ref="Q889" r:id="rId639" xr:uid="{B1F01AB4-46D1-4635-88C4-C32CA4AD14F2}"/>
    <hyperlink ref="Q890" r:id="rId640" xr:uid="{0C0F615E-10CA-4652-B7D7-7FCA54C32FB2}"/>
    <hyperlink ref="Q891" r:id="rId641" xr:uid="{4B0411EA-6CEB-47DA-B5EC-4A266D7421BB}"/>
    <hyperlink ref="Q892" r:id="rId642" xr:uid="{54F107C7-F293-4802-A3DC-03804A2DE98D}"/>
    <hyperlink ref="Q893" r:id="rId643" xr:uid="{CF02A6F2-170E-414F-A330-9D52B86D2E28}"/>
    <hyperlink ref="Q894" r:id="rId644" xr:uid="{0DB6BBAF-7590-496B-A706-273DB7C41D2D}"/>
    <hyperlink ref="Y895" r:id="rId645" xr:uid="{AB393E2F-C4C1-487B-B70D-D14C1CF1E34F}"/>
    <hyperlink ref="Q895" r:id="rId646" xr:uid="{6B02C116-E7C8-4339-B332-B91D08A11F35}"/>
    <hyperlink ref="Y896" r:id="rId647" display="Logan@desertservices.net" xr:uid="{9D1D0BC9-DF88-4ABB-B6E4-A2C3F172D32B}"/>
    <hyperlink ref="Q896" r:id="rId648" xr:uid="{CE4E31D8-249B-4843-883B-6345BAD6CCFC}"/>
    <hyperlink ref="Q897" r:id="rId649" display="dsimonson@markhamcontracting.com;jluttman@markhamcontracting.com" xr:uid="{5804F192-B1AF-4BCA-9EAE-D060EE6B4F73}"/>
    <hyperlink ref="Q898" r:id="rId650" xr:uid="{52AF28A1-13AD-4087-9428-7D1FEABA2E15}"/>
    <hyperlink ref="Q899" r:id="rId651" display="SSENATRO@MCRTRUST.COM;hsalgadomaldonado@MCRTRUST.COM;klask@mcrtrust.com;mcrandell@mcrtrust.com;jhallaran@mcrtrust.com;grekow@mcrtrust.com;jgiaramita@mcrtrust.com" xr:uid="{1E9E6EA8-0C97-4554-A0EA-FF6F2ADA79A8}"/>
    <hyperlink ref="Y899" r:id="rId652" display="Logan@desertservices.net" xr:uid="{BDA74A44-F3D3-42D7-B267-63659BC974EE}"/>
    <hyperlink ref="Q900" r:id="rId653" xr:uid="{EC8099FF-0AC1-4382-85F9-638453216BC4}"/>
    <hyperlink ref="Y901" r:id="rId654" display="Logan@desertservices.net" xr:uid="{ED9D23FF-0BE8-4CFA-B00F-BE92318C024D}"/>
    <hyperlink ref="Y903" r:id="rId655" display="Logan@desertservices.net" xr:uid="{10FA4ACF-88EF-4B30-A210-46BD6C9AF0E0}"/>
    <hyperlink ref="Q903" r:id="rId656" xr:uid="{066CE881-863F-4C0E-BFE8-012850EC65AD}"/>
    <hyperlink ref="Y904" r:id="rId657" display="Logan@desertservices.net" xr:uid="{6EA7A606-E5A1-45C4-B330-54795652BFEA}"/>
    <hyperlink ref="Q904" r:id="rId658" xr:uid="{74310715-C24D-414C-80D8-76DC5B9090B6}"/>
    <hyperlink ref="Y905" r:id="rId659" display="Logan@desertservices.net" xr:uid="{1929AAF2-B9A1-4CA6-8F0B-61C1A4DF9C1B}"/>
    <hyperlink ref="Y905" r:id="rId660" display="Logan@desertservices.net" xr:uid="{0A41FA6D-4AD8-48F9-8C9A-1E4A46195003}"/>
    <hyperlink ref="Q905" r:id="rId661" xr:uid="{288406B6-6A50-406C-B93C-38E074C85812}"/>
    <hyperlink ref="Q906" r:id="rId662" xr:uid="{244C20B8-87FA-42F2-B1F8-BAAF105D3664}"/>
    <hyperlink ref="Y907" r:id="rId663" xr:uid="{5D72C6B2-A277-4BFB-9144-05D4035E43CF}"/>
    <hyperlink ref="Q907" r:id="rId664" xr:uid="{D59C343D-859F-4042-B892-C4445752C75C}"/>
    <hyperlink ref="Y909" r:id="rId665" xr:uid="{057D299F-66E3-47F8-8927-9F15EE600758}"/>
    <hyperlink ref="Q909" r:id="rId666" xr:uid="{5C50A63D-6067-48D8-97B3-AB213A9EE8CE}"/>
    <hyperlink ref="Q910" r:id="rId667" xr:uid="{837B4D7B-6AEA-47C9-AC37-E80B83AEB120}"/>
    <hyperlink ref="Q911" r:id="rId668" xr:uid="{8D240D87-AC75-43BA-91EC-81170D06BE19}"/>
    <hyperlink ref="Y912" r:id="rId669" display="Logan@desertservices.net" xr:uid="{509A4467-9FC4-4CFA-831A-6C24F193D15A}"/>
    <hyperlink ref="Q912" r:id="rId670" xr:uid="{24DAC403-DA26-48CC-835D-EDAC42A7CF64}"/>
    <hyperlink ref="Y913" r:id="rId671" xr:uid="{8F17D57D-90F1-4AF9-A648-D2BCCBDF433A}"/>
    <hyperlink ref="Y913" r:id="rId672" display="Logan@desertservices.net" xr:uid="{0E5B951D-2EAB-4701-9FE4-8E97A43B9EE9}"/>
    <hyperlink ref="Q913" r:id="rId673" xr:uid="{78EE4D5E-B8E1-48CD-8BB4-3EBC3B4BC725}"/>
    <hyperlink ref="Q914" r:id="rId674" xr:uid="{3271B601-E49B-4516-81F3-A7A2F2E4AC19}"/>
    <hyperlink ref="Q915" r:id="rId675" display="mtraughber@haydonbc.com" xr:uid="{98EA8104-0EB5-4FFA-94D7-16EB97675FC5}"/>
    <hyperlink ref="Y916" r:id="rId676" display="Logan@desertservices.net" xr:uid="{07A7ACF0-5A0E-4640-9A8B-B5502293D2FA}"/>
    <hyperlink ref="Y916" r:id="rId677" display="Logan@desertservices.net" xr:uid="{C54BDF96-13BD-4173-8020-D1D592390B39}"/>
    <hyperlink ref="Q916" r:id="rId678" xr:uid="{F3377E3A-C7AD-490C-A1B2-CB40A7D2DD09}"/>
    <hyperlink ref="Y917" r:id="rId679" display="Logan@desertservices.net" xr:uid="{5110A784-2751-4FFB-9899-6EA7A57FAE3A}"/>
    <hyperlink ref="Y917" r:id="rId680" xr:uid="{D9C3140A-C54A-42FE-9F60-3D4F3CDA2E7C}"/>
    <hyperlink ref="Q917" r:id="rId681" xr:uid="{8063E1FC-26B7-4F3A-92EB-A2FC29B1A410}"/>
    <hyperlink ref="Q918" r:id="rId682" xr:uid="{C8C5726A-6A1C-45F5-9068-180C3070C81B}"/>
    <hyperlink ref="Y919" r:id="rId683" xr:uid="{BD6E6937-31A8-483B-82DE-D0551A3A8151}"/>
    <hyperlink ref="Q919" r:id="rId684" xr:uid="{C0EB8FC4-566A-4BCA-A796-C9DA429BC308}"/>
    <hyperlink ref="Y920" r:id="rId685" xr:uid="{AB4B51A1-4E40-45F2-B140-777BC17BAB16}"/>
    <hyperlink ref="Q921" r:id="rId686" xr:uid="{51187A27-EAC9-4EBC-9C4B-A51E91D57E16}"/>
    <hyperlink ref="Y921" r:id="rId687" display="Logan@desertservices.net" xr:uid="{E213D349-803B-4E4E-805D-78BB1DBA0E4A}"/>
    <hyperlink ref="Q922" r:id="rId688" display="agonzalez@embreydc.com;jkim@embreydc.com" xr:uid="{035BE6D2-96AA-4F71-838B-9782554D3F41}"/>
    <hyperlink ref="Y923" r:id="rId689" display="Logan@desertservices.net" xr:uid="{7A670667-2430-4EA1-91C2-DBC2AAFC3511}"/>
    <hyperlink ref="Q923" r:id="rId690" xr:uid="{7CF7BCD4-5C48-4C15-9ECD-9613FC582522}"/>
    <hyperlink ref="Y924" r:id="rId691" display="Logan@desertservices.net" xr:uid="{0D8A1D6C-5E87-4B94-9658-D68BB1F77009}"/>
    <hyperlink ref="Y924" r:id="rId692" xr:uid="{73D88D78-EC18-475A-B3B6-E67C53B9A021}"/>
    <hyperlink ref="Q924" r:id="rId693" xr:uid="{93017FAC-69FF-4D91-8F2B-EA7F57017D38}"/>
    <hyperlink ref="Y925" r:id="rId694" display="Logan@desertservices.net" xr:uid="{90D06E23-7E74-43F9-AC19-267DF578B8C3}"/>
    <hyperlink ref="Y925" r:id="rId695" xr:uid="{35A73132-04E6-4947-AED1-5A9AB9D71DED}"/>
    <hyperlink ref="Q925" r:id="rId696" xr:uid="{3A8BD037-85B5-409D-93C3-E4DAF3BF4D3D}"/>
    <hyperlink ref="Y926" r:id="rId697" display="Logan@desertservices.net" xr:uid="{50FB3BC0-5F5F-4814-814F-6C19CDB3A9CC}"/>
    <hyperlink ref="Y926" r:id="rId698" xr:uid="{91D90049-CF94-4FB5-803D-C5DD45BCC11A}"/>
    <hyperlink ref="Q927" r:id="rId699" xr:uid="{E48F59FA-02AF-420D-92BE-3ACDA233523D}"/>
    <hyperlink ref="Y928" r:id="rId700" display="Logan@desertservices.net" xr:uid="{61C52C17-D966-4ED4-B709-342F372996F6}"/>
    <hyperlink ref="Q929" r:id="rId701" display="john.miller@ryancompanies.com; " xr:uid="{F72E731B-89EF-4C85-B547-F0B0CEBB62A3}"/>
    <hyperlink ref="Q930" r:id="rId702" xr:uid="{B37114D1-550E-49A3-B349-402AFDFC5823}"/>
    <hyperlink ref="Y931" r:id="rId703" display="Logan@desertservices.net" xr:uid="{3C7489B6-AB0B-46F9-A7C5-2BF3F54AD826}"/>
    <hyperlink ref="Q932" r:id="rId704" xr:uid="{7889BBFE-180C-4389-A42D-B720650148B9}"/>
    <hyperlink ref="Q933" r:id="rId705" xr:uid="{47D196E5-C687-4965-BF1C-8230A533B588}"/>
    <hyperlink ref="Q935" r:id="rId706" xr:uid="{3F58BABF-9F7C-4A59-BA47-B0B49E09948D}"/>
    <hyperlink ref="Q936" r:id="rId707" xr:uid="{FC336ADF-BBD4-4814-B819-AC305693300C}"/>
    <hyperlink ref="Q937" r:id="rId708" display="kurt@usdevcon.com;barryp@usdevcon.com" xr:uid="{A3E2BD6A-A4AE-4E99-8E4E-40889E69E82F}"/>
    <hyperlink ref="Q938" r:id="rId709" display="alanarvizu@core construction;dillonhansford@coreconstruction.com" xr:uid="{9255C67C-BA6D-4C00-B6D9-F36AE0EF7C49}"/>
    <hyperlink ref="Y939" r:id="rId710" xr:uid="{CBD90654-AF0B-4815-866E-AD7E32CF395F}"/>
    <hyperlink ref="Q939" r:id="rId711" xr:uid="{10BD13F1-54A4-4F97-AEDE-2EE43140D707}"/>
    <hyperlink ref="Q940" r:id="rId712" xr:uid="{D7772F78-2D6F-4D8D-B26D-D4E850D0A41C}"/>
    <hyperlink ref="Q941" r:id="rId713" xr:uid="{F24A25B6-0180-46CC-998A-7D6C51E75BE7}"/>
    <hyperlink ref="Q942" r:id="rId714" display="kkelso@brycon.com" xr:uid="{F5E264D3-5C62-40D3-AA99-0C7699413663}"/>
    <hyperlink ref="Q943" r:id="rId715" xr:uid="{CA36A486-B0C8-4B26-9453-D7D93B7397B1}"/>
    <hyperlink ref="Y944" r:id="rId716" xr:uid="{71295954-C5BE-4319-8104-A50CD896ED61}"/>
    <hyperlink ref="Q945" r:id="rId717" xr:uid="{54934BD8-3F1C-460A-ACD3-19273FA3D6B2}"/>
    <hyperlink ref="Y945" r:id="rId718" display="Logan@desertservices.net" xr:uid="{CB0CCF45-347B-4390-9DBC-B42CA86974AB}"/>
    <hyperlink ref="Q946" r:id="rId719" xr:uid="{26B9AE2B-4F21-4E7E-9C91-55BAEA6E2A3B}"/>
    <hyperlink ref="Y947" r:id="rId720" display="Logan@desertservices.net" xr:uid="{8012E8B1-6991-461C-A486-887362737E56}"/>
    <hyperlink ref="Q947" r:id="rId721" xr:uid="{93657CBB-C45D-4455-BFC2-E1059A27F8D6}"/>
    <hyperlink ref="Q948" r:id="rId722" xr:uid="{84E20211-CCE6-4B2B-8350-0CDF827CEFF1}"/>
    <hyperlink ref="Y949" r:id="rId723" xr:uid="{1BA04E82-A7CB-4205-AE58-662330829EE9}"/>
    <hyperlink ref="Q949" r:id="rId724" xr:uid="{3F0CED1E-8516-43FD-A277-4B7218BE209A}"/>
    <hyperlink ref="Y950" r:id="rId725" xr:uid="{A875F77A-63F2-453D-B6FC-EF45B899F686}"/>
    <hyperlink ref="Q950" r:id="rId726" display="cmoffitt@willmeng.com;plillegraven@willmeng.com ;tgordon@willmeng.com" xr:uid="{BB2E1D36-BD89-4FCC-8416-8DA6BCF85B5E}"/>
    <hyperlink ref="Y951" r:id="rId727" display="Logan@desertservices.net" xr:uid="{2073CC52-F88F-4710-86E6-9BCB2C59EE00}"/>
    <hyperlink ref="Q951" r:id="rId728" xr:uid="{52FB7C86-D5CE-4F9A-AB80-AFA8C63FC869}"/>
    <hyperlink ref="Q952" r:id="rId729" xr:uid="{0ECF4AAA-55EC-4386-A18F-9A415414BDC7}"/>
    <hyperlink ref="Y953" r:id="rId730" display="Logan@desertservices.net" xr:uid="{3C2FD9B6-F414-47F5-B39F-3A21DAD676D4}"/>
    <hyperlink ref="Q953" r:id="rId731" xr:uid="{F045B8EB-2E13-42FB-9819-49610C382429}"/>
    <hyperlink ref="Q954" r:id="rId732" xr:uid="{545638AA-701F-4EEE-8E6C-6F7F786CAB04}"/>
    <hyperlink ref="Q955" r:id="rId733" xr:uid="{61F70084-B52A-4EBA-BE55-617F1CE8A0BD}"/>
    <hyperlink ref="Q956" r:id="rId734" xr:uid="{B4A36843-E467-4460-924E-4FD8B6BB02F8}"/>
    <hyperlink ref="Y957" r:id="rId735" xr:uid="{01D6AF85-37DE-4496-A42E-D182BBC61DFF}"/>
    <hyperlink ref="Q957" r:id="rId736" xr:uid="{87E4BA43-D38D-4DC7-BF79-F66E46B7AA0B}"/>
    <hyperlink ref="Y958" r:id="rId737" display="Logan@desertservices.net" xr:uid="{3F085A1D-D4CB-4842-88BB-B85CFE74C51C}"/>
    <hyperlink ref="Q958" r:id="rId738" xr:uid="{6E1989F5-6DEE-4402-AC0F-D8F9B14749B7}"/>
    <hyperlink ref="Y959" r:id="rId739" display="Logan@desertservices.net" xr:uid="{32F632DA-B34A-4887-A63E-1994D902D87B}"/>
    <hyperlink ref="Q959" r:id="rId740" xr:uid="{8F42F44C-D57F-4950-9AA5-DC5D11925210}"/>
    <hyperlink ref="Y960" r:id="rId741" display="Logan@desertservices.net" xr:uid="{A96BDC55-42EB-4EFC-987D-FAAC118E47DF}"/>
    <hyperlink ref="Q960" r:id="rId742" xr:uid="{764B89F2-5C4B-44FA-A456-4FBC3B02C61E}"/>
    <hyperlink ref="U961" r:id="rId743" xr:uid="{9C891FB0-3B71-46BA-B3F0-0AF5DD3D02BB}"/>
    <hyperlink ref="Y961" r:id="rId744" display="Logan@desertservices.net" xr:uid="{674BEAA5-3B1C-40ED-9412-5745B03E2C19}"/>
    <hyperlink ref="Q961" r:id="rId745" xr:uid="{85BE6FA9-C14D-47DD-9024-2AFB7ECD0178}"/>
    <hyperlink ref="Q962" r:id="rId746" xr:uid="{F715E713-ADD9-404A-B455-D14F3B2B4D85}"/>
    <hyperlink ref="Y963" r:id="rId747" xr:uid="{FC83EFD1-5732-462D-95A0-7ABF178C12F0}"/>
    <hyperlink ref="Q963" r:id="rId748" xr:uid="{E4AD4D73-F0EE-4A6F-9B00-0BE587B90BCD}"/>
    <hyperlink ref="Y965" r:id="rId749" display="Logan@desertservices.net" xr:uid="{08690362-4510-4AEE-92C7-6BEB3B425884}"/>
    <hyperlink ref="Y966" r:id="rId750" display="Logan@desertservices.net" xr:uid="{C87D8534-1CF8-48C7-9594-D995702DD818}"/>
    <hyperlink ref="Q966" r:id="rId751" xr:uid="{0A4646F3-8812-423A-8930-1CFDEA4E07BB}"/>
    <hyperlink ref="Q967" r:id="rId752" xr:uid="{8C7E9671-10AB-407E-AD62-F2F19455DFEB}"/>
    <hyperlink ref="Y968" r:id="rId753" xr:uid="{45E5437A-43F7-4541-BFAC-342C9F766E21}"/>
    <hyperlink ref="Q968" r:id="rId754" display="TWILLIAMS@WEONEIL.COM" xr:uid="{27554DF0-5A59-4B62-A679-2AAF6A8EF13F}"/>
    <hyperlink ref="Q969" r:id="rId755" xr:uid="{1B7CA4BB-28F2-47EB-8AE0-53D9CBA16FEC}"/>
    <hyperlink ref="Y971" r:id="rId756" xr:uid="{822720DD-5284-4C05-8593-73ABD571AEF3}"/>
    <hyperlink ref="Q971" r:id="rId757" xr:uid="{BAA401A5-AA7F-4924-9B16-B30B6B013190}"/>
    <hyperlink ref="Q972" r:id="rId758" xr:uid="{014863F3-815F-47C4-B007-FA8B70724819}"/>
    <hyperlink ref="Y972" r:id="rId759" display="Logan@desertservices.net" xr:uid="{F0164312-B2F4-4971-9AFB-87DA56E1D9B9}"/>
    <hyperlink ref="Q973" r:id="rId760" display="karl.carroll@ryancompanies.com" xr:uid="{A1C636DC-5211-42F6-A421-545CFAE813A5}"/>
    <hyperlink ref="Y973" r:id="rId761" xr:uid="{C8392321-A676-4E2F-987F-379EB14ABE12}"/>
    <hyperlink ref="Y974" r:id="rId762" xr:uid="{B8AFCCC7-6D7B-4B40-8FC5-02D485A1F7E2}"/>
    <hyperlink ref="Y975" r:id="rId763" display="Logan@desertservices.net" xr:uid="{8F6DC66A-AF95-4C03-8E45-1076E116E873}"/>
    <hyperlink ref="Y975" r:id="rId764" display="Logan@desertservices.net" xr:uid="{3C559E5C-1EF1-47AD-9EE1-84E7E6120B08}"/>
    <hyperlink ref="Q975" r:id="rId765" xr:uid="{087577B8-61F7-492F-8391-51BCD17704FD}"/>
    <hyperlink ref="Q976" r:id="rId766" display="WESTPARK18SITE@GMAIL.COM" xr:uid="{FF45F901-60E5-4421-8C47-09F04E578F6A}"/>
    <hyperlink ref="Q977" r:id="rId767" display="WESTPARK18SITE@GMAIL.COM" xr:uid="{48DE1D8C-F606-4023-81FF-74C64DAE08DE}"/>
    <hyperlink ref="Q978" r:id="rId768" xr:uid="{F6B0133A-AD48-45E8-AFA0-DB03E2E9CBB8}"/>
    <hyperlink ref="Q979" r:id="rId769" xr:uid="{D91B9967-AF11-4D78-969A-4185B5F156CA}"/>
    <hyperlink ref="Q980" r:id="rId770" xr:uid="{596BAF46-ECE3-4632-9B3C-F6BEA316EC92}"/>
    <hyperlink ref="Q981" r:id="rId771" xr:uid="{B5EF6EBB-7019-4C9D-A643-2667183D74BD}"/>
    <hyperlink ref="Q982" r:id="rId772" xr:uid="{A9F37916-3909-4E87-8BE4-D0E05D36E2B5}"/>
    <hyperlink ref="Q983" r:id="rId773" xr:uid="{CDE98712-F891-4300-855D-7F2738CFCB0A}"/>
    <hyperlink ref="Y984" r:id="rId774" display="Logan@desertservices.net" xr:uid="{141CF704-03A5-447E-997D-0098630A1D74}"/>
    <hyperlink ref="Q984" r:id="rId775" xr:uid="{483E5859-5C4C-4EE2-95DC-49A5593F7DCC}"/>
    <hyperlink ref="Y985" r:id="rId776" display="Logan@desertservices.net" xr:uid="{3CA09368-1F46-4A7A-A5AB-FFBBB369F424}"/>
    <hyperlink ref="Y985" r:id="rId777" display="Logan@desertservices.net" xr:uid="{7E6FC21D-0126-4349-B047-6F10558D5215}"/>
    <hyperlink ref="Q985" r:id="rId778" xr:uid="{BE29CA23-3E3A-4D91-AC38-62E05A85C46F}"/>
    <hyperlink ref="Y986" r:id="rId779" display="Logan@desertservices.net" xr:uid="{F38756F2-AC70-4F0D-B55F-C9C573CA89D8}"/>
    <hyperlink ref="Y986" r:id="rId780" xr:uid="{3C287B68-3471-44CD-835A-9D8F658DB346}"/>
    <hyperlink ref="Q986" r:id="rId781" xr:uid="{43B5538F-FA09-4DEE-89A7-8305E5A9E588}"/>
    <hyperlink ref="Q987" r:id="rId782" xr:uid="{D1FBFDF5-DF62-4772-812E-CBA286E7BEF6}"/>
    <hyperlink ref="Q988" r:id="rId783" xr:uid="{BD9A317F-E376-42DD-BF2D-1B6C9F993537}"/>
    <hyperlink ref="Q989" r:id="rId784" xr:uid="{4CF4F5CC-C4ED-4E25-B50A-F5CEEB6848EC}"/>
    <hyperlink ref="Q990" r:id="rId785" xr:uid="{33039D68-A821-46AA-B379-4A3727DEBDBC}"/>
    <hyperlink ref="Q991" r:id="rId786" xr:uid="{441756BD-D319-4F7D-B655-D4C56D796A26}"/>
    <hyperlink ref="Q992" r:id="rId787" xr:uid="{FA81640F-C655-4284-A91F-F58D05EA3261}"/>
    <hyperlink ref="Q994" r:id="rId788" xr:uid="{63C6AB55-39A7-4EBC-A959-46B7137DD5DF}"/>
    <hyperlink ref="Q995" r:id="rId789" xr:uid="{B5155092-EF78-44D0-BB7E-3F96450872AD}"/>
    <hyperlink ref="Y995" r:id="rId790" xr:uid="{95262C50-EE40-40EF-9686-9AC562D22646}"/>
    <hyperlink ref="Y996" r:id="rId791" display="Logan@desertservices.net" xr:uid="{D906E485-FAA1-40D9-AC16-DAFAFDE0E903}"/>
    <hyperlink ref="Q996" r:id="rId792" xr:uid="{0E4ADD7D-A634-4E2E-8F81-8EFDBB2CF712}"/>
    <hyperlink ref="Q997" r:id="rId793" xr:uid="{BE1A40C6-AD9B-499E-A0AB-3312B787D4D2}"/>
    <hyperlink ref="Q998" r:id="rId794" display="THOMAS.HARRELL@JEDUNN.COM" xr:uid="{2CC6BBAF-FD2A-4900-A1BD-1030E7708E46}"/>
    <hyperlink ref="Q1000" r:id="rId795" xr:uid="{37550520-39C4-4A7E-969F-8ED5F4A7416E}"/>
    <hyperlink ref="Y1001" r:id="rId796" display="Logan@desertservices.net" xr:uid="{DE20E080-A193-4916-82DB-1652BC8072A2}"/>
    <hyperlink ref="Q1001" r:id="rId797" xr:uid="{2543AA31-66CB-4C97-ABE6-2D707D14676C}"/>
    <hyperlink ref="Y1002" r:id="rId798" xr:uid="{8D0A88F9-F744-47F8-9E50-B1ABD2729E87}"/>
    <hyperlink ref="Q1002" r:id="rId799" xr:uid="{0202804F-7653-40F1-905B-C08580D76562}"/>
    <hyperlink ref="Q1003" r:id="rId800" xr:uid="{B1C0FA50-706F-4F8B-AF5D-FC7ACF630DAC}"/>
    <hyperlink ref="Y1004" r:id="rId801" xr:uid="{B4569B57-AFB1-4684-89FF-36294B08F3A6}"/>
    <hyperlink ref="Q1004" r:id="rId802" xr:uid="{FD68DC84-B371-49D3-8C14-170AE39DAFBB}"/>
    <hyperlink ref="Q1005" r:id="rId803" xr:uid="{BBA8A00F-5E8A-494E-A568-609A128B7DDE}"/>
    <hyperlink ref="Y1006" r:id="rId804" xr:uid="{0A71EC48-F14A-4BB7-9BE8-8A18A3C50255}"/>
    <hyperlink ref="Q1006" r:id="rId805" xr:uid="{A5FA3910-51C4-456B-B0B3-E03EBEB19F20}"/>
    <hyperlink ref="Y1007" r:id="rId806" display="Logan@desertservices.net" xr:uid="{4303A7C8-8692-436D-BAF8-A81A3890F39B}"/>
    <hyperlink ref="Q1007" r:id="rId807" xr:uid="{3A695A12-11F8-47E0-97EE-ABCEB7343D43}"/>
    <hyperlink ref="Y1008" r:id="rId808" display="Logan@desertservices.net" xr:uid="{3266E5C2-7697-4A68-9310-378ED7DB14D4}"/>
    <hyperlink ref="Q1008" r:id="rId809" xr:uid="{60459DF3-76DF-4633-8A90-49725E9703E5}"/>
    <hyperlink ref="Q1009" r:id="rId810" xr:uid="{81535F5C-E4F8-4F59-985F-94979B730BAE}"/>
    <hyperlink ref="Y1009" r:id="rId811" xr:uid="{A595CA25-8E3B-466C-AC53-E457553074B3}"/>
    <hyperlink ref="Q1010" r:id="rId812" xr:uid="{782A515D-BE0C-4F82-BB91-32A0D617E090}"/>
    <hyperlink ref="Y1010" r:id="rId813" display="Logan@desertservices.net" xr:uid="{0C335EA8-A8F6-4188-86F5-E41A06DCEEDC}"/>
    <hyperlink ref="Q1011" r:id="rId814" xr:uid="{AB01675A-1E1B-4CF2-8465-6953CE3559B9}"/>
    <hyperlink ref="Q1012" r:id="rId815" xr:uid="{20372BE8-8B4D-4795-BDA1-9492F6DCCEA9}"/>
    <hyperlink ref="Y1013" r:id="rId816" display="Logan@desertservices.net" xr:uid="{F615CEFE-48FA-43BB-8470-E5AB1B303C3B}"/>
    <hyperlink ref="Y1013" r:id="rId817" display="Logan@desertservices.net" xr:uid="{3F090AF3-1C37-4466-949B-60EFD834E3A9}"/>
    <hyperlink ref="Q1013" r:id="rId818" xr:uid="{992C2FB0-5670-49C9-824A-BC7A94F703D9}"/>
    <hyperlink ref="Q1014" r:id="rId819" xr:uid="{946F53E9-59B1-430E-93D2-B45288795B1A}"/>
    <hyperlink ref="Q1015" r:id="rId820" xr:uid="{CE1A3BFC-1A98-4670-A470-56FFAFD523D7}"/>
    <hyperlink ref="Q1016" r:id="rId821" xr:uid="{DF0AA0A5-1A04-42AC-A1F8-D72002F327AE}"/>
    <hyperlink ref="Q1017" r:id="rId822" xr:uid="{9CB2419F-77E0-448B-AE84-9A23BF5A14DE}"/>
    <hyperlink ref="Q1018" r:id="rId823" xr:uid="{EC1349D6-2CF9-4E2E-9FF6-A8A16D46681D}"/>
    <hyperlink ref="Q1019" r:id="rId824" xr:uid="{E3D116C3-3513-41C6-900E-A40473E4F076}"/>
    <hyperlink ref="Y1020" r:id="rId825" xr:uid="{3D5B8D80-E970-46A2-8137-7327E4B51DE6}"/>
    <hyperlink ref="Q1021" r:id="rId826" xr:uid="{110F0612-F092-4D34-B5EB-30F5E86315E7}"/>
    <hyperlink ref="Q1022" r:id="rId827" display="traebaca@coreconstruction.com" xr:uid="{299F71C2-2E32-4C9A-A4A5-89DA907D5B7B}"/>
    <hyperlink ref="Q1023" r:id="rId828" xr:uid="{7E9FA0FF-89A4-43F1-932F-293567C039DE}"/>
    <hyperlink ref="Q1024" r:id="rId829" xr:uid="{E3BAF082-9011-4117-9F0F-139DF2031E55}"/>
    <hyperlink ref="Q1025" r:id="rId830" xr:uid="{A969BB40-AAB8-4C47-9BFC-25F5393C77D5}"/>
    <hyperlink ref="Y1025" r:id="rId831" display="Logan@desertservices.net" xr:uid="{0096B975-F465-4394-9CD9-C8897A003A33}"/>
    <hyperlink ref="Q1026" r:id="rId832" xr:uid="{33D85259-8ED8-496D-A7DD-D7ED381ECAA0}"/>
    <hyperlink ref="Q1027" r:id="rId833" xr:uid="{BE5CBA86-999A-4733-86A9-C3795A5FCE3C}"/>
    <hyperlink ref="Y1028" r:id="rId834" xr:uid="{952D36A5-81D0-4641-8A30-18E5D028FB28}"/>
    <hyperlink ref="Q1028" r:id="rId835" xr:uid="{C56C3CFD-6277-4640-ADD6-A8683EC3FF8F}"/>
    <hyperlink ref="Q1029" r:id="rId836" xr:uid="{ED2F86EA-B6B0-4D25-B48A-DC75AF3DC6BE}"/>
    <hyperlink ref="Q1030" r:id="rId837" xr:uid="{72C4D2ED-1F34-4FE4-B6AC-48F6681F34ED}"/>
    <hyperlink ref="Q1031" r:id="rId838" xr:uid="{B4A50B2C-6113-47E2-AD39-57C06E1C9E44}"/>
    <hyperlink ref="Q1032" r:id="rId839" xr:uid="{57DEC333-D248-42B6-BA5E-3F7B399DCF3B}"/>
    <hyperlink ref="Q1033" r:id="rId840" xr:uid="{CB2EAF80-5EC4-46AC-889D-0B109E12BEFB}"/>
    <hyperlink ref="Y1034" r:id="rId841" xr:uid="{E09BFB39-8656-4B6C-B65F-404FC69FB2DD}"/>
    <hyperlink ref="Y1035" r:id="rId842" xr:uid="{2C83D75A-EC43-4CAF-BF85-8499411C0845}"/>
    <hyperlink ref="Q1035" r:id="rId843" xr:uid="{FCC99136-31D6-4E38-A1CF-B13A4C49F2A3}"/>
    <hyperlink ref="Y1036" r:id="rId844" display="Logan@desertservices.net" xr:uid="{86396D5A-9F82-4847-A92A-748A35981DDF}"/>
    <hyperlink ref="Y1036" r:id="rId845" display="Logan@desertservices.net" xr:uid="{1F7EA22A-F3A5-4635-805D-AADDC8A6CE54}"/>
    <hyperlink ref="Q1036" r:id="rId846" xr:uid="{2DE21D4C-BD5A-42EB-B5FF-F6BEE77D2A19}"/>
    <hyperlink ref="Q1037" r:id="rId847" xr:uid="{150CD1A3-B8AD-4F34-A8AF-BF458CCC51BD}"/>
    <hyperlink ref="Q1038" r:id="rId848" xr:uid="{752475A6-FD43-4087-AB29-887B0223DECD}"/>
    <hyperlink ref="Q1039" r:id="rId849" xr:uid="{9D2B4AAB-6ED6-44B3-B347-A19FD38B2188}"/>
    <hyperlink ref="Q1040" r:id="rId850" xr:uid="{5616BDD5-1C66-4BCF-872C-54E7FF45E86D}"/>
    <hyperlink ref="Q1041" r:id="rId851" xr:uid="{D9F65C86-E218-473D-BDD2-419BD43C2D8E}"/>
    <hyperlink ref="Q1042" r:id="rId852" xr:uid="{6759DA9D-1192-4D0B-B634-5970BE486D23}"/>
    <hyperlink ref="Q1043" r:id="rId853" xr:uid="{3D8C81AA-3A90-40BB-8AD1-804E6590AD43}"/>
    <hyperlink ref="Q1044" r:id="rId854" xr:uid="{E1627F10-A8E3-4B85-8F60-FAAF9B835714}"/>
    <hyperlink ref="Q1045" r:id="rId855" xr:uid="{5924788A-C044-4666-ABF9-DAC8C98CC784}"/>
    <hyperlink ref="Q1046" r:id="rId856" xr:uid="{CEFFC24F-D9E6-4E12-AD98-EE0DE6FCDD4A}"/>
    <hyperlink ref="Y1047" r:id="rId857" display="Logan@desertservices.net" xr:uid="{CDBAD97C-82F1-4B75-92EC-4F59959E7479}"/>
    <hyperlink ref="Q1047" r:id="rId858" display="mailto:bjablonsky@Mtbprojects.com" xr:uid="{81A49559-3722-45CC-99F8-47786F53D6C1}"/>
    <hyperlink ref="Q1048" r:id="rId859" xr:uid="{CBF986E2-745E-4B4B-AC56-B40EA5FF00FA}"/>
    <hyperlink ref="Q1049" r:id="rId860" xr:uid="{B72465DA-D50D-4DBA-A7B9-423D641EFC95}"/>
    <hyperlink ref="Q1050" r:id="rId861" xr:uid="{8A363608-B78F-4CED-9A47-409E46196FBD}"/>
    <hyperlink ref="Q1051" r:id="rId862" xr:uid="{2019CB0F-913A-4F72-85A5-896331DD89F1}"/>
    <hyperlink ref="Y1052" r:id="rId863" display="Logan@desertservices.net" xr:uid="{C17DE3D7-CF97-4A32-9632-DCCD8139E553}"/>
    <hyperlink ref="Q1052" r:id="rId864" xr:uid="{548E3B9D-25D3-423B-87F4-2418C5C1222A}"/>
    <hyperlink ref="Q1053" r:id="rId865" xr:uid="{4B5F8006-FEF5-4D6A-8316-4DB8ED467D95}"/>
    <hyperlink ref="Y1054" r:id="rId866" display="Logan@desertservices.net" xr:uid="{25321FC1-331A-4DBD-AA29-572A053D553E}"/>
    <hyperlink ref="Q1054" r:id="rId867" xr:uid="{8788646C-73CF-4BA8-B624-626A5BE2289A}"/>
    <hyperlink ref="Q1055" r:id="rId868" xr:uid="{A0BFCF0C-4479-4FAD-A247-E4701619EF74}"/>
    <hyperlink ref="Q1056" r:id="rId869" xr:uid="{3ACF2CB8-ED85-42B2-9230-DB5A90B2CCEC}"/>
    <hyperlink ref="Q1057" r:id="rId870" xr:uid="{993DEB08-C3CA-4997-8B62-6C668903F3E2}"/>
    <hyperlink ref="Q1058" r:id="rId871" xr:uid="{5DA65754-FCE6-4925-8093-60E61A4596DC}"/>
    <hyperlink ref="Q1059" r:id="rId872" xr:uid="{33A4BB3C-AEFE-445A-AF2A-2FEF38BF2358}"/>
    <hyperlink ref="Q1060" r:id="rId873" xr:uid="{9CC546E4-5173-4F71-B11F-0F432B77D2A5}"/>
    <hyperlink ref="Y1061" r:id="rId874" display="Logan@desertservices.net" xr:uid="{F3C85758-796B-4504-8C7A-15286FC5CECF}"/>
    <hyperlink ref="Y1061" r:id="rId875" display="Logan@desertservices.net" xr:uid="{0B451FD4-E864-421F-A68D-D2CDDD48026D}"/>
    <hyperlink ref="Q1061" r:id="rId876" xr:uid="{F1DFE357-2AC9-4ABD-BD62-88F662297DE5}"/>
    <hyperlink ref="Q1062" r:id="rId877" xr:uid="{BE4AD4DF-984B-4A7D-8691-22D301D573BC}"/>
    <hyperlink ref="Y1063" r:id="rId878" display="Logan@desertservices.net" xr:uid="{1DC892FF-757D-494E-B994-58B144216B26}"/>
    <hyperlink ref="Q1063" r:id="rId879" xr:uid="{253062E2-6B0D-4B02-8621-A8489F75E3BC}"/>
    <hyperlink ref="Y1064" r:id="rId880" display="Logan@desertservices.net" xr:uid="{FBD03E6B-BE4C-44D8-9051-D1559A0A660C}"/>
    <hyperlink ref="Q1065" r:id="rId881" xr:uid="{9DDC7365-3DF7-429D-85B4-EFBB49E6BF45}"/>
    <hyperlink ref="Q1066" r:id="rId882" xr:uid="{C23A8C08-025A-493F-9336-72FB1FFDEFC5}"/>
    <hyperlink ref="Q1067" r:id="rId883" xr:uid="{FE4FD074-8B06-4930-9860-5D4A956555D3}"/>
    <hyperlink ref="Q1068" r:id="rId884" xr:uid="{1716BB47-204F-45B8-B037-873A8390AB9D}"/>
    <hyperlink ref="Y1069" r:id="rId885" display="Logan@desertservices.net" xr:uid="{0C37B010-08A9-42C5-88B1-198132B43DF6}"/>
    <hyperlink ref="Q1069" r:id="rId886" xr:uid="{EF2688AD-6D01-42D8-80FE-8A8FEE3FCA5C}"/>
    <hyperlink ref="Y1070" r:id="rId887" display="Logan@desertservices.net" xr:uid="{E512FD09-769E-4670-B7A0-3A143E333D6F}"/>
    <hyperlink ref="Q1070" r:id="rId888" xr:uid="{A87D8C6B-693C-429F-B507-5F61D9697347}"/>
    <hyperlink ref="Q1071" r:id="rId889" xr:uid="{06AC7C20-EC95-4247-9B20-73D11F6D6B41}"/>
    <hyperlink ref="Q1072" r:id="rId890" xr:uid="{BE723487-8875-4485-8763-BCA554FFFD44}"/>
    <hyperlink ref="Q1073" r:id="rId891" xr:uid="{818F6003-5F43-481B-B621-04C45A3A012E}"/>
    <hyperlink ref="Q1074" r:id="rId892" xr:uid="{AB8F3B6E-755E-4E12-8ECE-6F55594A22AB}"/>
    <hyperlink ref="Y1075" r:id="rId893" display="Logan@desertservices.net" xr:uid="{9E4313AF-F9CD-4913-B050-82FC921B90DB}"/>
    <hyperlink ref="Y1075" r:id="rId894" display="Logan@desertservices.net" xr:uid="{89761D4A-64C3-484F-A186-4F82D815A4BE}"/>
    <hyperlink ref="Q1075" r:id="rId895" xr:uid="{C5C5FF18-E052-4F67-A807-86E7DBE12B91}"/>
    <hyperlink ref="Y1076" r:id="rId896" display="Logan@desertservices.net" xr:uid="{E6C60F86-FB60-49D5-A2AB-4AF32FC780DF}"/>
    <hyperlink ref="Y1076" r:id="rId897" xr:uid="{03380384-81BE-41E5-BAFA-621A2D15709F}"/>
    <hyperlink ref="Y1077" r:id="rId898" display="Logan@desertservices.net" xr:uid="{2D283EAC-E095-4AE6-999D-7D71E5112BB3}"/>
    <hyperlink ref="Q1077" r:id="rId899" xr:uid="{5E89706C-C814-4BA1-A8B4-A3B3C29E6F7A}"/>
    <hyperlink ref="Y1078" r:id="rId900" display="Logan@desertservices.net" xr:uid="{F68DCCB3-7593-45B1-A767-C2BDA771BEDF}"/>
    <hyperlink ref="Q1078" r:id="rId901" xr:uid="{51E56959-D466-4A3E-BF52-9EAEEFA8FD1E}"/>
    <hyperlink ref="Y1079" r:id="rId902" display="Logan@desertservices.net" xr:uid="{35810D13-4358-4993-AFE5-5FCB04CF17DF}"/>
    <hyperlink ref="Q1079" r:id="rId903" xr:uid="{C6E35C7E-BB9C-4851-8415-86E3DE783B58}"/>
    <hyperlink ref="Q1080" r:id="rId904" xr:uid="{12D431E8-6A64-4890-AB50-AE995C521B3C}"/>
    <hyperlink ref="Y1081" r:id="rId905" xr:uid="{FF711429-2537-4986-AAA0-94D3ADBF4687}"/>
    <hyperlink ref="Q1081" r:id="rId906" xr:uid="{15B54E52-87BD-47DA-84A3-1BD463AE4EC6}"/>
    <hyperlink ref="Q1082" r:id="rId907" xr:uid="{7A182024-6AC0-489B-97B2-0F40F3F2FCB3}"/>
    <hyperlink ref="Q1083" r:id="rId908" xr:uid="{933FE47C-045D-4FC1-918D-738D94CBEDEF}"/>
    <hyperlink ref="Q1084" r:id="rId909" xr:uid="{0672C61E-A7E3-4D10-BFDF-F1E65B33FDF5}"/>
    <hyperlink ref="Q1085" r:id="rId910" xr:uid="{9AE60486-E9F8-44AC-A50D-0CE7DD57667C}"/>
    <hyperlink ref="Y1086" r:id="rId911" xr:uid="{06354999-62D5-4CCD-8094-E89541465F53}"/>
    <hyperlink ref="Q1086" r:id="rId912" xr:uid="{877ED9AA-FCA9-426E-991F-8AFB81D8ECFF}"/>
    <hyperlink ref="Y1087" r:id="rId913" xr:uid="{B48602CD-67E8-48A0-A285-9CFDDA14BDBB}"/>
    <hyperlink ref="Q1087" r:id="rId914" xr:uid="{CCA8DB61-934E-4AC0-A1CC-9C24A4B72191}"/>
    <hyperlink ref="Q1088" r:id="rId915" xr:uid="{E81CB965-8304-4907-AFE4-7B9EC735237D}"/>
    <hyperlink ref="Q1089" r:id="rId916" xr:uid="{897A59CB-E44E-48F4-ABF0-120410249888}"/>
    <hyperlink ref="Q1090" r:id="rId917" xr:uid="{D30D5F78-247D-4490-B527-E3A036F1D149}"/>
    <hyperlink ref="Q1091" r:id="rId918" xr:uid="{7E7CFB31-89E8-4DE3-BE0B-08511B77D7BF}"/>
    <hyperlink ref="Y1092" r:id="rId919" display="Logan@desertservices.net" xr:uid="{6499658F-9ECC-4F1C-A21C-906C9294B8AC}"/>
    <hyperlink ref="Q1092" r:id="rId920" xr:uid="{52CEB357-7ABC-4D50-B568-A400BFEFFFAE}"/>
    <hyperlink ref="Q1093" r:id="rId921" xr:uid="{3D4AA1B5-C8C7-4B57-A849-0749858C638F}"/>
    <hyperlink ref="Y1094" r:id="rId922" xr:uid="{AD5AB211-869C-463E-B012-596F834ACE9B}"/>
    <hyperlink ref="Q1094" r:id="rId923" xr:uid="{BFC822C7-4512-4129-AEF4-6433482A1892}"/>
    <hyperlink ref="Y1095" r:id="rId924" display="Logan@desertservices.net" xr:uid="{E3C75720-BB75-45A3-9FDE-DA7F1E0EEDC0}"/>
    <hyperlink ref="Y1095" r:id="rId925" display="Logan@desertservices.net" xr:uid="{27B45E6B-679D-43AC-BEED-9FCED59A628E}"/>
    <hyperlink ref="Y1095" r:id="rId926" xr:uid="{6073D8F7-691D-41F8-B158-8AA444008C3B}"/>
    <hyperlink ref="Q1095" r:id="rId927" xr:uid="{8FD6368D-4BCB-4A9C-8F4D-B3BF5289A412}"/>
    <hyperlink ref="Q1096" r:id="rId928" xr:uid="{6DF662F6-4F59-4DB2-8510-CD580B49A65A}"/>
    <hyperlink ref="Q1097" r:id="rId929" xr:uid="{E8F41448-1597-4A1A-BF55-44D7498B0BFE}"/>
    <hyperlink ref="Y1098" r:id="rId930" display="Logan@desertservices.net" xr:uid="{83001831-1C72-4604-83F0-538EF5647E08}"/>
    <hyperlink ref="Q1098" r:id="rId931" xr:uid="{3A7E7287-8282-47A8-96C9-2EE347E4A2EA}"/>
  </hyperlinks>
  <pageMargins left="0.7" right="0.7" top="0.75" bottom="0.75" header="0.3" footer="0.3"/>
  <pageSetup orientation="portrait" r:id="rId932"/>
  <extLst>
    <ext xmlns:x14="http://schemas.microsoft.com/office/spreadsheetml/2009/9/main" uri="{CCE6A557-97BC-4b89-ADB6-D9C93CAAB3DF}">
      <x14:dataValidations xmlns:xm="http://schemas.microsoft.com/office/excel/2006/main" count="1">
        <x14:dataValidation type="list" allowBlank="1" showInputMessage="1" showErrorMessage="1" promptTitle="Country Code" prompt="Country Code must be ISO-Alpha 2 letter country code" xr:uid="{5D252FBA-67C7-424F-90F8-14A078218746}">
          <x14:formula1>
            <xm:f>Uploads!#REF!</xm:f>
          </x14:formula1>
          <xm:sqref>M949 M953 M961 M984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4"/>
  <sheetViews>
    <sheetView zoomScale="97" zoomScaleNormal="97" workbookViewId="0">
      <selection activeCell="D24" sqref="D24"/>
    </sheetView>
  </sheetViews>
  <sheetFormatPr defaultColWidth="8.85546875" defaultRowHeight="15"/>
  <cols>
    <col min="1" max="1" width="30.5703125" style="1" customWidth="1"/>
    <col min="2" max="2" width="69.85546875" style="15" customWidth="1"/>
    <col min="3" max="3" width="49.140625" style="29" bestFit="1" customWidth="1"/>
    <col min="4" max="4" width="20.7109375" style="4" customWidth="1"/>
    <col min="5" max="5" width="11.5703125" style="15" bestFit="1" customWidth="1"/>
    <col min="6" max="6" width="11.140625" style="15" customWidth="1"/>
    <col min="7" max="7" width="11.5703125" style="15" bestFit="1" customWidth="1"/>
    <col min="8" max="8" width="11.85546875" style="1" bestFit="1" customWidth="1"/>
    <col min="9" max="9" width="33.140625" style="4" bestFit="1" customWidth="1"/>
    <col min="10" max="10" width="16.42578125" style="1" bestFit="1" customWidth="1"/>
    <col min="11" max="11" width="12.5703125" style="1" bestFit="1" customWidth="1"/>
    <col min="12" max="12" width="6.5703125" style="1" bestFit="1" customWidth="1"/>
    <col min="13" max="13" width="8" style="1" bestFit="1" customWidth="1"/>
    <col min="14" max="14" width="5.7109375" style="4" bestFit="1" customWidth="1"/>
    <col min="15" max="15" width="12.42578125" style="4" bestFit="1" customWidth="1"/>
    <col min="16" max="16" width="30.42578125" style="1" customWidth="1"/>
    <col min="17" max="17" width="36" style="1" bestFit="1" customWidth="1"/>
    <col min="18" max="18" width="8.7109375" style="1" bestFit="1" customWidth="1"/>
    <col min="19" max="19" width="9.5703125" style="4" customWidth="1"/>
    <col min="20" max="20" width="9.7109375" style="4" customWidth="1"/>
    <col min="21" max="21" width="5.42578125" style="4" bestFit="1" customWidth="1"/>
    <col min="22" max="16384" width="8.85546875" style="4"/>
  </cols>
  <sheetData>
    <row r="1" spans="1:26" ht="30">
      <c r="A1" s="40" t="s">
        <v>0</v>
      </c>
      <c r="B1" s="22" t="s">
        <v>1</v>
      </c>
      <c r="C1" s="77" t="s">
        <v>2</v>
      </c>
      <c r="D1" s="16" t="s">
        <v>6041</v>
      </c>
      <c r="E1" s="90" t="s">
        <v>6042</v>
      </c>
      <c r="F1" s="90" t="s">
        <v>6043</v>
      </c>
      <c r="G1" s="90" t="s">
        <v>6044</v>
      </c>
      <c r="H1" s="40" t="s">
        <v>7</v>
      </c>
      <c r="I1" s="97" t="s">
        <v>8</v>
      </c>
      <c r="J1" s="44" t="s">
        <v>9</v>
      </c>
      <c r="K1" s="44" t="s">
        <v>10</v>
      </c>
      <c r="L1" s="40" t="s">
        <v>11</v>
      </c>
      <c r="M1" s="40" t="s">
        <v>12</v>
      </c>
      <c r="N1" s="13" t="s">
        <v>13</v>
      </c>
      <c r="O1" s="13" t="s">
        <v>14</v>
      </c>
      <c r="P1" s="16" t="s">
        <v>15</v>
      </c>
      <c r="Q1" s="62" t="s">
        <v>16</v>
      </c>
      <c r="R1" s="16" t="s">
        <v>17</v>
      </c>
      <c r="S1" s="23" t="s">
        <v>18</v>
      </c>
      <c r="T1" s="23" t="s">
        <v>19</v>
      </c>
      <c r="U1" s="24" t="s">
        <v>20</v>
      </c>
    </row>
    <row r="2" spans="1:26" ht="20.25" customHeight="1">
      <c r="A2" s="258" t="s">
        <v>812</v>
      </c>
      <c r="B2" s="29" t="s">
        <v>3512</v>
      </c>
      <c r="C2" s="4" t="s">
        <v>6045</v>
      </c>
      <c r="D2" s="130"/>
      <c r="E2" s="2">
        <v>45562</v>
      </c>
      <c r="F2" s="2">
        <f t="shared" ref="F2:F7" si="0">E2+14</f>
        <v>45576</v>
      </c>
      <c r="G2" s="269"/>
      <c r="H2" s="41">
        <v>3761</v>
      </c>
      <c r="I2" s="15" t="s">
        <v>6046</v>
      </c>
      <c r="J2" s="1" t="s">
        <v>916</v>
      </c>
      <c r="K2" s="1" t="s">
        <v>31</v>
      </c>
      <c r="L2" s="1">
        <v>85713</v>
      </c>
      <c r="M2" s="1" t="s">
        <v>32</v>
      </c>
      <c r="O2" s="25" t="s">
        <v>3515</v>
      </c>
      <c r="P2" s="1" t="s">
        <v>3516</v>
      </c>
      <c r="Q2" s="162" t="s">
        <v>3517</v>
      </c>
      <c r="R2" s="174"/>
      <c r="V2" s="4" t="s">
        <v>443</v>
      </c>
      <c r="W2" s="4" t="s">
        <v>37</v>
      </c>
      <c r="X2" s="4" t="s">
        <v>616</v>
      </c>
      <c r="Y2" s="235" t="s">
        <v>617</v>
      </c>
    </row>
    <row r="3" spans="1:26" ht="15" customHeight="1">
      <c r="A3" s="258" t="s">
        <v>812</v>
      </c>
      <c r="B3" s="29" t="s">
        <v>3512</v>
      </c>
      <c r="C3" s="4" t="s">
        <v>6047</v>
      </c>
      <c r="D3" s="2"/>
      <c r="E3" s="2">
        <v>45562</v>
      </c>
      <c r="F3" s="2">
        <f t="shared" si="0"/>
        <v>45576</v>
      </c>
      <c r="G3" s="269"/>
      <c r="H3" s="41" t="s">
        <v>184</v>
      </c>
      <c r="I3" s="15" t="s">
        <v>3514</v>
      </c>
      <c r="J3" s="1" t="s">
        <v>916</v>
      </c>
      <c r="K3" s="1" t="s">
        <v>31</v>
      </c>
      <c r="M3" s="1" t="s">
        <v>32</v>
      </c>
      <c r="O3" s="236" t="s">
        <v>3515</v>
      </c>
      <c r="P3" s="1" t="s">
        <v>3516</v>
      </c>
      <c r="Q3" s="162" t="s">
        <v>3517</v>
      </c>
      <c r="R3" s="174"/>
      <c r="V3" s="4" t="s">
        <v>443</v>
      </c>
      <c r="W3" s="4" t="s">
        <v>37</v>
      </c>
      <c r="X3" s="4" t="s">
        <v>616</v>
      </c>
      <c r="Y3" s="235" t="s">
        <v>617</v>
      </c>
    </row>
    <row r="4" spans="1:26" ht="15" customHeight="1">
      <c r="A4" s="258" t="s">
        <v>812</v>
      </c>
      <c r="B4" s="29" t="s">
        <v>6048</v>
      </c>
      <c r="C4" s="158" t="s">
        <v>6049</v>
      </c>
      <c r="D4" s="2"/>
      <c r="E4" s="2">
        <v>45562</v>
      </c>
      <c r="F4" s="2">
        <f t="shared" si="0"/>
        <v>45576</v>
      </c>
      <c r="G4" s="2"/>
      <c r="H4" s="41">
        <v>12380</v>
      </c>
      <c r="I4" s="158" t="s">
        <v>6050</v>
      </c>
      <c r="J4" s="1" t="s">
        <v>6051</v>
      </c>
      <c r="K4" s="1" t="s">
        <v>31</v>
      </c>
      <c r="L4" s="1">
        <v>85755</v>
      </c>
      <c r="M4" s="1" t="s">
        <v>32</v>
      </c>
      <c r="O4" s="73"/>
      <c r="Q4" s="87"/>
      <c r="R4" s="31"/>
      <c r="V4" s="4" t="s">
        <v>443</v>
      </c>
      <c r="W4" s="4" t="s">
        <v>37</v>
      </c>
      <c r="X4" s="4" t="s">
        <v>616</v>
      </c>
      <c r="Y4" s="235" t="s">
        <v>617</v>
      </c>
    </row>
    <row r="5" spans="1:26">
      <c r="A5" s="258" t="s">
        <v>812</v>
      </c>
      <c r="B5" s="311" t="s">
        <v>6052</v>
      </c>
      <c r="C5" s="4" t="s">
        <v>6053</v>
      </c>
      <c r="D5" s="130"/>
      <c r="E5" s="2">
        <v>45716</v>
      </c>
      <c r="F5" s="2">
        <f t="shared" si="0"/>
        <v>45730</v>
      </c>
      <c r="G5" s="2" t="s">
        <v>42</v>
      </c>
      <c r="H5" s="41"/>
      <c r="I5" s="15" t="s">
        <v>6054</v>
      </c>
      <c r="J5" s="1" t="s">
        <v>916</v>
      </c>
      <c r="K5" s="1" t="s">
        <v>31</v>
      </c>
      <c r="L5" s="1">
        <v>85708</v>
      </c>
      <c r="M5" s="1" t="s">
        <v>32</v>
      </c>
      <c r="O5" s="1" t="s">
        <v>6055</v>
      </c>
      <c r="P5" s="1" t="s">
        <v>6056</v>
      </c>
      <c r="Q5" s="87" t="s">
        <v>6057</v>
      </c>
      <c r="R5" s="178">
        <v>98071</v>
      </c>
      <c r="V5" s="4" t="s">
        <v>443</v>
      </c>
      <c r="W5" s="4" t="s">
        <v>37</v>
      </c>
      <c r="X5" s="4" t="s">
        <v>616</v>
      </c>
      <c r="Y5" s="235" t="s">
        <v>617</v>
      </c>
    </row>
    <row r="6" spans="1:26">
      <c r="A6" s="164" t="s">
        <v>812</v>
      </c>
      <c r="B6" s="15" t="s">
        <v>2233</v>
      </c>
      <c r="C6" s="29" t="s">
        <v>6058</v>
      </c>
      <c r="D6" s="2"/>
      <c r="E6" s="2">
        <v>44987</v>
      </c>
      <c r="F6" s="2">
        <f t="shared" si="0"/>
        <v>45001</v>
      </c>
      <c r="G6" s="269"/>
      <c r="H6" s="1" t="s">
        <v>379</v>
      </c>
      <c r="I6" s="15" t="s">
        <v>6059</v>
      </c>
      <c r="J6" s="1" t="s">
        <v>837</v>
      </c>
      <c r="K6" s="1" t="s">
        <v>31</v>
      </c>
      <c r="L6" s="1">
        <v>85355</v>
      </c>
      <c r="M6" s="1" t="s">
        <v>32</v>
      </c>
      <c r="O6" s="1" t="s">
        <v>6060</v>
      </c>
      <c r="P6" s="1" t="s">
        <v>6061</v>
      </c>
      <c r="Q6" s="129" t="s">
        <v>6062</v>
      </c>
      <c r="R6" s="1">
        <v>94752</v>
      </c>
      <c r="V6" s="4" t="s">
        <v>443</v>
      </c>
      <c r="W6" s="4" t="s">
        <v>37</v>
      </c>
      <c r="X6" s="4" t="s">
        <v>616</v>
      </c>
      <c r="Y6" s="241" t="s">
        <v>617</v>
      </c>
      <c r="Z6" s="168"/>
    </row>
    <row r="7" spans="1:26">
      <c r="A7" s="164" t="s">
        <v>812</v>
      </c>
      <c r="B7" s="29" t="s">
        <v>194</v>
      </c>
      <c r="C7" s="4" t="s">
        <v>6063</v>
      </c>
      <c r="D7" s="257" t="s">
        <v>5786</v>
      </c>
      <c r="E7" s="2">
        <v>45155</v>
      </c>
      <c r="F7" s="2">
        <f t="shared" si="0"/>
        <v>45169</v>
      </c>
      <c r="G7" s="269"/>
      <c r="H7" s="41"/>
      <c r="I7" s="15" t="s">
        <v>6064</v>
      </c>
      <c r="J7" s="1" t="s">
        <v>844</v>
      </c>
      <c r="K7" s="1" t="s">
        <v>31</v>
      </c>
      <c r="M7" s="1" t="s">
        <v>32</v>
      </c>
      <c r="O7" s="1"/>
      <c r="Q7" s="268"/>
      <c r="R7" s="174"/>
      <c r="V7" s="4" t="s">
        <v>443</v>
      </c>
      <c r="W7" s="4" t="s">
        <v>37</v>
      </c>
      <c r="X7" s="4" t="s">
        <v>616</v>
      </c>
      <c r="Y7" s="235" t="s">
        <v>617</v>
      </c>
      <c r="Z7" s="167" t="s">
        <v>364</v>
      </c>
    </row>
    <row r="8" spans="1:26">
      <c r="A8" s="164" t="s">
        <v>812</v>
      </c>
      <c r="B8" s="29" t="s">
        <v>258</v>
      </c>
      <c r="C8" s="4" t="s">
        <v>6065</v>
      </c>
      <c r="D8" s="2"/>
      <c r="E8" s="26"/>
      <c r="F8" s="2"/>
      <c r="G8" s="269"/>
      <c r="H8" s="41">
        <v>207</v>
      </c>
      <c r="I8" s="15" t="s">
        <v>1135</v>
      </c>
      <c r="J8" s="1" t="s">
        <v>434</v>
      </c>
      <c r="K8" s="1" t="s">
        <v>31</v>
      </c>
      <c r="M8" s="1" t="s">
        <v>32</v>
      </c>
      <c r="O8" s="179"/>
      <c r="P8" s="179"/>
      <c r="Q8" s="263"/>
      <c r="R8" s="174"/>
      <c r="V8" s="4" t="s">
        <v>443</v>
      </c>
      <c r="W8" s="4" t="s">
        <v>37</v>
      </c>
      <c r="X8" s="4" t="s">
        <v>616</v>
      </c>
      <c r="Y8" s="235" t="s">
        <v>617</v>
      </c>
      <c r="Z8" s="167" t="s">
        <v>364</v>
      </c>
    </row>
    <row r="9" spans="1:26">
      <c r="A9" s="164" t="s">
        <v>812</v>
      </c>
      <c r="B9" s="311" t="s">
        <v>6066</v>
      </c>
      <c r="C9" s="4" t="s">
        <v>6067</v>
      </c>
      <c r="D9" s="2"/>
      <c r="E9" s="2"/>
      <c r="F9" s="2"/>
      <c r="G9" s="2"/>
      <c r="H9" s="41">
        <v>2825</v>
      </c>
      <c r="I9" s="15" t="s">
        <v>6068</v>
      </c>
      <c r="J9" s="1" t="s">
        <v>2696</v>
      </c>
      <c r="K9" s="1" t="s">
        <v>31</v>
      </c>
      <c r="L9" s="1">
        <v>85086</v>
      </c>
      <c r="M9" s="1" t="s">
        <v>32</v>
      </c>
      <c r="O9" s="1"/>
      <c r="Q9" s="98"/>
      <c r="R9" s="31"/>
      <c r="V9" s="4" t="s">
        <v>443</v>
      </c>
      <c r="W9" s="4" t="s">
        <v>37</v>
      </c>
      <c r="X9" s="4" t="s">
        <v>616</v>
      </c>
      <c r="Y9" s="235" t="s">
        <v>617</v>
      </c>
      <c r="Z9" s="167" t="s">
        <v>364</v>
      </c>
    </row>
    <row r="10" spans="1:26">
      <c r="A10" s="288" t="s">
        <v>812</v>
      </c>
      <c r="B10" s="158" t="s">
        <v>6069</v>
      </c>
      <c r="C10" s="158" t="s">
        <v>6070</v>
      </c>
      <c r="D10" s="158" t="s">
        <v>554</v>
      </c>
      <c r="E10" s="2">
        <v>45698</v>
      </c>
      <c r="F10" s="2">
        <f>E10+14</f>
        <v>45712</v>
      </c>
      <c r="G10" s="297" t="s">
        <v>28</v>
      </c>
      <c r="H10" s="297">
        <v>7007</v>
      </c>
      <c r="I10" s="158" t="s">
        <v>6071</v>
      </c>
      <c r="J10" s="297" t="s">
        <v>434</v>
      </c>
      <c r="K10" s="297" t="s">
        <v>31</v>
      </c>
      <c r="L10" s="297">
        <v>85020</v>
      </c>
      <c r="M10" s="297" t="s">
        <v>32</v>
      </c>
      <c r="N10" s="297" t="s">
        <v>554</v>
      </c>
      <c r="O10" s="297" t="s">
        <v>554</v>
      </c>
      <c r="P10" s="297" t="s">
        <v>554</v>
      </c>
      <c r="Q10" s="300" t="s">
        <v>554</v>
      </c>
      <c r="R10" s="322" t="s">
        <v>554</v>
      </c>
      <c r="S10" s="158" t="s">
        <v>554</v>
      </c>
      <c r="T10" s="158" t="s">
        <v>554</v>
      </c>
      <c r="U10" s="158" t="s">
        <v>554</v>
      </c>
      <c r="V10" s="158" t="s">
        <v>443</v>
      </c>
      <c r="W10" s="158" t="s">
        <v>37</v>
      </c>
      <c r="X10" s="158" t="s">
        <v>616</v>
      </c>
      <c r="Y10" s="300" t="s">
        <v>617</v>
      </c>
      <c r="Z10" s="307" t="s">
        <v>364</v>
      </c>
    </row>
    <row r="11" spans="1:26" ht="18" customHeight="1">
      <c r="A11" s="163" t="s">
        <v>25</v>
      </c>
      <c r="B11" s="29" t="s">
        <v>323</v>
      </c>
      <c r="C11" s="4" t="s">
        <v>6072</v>
      </c>
      <c r="D11" s="91"/>
      <c r="E11" s="2" t="s">
        <v>6073</v>
      </c>
      <c r="F11" s="2" t="s">
        <v>364</v>
      </c>
      <c r="G11" s="269"/>
      <c r="H11" s="41">
        <v>2177</v>
      </c>
      <c r="I11" s="15" t="s">
        <v>2827</v>
      </c>
      <c r="J11" s="1" t="s">
        <v>69</v>
      </c>
      <c r="K11" s="1" t="s">
        <v>31</v>
      </c>
      <c r="L11" s="1">
        <v>85286</v>
      </c>
      <c r="M11" s="1" t="s">
        <v>32</v>
      </c>
      <c r="O11" s="1" t="s">
        <v>6074</v>
      </c>
      <c r="P11" s="1" t="s">
        <v>6075</v>
      </c>
      <c r="Q11" s="173"/>
      <c r="R11" s="174"/>
      <c r="V11" s="4" t="s">
        <v>36</v>
      </c>
      <c r="W11" s="4" t="s">
        <v>37</v>
      </c>
      <c r="X11" s="4" t="s">
        <v>38</v>
      </c>
      <c r="Y11" s="235" t="s">
        <v>39</v>
      </c>
      <c r="Z11" s="168"/>
    </row>
    <row r="12" spans="1:26">
      <c r="A12" s="163" t="s">
        <v>25</v>
      </c>
      <c r="B12" s="15" t="s">
        <v>1281</v>
      </c>
      <c r="C12" s="29" t="s">
        <v>6076</v>
      </c>
      <c r="E12" s="15" t="s">
        <v>6077</v>
      </c>
      <c r="G12" s="270"/>
      <c r="H12" s="1">
        <v>206</v>
      </c>
      <c r="I12" s="4" t="s">
        <v>6078</v>
      </c>
      <c r="J12" s="1" t="s">
        <v>415</v>
      </c>
      <c r="K12" s="1" t="s">
        <v>31</v>
      </c>
      <c r="L12" s="1">
        <v>85281</v>
      </c>
      <c r="M12" s="1" t="s">
        <v>32</v>
      </c>
      <c r="O12" s="4" t="s">
        <v>1301</v>
      </c>
      <c r="P12" s="1" t="s">
        <v>1322</v>
      </c>
      <c r="Q12" s="173"/>
      <c r="R12" s="173"/>
      <c r="V12" s="4" t="s">
        <v>36</v>
      </c>
      <c r="W12" s="4" t="s">
        <v>37</v>
      </c>
      <c r="X12" s="4" t="s">
        <v>38</v>
      </c>
      <c r="Y12" s="235" t="s">
        <v>39</v>
      </c>
      <c r="Z12" s="168"/>
    </row>
    <row r="13" spans="1:26">
      <c r="A13" s="163" t="s">
        <v>25</v>
      </c>
      <c r="B13" s="15" t="s">
        <v>226</v>
      </c>
      <c r="C13" s="29" t="s">
        <v>6079</v>
      </c>
      <c r="E13" s="15" t="s">
        <v>6080</v>
      </c>
      <c r="G13" s="270"/>
      <c r="H13" s="1" t="s">
        <v>43</v>
      </c>
      <c r="I13" s="29" t="s">
        <v>6081</v>
      </c>
      <c r="J13" s="1" t="s">
        <v>63</v>
      </c>
      <c r="K13" s="1" t="s">
        <v>31</v>
      </c>
      <c r="M13" s="1" t="s">
        <v>32</v>
      </c>
      <c r="O13" s="4" t="s">
        <v>6082</v>
      </c>
      <c r="P13" s="1" t="s">
        <v>6083</v>
      </c>
      <c r="Q13" s="273" t="s">
        <v>6084</v>
      </c>
      <c r="R13" s="173"/>
      <c r="V13" s="4" t="s">
        <v>36</v>
      </c>
      <c r="W13" s="4" t="s">
        <v>37</v>
      </c>
      <c r="X13" s="4" t="s">
        <v>38</v>
      </c>
      <c r="Y13" s="235" t="s">
        <v>39</v>
      </c>
      <c r="Z13" s="168"/>
    </row>
    <row r="14" spans="1:26">
      <c r="A14" s="163" t="s">
        <v>25</v>
      </c>
      <c r="B14" s="15" t="s">
        <v>4134</v>
      </c>
      <c r="C14" s="29" t="s">
        <v>6085</v>
      </c>
      <c r="G14" s="270"/>
      <c r="H14" s="1">
        <v>9</v>
      </c>
      <c r="I14" s="4" t="s">
        <v>6086</v>
      </c>
      <c r="J14" s="1" t="s">
        <v>69</v>
      </c>
      <c r="K14" s="1" t="s">
        <v>31</v>
      </c>
      <c r="L14" s="1">
        <v>85226</v>
      </c>
      <c r="M14" s="1" t="s">
        <v>32</v>
      </c>
      <c r="O14" s="4" t="s">
        <v>1439</v>
      </c>
      <c r="P14" s="1" t="s">
        <v>1440</v>
      </c>
      <c r="Q14" s="275"/>
      <c r="R14" s="173"/>
      <c r="V14" s="4" t="s">
        <v>36</v>
      </c>
      <c r="W14" s="4" t="s">
        <v>37</v>
      </c>
      <c r="X14" s="4" t="s">
        <v>38</v>
      </c>
      <c r="Y14" s="235" t="s">
        <v>39</v>
      </c>
      <c r="Z14" s="168"/>
    </row>
    <row r="15" spans="1:26">
      <c r="A15" s="163" t="s">
        <v>25</v>
      </c>
      <c r="B15" s="15" t="s">
        <v>6087</v>
      </c>
      <c r="C15" s="29" t="s">
        <v>6088</v>
      </c>
      <c r="D15" s="4" t="s">
        <v>5786</v>
      </c>
      <c r="E15" s="270"/>
      <c r="F15" s="270"/>
      <c r="G15" s="270"/>
      <c r="H15" s="1">
        <v>2359</v>
      </c>
      <c r="I15" s="4" t="s">
        <v>5316</v>
      </c>
      <c r="J15" s="1" t="s">
        <v>49</v>
      </c>
      <c r="K15" s="1" t="s">
        <v>31</v>
      </c>
      <c r="M15" s="1" t="s">
        <v>32</v>
      </c>
      <c r="O15" s="4" t="s">
        <v>5467</v>
      </c>
      <c r="P15" s="1" t="s">
        <v>6089</v>
      </c>
      <c r="Q15" s="173"/>
      <c r="R15" s="173"/>
      <c r="V15" s="4" t="s">
        <v>36</v>
      </c>
      <c r="W15" s="4" t="s">
        <v>37</v>
      </c>
      <c r="X15" s="4" t="s">
        <v>38</v>
      </c>
      <c r="Y15" s="235" t="s">
        <v>39</v>
      </c>
      <c r="Z15" s="168"/>
    </row>
    <row r="16" spans="1:26">
      <c r="A16" s="163" t="s">
        <v>25</v>
      </c>
      <c r="B16" s="15" t="s">
        <v>5679</v>
      </c>
      <c r="C16" s="29" t="s">
        <v>5777</v>
      </c>
      <c r="D16" s="4" t="s">
        <v>5786</v>
      </c>
      <c r="E16" s="270"/>
      <c r="F16" s="270"/>
      <c r="G16" s="270"/>
      <c r="H16" s="1">
        <v>15515</v>
      </c>
      <c r="I16" s="4" t="s">
        <v>5778</v>
      </c>
      <c r="J16" s="1" t="s">
        <v>398</v>
      </c>
      <c r="K16" s="1" t="s">
        <v>31</v>
      </c>
      <c r="L16" s="1">
        <v>85260</v>
      </c>
      <c r="M16" s="1" t="s">
        <v>32</v>
      </c>
      <c r="O16" s="4" t="s">
        <v>6090</v>
      </c>
      <c r="P16" s="1" t="s">
        <v>6091</v>
      </c>
      <c r="Q16" s="173"/>
      <c r="R16" s="173"/>
      <c r="V16" s="4" t="s">
        <v>36</v>
      </c>
      <c r="W16" s="4" t="s">
        <v>37</v>
      </c>
      <c r="X16" s="4" t="s">
        <v>38</v>
      </c>
      <c r="Y16" s="235" t="s">
        <v>39</v>
      </c>
    </row>
    <row r="17" spans="1:34">
      <c r="A17" s="163" t="s">
        <v>25</v>
      </c>
      <c r="B17" s="15" t="s">
        <v>4891</v>
      </c>
      <c r="C17" s="29" t="s">
        <v>4892</v>
      </c>
      <c r="D17" s="4" t="s">
        <v>5786</v>
      </c>
      <c r="E17" s="270"/>
      <c r="F17" s="270"/>
      <c r="G17" s="270"/>
      <c r="H17" s="1">
        <v>1880</v>
      </c>
      <c r="I17" s="4" t="s">
        <v>6092</v>
      </c>
      <c r="J17" s="1" t="s">
        <v>398</v>
      </c>
      <c r="K17" s="1" t="s">
        <v>31</v>
      </c>
      <c r="L17" s="1">
        <v>85256</v>
      </c>
      <c r="M17" s="1" t="s">
        <v>32</v>
      </c>
      <c r="O17" s="4" t="s">
        <v>6093</v>
      </c>
      <c r="P17" s="1" t="s">
        <v>6094</v>
      </c>
      <c r="Q17" s="173"/>
      <c r="R17" s="173"/>
      <c r="V17" s="4" t="s">
        <v>36</v>
      </c>
      <c r="W17" s="4" t="s">
        <v>37</v>
      </c>
      <c r="X17" s="4" t="s">
        <v>38</v>
      </c>
      <c r="Y17" s="235" t="s">
        <v>39</v>
      </c>
    </row>
    <row r="18" spans="1:34">
      <c r="A18" s="163" t="s">
        <v>25</v>
      </c>
      <c r="B18" s="15" t="s">
        <v>6095</v>
      </c>
      <c r="C18" s="29" t="s">
        <v>6096</v>
      </c>
      <c r="D18" s="4" t="s">
        <v>5786</v>
      </c>
      <c r="E18" s="270"/>
      <c r="F18" s="270"/>
      <c r="G18" s="270"/>
      <c r="H18" s="1">
        <v>1350</v>
      </c>
      <c r="I18" s="4" t="s">
        <v>6097</v>
      </c>
      <c r="J18" s="1" t="s">
        <v>69</v>
      </c>
      <c r="K18" s="1" t="s">
        <v>31</v>
      </c>
      <c r="L18" s="1">
        <v>85266</v>
      </c>
      <c r="M18" s="1" t="s">
        <v>32</v>
      </c>
      <c r="O18" s="4" t="s">
        <v>6098</v>
      </c>
      <c r="P18" s="1" t="s">
        <v>6099</v>
      </c>
      <c r="Q18" s="173"/>
      <c r="R18" s="173"/>
      <c r="V18" s="4" t="s">
        <v>36</v>
      </c>
      <c r="W18" s="4" t="s">
        <v>37</v>
      </c>
      <c r="X18" s="4" t="s">
        <v>38</v>
      </c>
      <c r="Y18" s="235" t="s">
        <v>39</v>
      </c>
    </row>
    <row r="19" spans="1:34">
      <c r="A19" s="163" t="s">
        <v>25</v>
      </c>
      <c r="B19" s="15" t="s">
        <v>150</v>
      </c>
      <c r="C19" s="29" t="s">
        <v>6100</v>
      </c>
      <c r="D19" s="26">
        <v>45607</v>
      </c>
      <c r="E19" s="270"/>
      <c r="F19" s="270"/>
      <c r="G19" s="270"/>
      <c r="H19" s="1">
        <v>662</v>
      </c>
      <c r="I19" s="4" t="s">
        <v>6101</v>
      </c>
      <c r="M19" s="1" t="s">
        <v>32</v>
      </c>
      <c r="O19" s="4" t="s">
        <v>6102</v>
      </c>
      <c r="P19" s="1" t="s">
        <v>6103</v>
      </c>
      <c r="Q19" s="173"/>
      <c r="R19" s="173"/>
      <c r="V19" s="4" t="s">
        <v>36</v>
      </c>
      <c r="W19" s="4" t="s">
        <v>37</v>
      </c>
      <c r="X19" s="4" t="s">
        <v>38</v>
      </c>
      <c r="Y19" s="235" t="s">
        <v>39</v>
      </c>
    </row>
    <row r="20" spans="1:34">
      <c r="A20" s="163" t="s">
        <v>25</v>
      </c>
      <c r="B20" s="15" t="s">
        <v>6104</v>
      </c>
      <c r="C20" s="29" t="s">
        <v>6105</v>
      </c>
      <c r="E20" s="270"/>
      <c r="F20" s="270"/>
      <c r="G20" s="270"/>
      <c r="H20" s="1" t="s">
        <v>6106</v>
      </c>
      <c r="I20" s="4" t="s">
        <v>367</v>
      </c>
      <c r="J20" s="1" t="s">
        <v>3082</v>
      </c>
      <c r="Q20" s="173"/>
      <c r="R20" s="173"/>
      <c r="V20" s="4" t="s">
        <v>36</v>
      </c>
      <c r="W20" s="4" t="s">
        <v>37</v>
      </c>
      <c r="X20" s="4" t="s">
        <v>38</v>
      </c>
      <c r="Y20" s="235" t="s">
        <v>39</v>
      </c>
    </row>
    <row r="21" spans="1:34">
      <c r="A21" s="163" t="s">
        <v>25</v>
      </c>
      <c r="B21" s="15" t="s">
        <v>4397</v>
      </c>
      <c r="C21" s="29" t="s">
        <v>5490</v>
      </c>
      <c r="D21" s="4" t="s">
        <v>6107</v>
      </c>
      <c r="E21" s="2">
        <v>45701</v>
      </c>
      <c r="F21" s="2">
        <f>E21+14</f>
        <v>45715</v>
      </c>
      <c r="G21" s="1" t="s">
        <v>42</v>
      </c>
      <c r="H21" s="1">
        <v>3380</v>
      </c>
      <c r="I21" s="4" t="s">
        <v>783</v>
      </c>
      <c r="J21" s="1" t="s">
        <v>398</v>
      </c>
      <c r="K21" s="1" t="s">
        <v>31</v>
      </c>
      <c r="L21" s="1">
        <v>85251</v>
      </c>
      <c r="M21" s="1" t="s">
        <v>32</v>
      </c>
      <c r="O21" s="4" t="s">
        <v>6108</v>
      </c>
      <c r="P21" s="1" t="s">
        <v>6109</v>
      </c>
      <c r="Q21" s="87" t="s">
        <v>6110</v>
      </c>
      <c r="R21" s="1">
        <v>104851</v>
      </c>
      <c r="V21" s="4" t="s">
        <v>36</v>
      </c>
      <c r="W21" s="4" t="s">
        <v>37</v>
      </c>
      <c r="X21" s="4" t="s">
        <v>38</v>
      </c>
      <c r="Y21" s="235" t="s">
        <v>39</v>
      </c>
    </row>
    <row r="22" spans="1:34">
      <c r="A22" s="163" t="s">
        <v>25</v>
      </c>
      <c r="B22" s="102" t="s">
        <v>2396</v>
      </c>
      <c r="C22" s="17" t="s">
        <v>6111</v>
      </c>
      <c r="D22" s="363" t="s">
        <v>6112</v>
      </c>
      <c r="E22" s="269" t="s">
        <v>6113</v>
      </c>
      <c r="F22" s="364" t="s">
        <v>364</v>
      </c>
      <c r="G22" s="364"/>
      <c r="H22" s="299">
        <v>10621</v>
      </c>
      <c r="I22" s="12" t="s">
        <v>6114</v>
      </c>
      <c r="J22" s="12" t="s">
        <v>63</v>
      </c>
      <c r="K22" s="12" t="s">
        <v>31</v>
      </c>
      <c r="L22" s="12">
        <v>85212</v>
      </c>
      <c r="M22" s="12" t="s">
        <v>32</v>
      </c>
      <c r="N22" s="17"/>
      <c r="O22" s="12" t="s">
        <v>5301</v>
      </c>
      <c r="P22" s="12" t="s">
        <v>6115</v>
      </c>
      <c r="Q22" s="362"/>
      <c r="R22" s="365"/>
      <c r="S22" s="17"/>
      <c r="T22" s="17"/>
      <c r="U22" s="17"/>
      <c r="V22" s="17" t="s">
        <v>36</v>
      </c>
      <c r="W22" s="17" t="s">
        <v>37</v>
      </c>
      <c r="X22" s="12" t="s">
        <v>59</v>
      </c>
      <c r="Y22" s="303" t="s">
        <v>39</v>
      </c>
      <c r="Z22" s="17"/>
      <c r="AA22" s="17"/>
      <c r="AB22" s="17"/>
      <c r="AC22" s="17"/>
      <c r="AD22" s="17"/>
      <c r="AE22" s="17"/>
      <c r="AF22" s="17"/>
      <c r="AG22" s="17"/>
      <c r="AH22" s="17"/>
    </row>
    <row r="23" spans="1:34">
      <c r="A23" s="163" t="s">
        <v>25</v>
      </c>
      <c r="B23" s="29" t="s">
        <v>6116</v>
      </c>
      <c r="C23" s="4" t="s">
        <v>6117</v>
      </c>
      <c r="D23" s="387" t="s">
        <v>6112</v>
      </c>
      <c r="E23" s="232">
        <v>45972</v>
      </c>
      <c r="F23" s="2">
        <f>E23+14</f>
        <v>45986</v>
      </c>
      <c r="G23" s="2"/>
      <c r="H23" s="41">
        <v>9175</v>
      </c>
      <c r="I23" s="1" t="s">
        <v>6118</v>
      </c>
      <c r="J23" s="1" t="s">
        <v>3082</v>
      </c>
      <c r="K23" s="1" t="s">
        <v>31</v>
      </c>
      <c r="L23" s="1">
        <v>86001</v>
      </c>
      <c r="M23" s="1" t="s">
        <v>32</v>
      </c>
      <c r="O23" s="1" t="s">
        <v>6119</v>
      </c>
      <c r="P23" s="1" t="s">
        <v>6120</v>
      </c>
      <c r="Q23" s="87" t="s">
        <v>6121</v>
      </c>
      <c r="R23" s="174"/>
      <c r="V23" s="4" t="s">
        <v>36</v>
      </c>
      <c r="W23" s="4" t="s">
        <v>37</v>
      </c>
      <c r="X23" s="4" t="s">
        <v>38</v>
      </c>
      <c r="Y23" s="235" t="s">
        <v>39</v>
      </c>
    </row>
    <row r="24" spans="1:34">
      <c r="A24" s="163" t="s">
        <v>25</v>
      </c>
      <c r="B24" s="29" t="s">
        <v>40</v>
      </c>
      <c r="C24" s="4" t="s">
        <v>6122</v>
      </c>
      <c r="D24" s="130" t="s">
        <v>6123</v>
      </c>
      <c r="E24" s="269"/>
      <c r="F24" s="269"/>
      <c r="G24" s="2"/>
      <c r="H24" s="41">
        <v>5131</v>
      </c>
      <c r="I24" s="1" t="s">
        <v>89</v>
      </c>
      <c r="J24" s="1" t="s">
        <v>63</v>
      </c>
      <c r="K24" s="1" t="s">
        <v>31</v>
      </c>
      <c r="L24" s="1">
        <v>85212</v>
      </c>
      <c r="M24" s="1" t="s">
        <v>32</v>
      </c>
      <c r="O24" s="1" t="s">
        <v>6124</v>
      </c>
      <c r="P24" s="1" t="s">
        <v>6125</v>
      </c>
      <c r="R24" s="31"/>
      <c r="V24" s="4" t="s">
        <v>36</v>
      </c>
      <c r="W24" s="4" t="s">
        <v>37</v>
      </c>
      <c r="X24" s="1" t="s">
        <v>59</v>
      </c>
      <c r="Y24" s="167" t="s">
        <v>39</v>
      </c>
    </row>
  </sheetData>
  <sortState xmlns:xlrd2="http://schemas.microsoft.com/office/spreadsheetml/2017/richdata2" ref="A1:AA9">
    <sortCondition ref="A1:A9"/>
  </sortState>
  <hyperlinks>
    <hyperlink ref="Y11" r:id="rId1" xr:uid="{1F20A517-44F6-420C-93E4-82AC32CE740A}"/>
    <hyperlink ref="Y12" r:id="rId2" xr:uid="{22B82007-9E13-4F65-994C-6193D2B00502}"/>
    <hyperlink ref="Q13" r:id="rId3" display="mailto:mhobbs@laytonconstruction.com" xr:uid="{EE368C30-51FB-4930-8B48-CF8E631A7526}"/>
    <hyperlink ref="Y13" r:id="rId4" xr:uid="{49C085B1-DE36-4641-B319-CF296D78315E}"/>
    <hyperlink ref="Y14" r:id="rId5" xr:uid="{05AD9AFB-DBD8-4CEB-AB91-35467EFC442B}"/>
    <hyperlink ref="Q3" r:id="rId6" display="mailto:gchavez@chasse.us" xr:uid="{DEB682D2-23F7-4F03-96E6-CC411E8E354E}"/>
    <hyperlink ref="Q2" r:id="rId7" xr:uid="{ED70B53A-3AA3-40E7-A064-7B7FB262B9D7}"/>
    <hyperlink ref="Y15" r:id="rId8" xr:uid="{6D815662-8F79-4F49-B46D-4880F841BC8A}"/>
    <hyperlink ref="Y16" r:id="rId9" xr:uid="{6F4E7488-3529-41CA-980A-298E79DAF1E7}"/>
    <hyperlink ref="Y17" r:id="rId10" xr:uid="{2DB76B18-0472-4744-9DEA-BE8D0072462E}"/>
    <hyperlink ref="Q6" r:id="rId11" display="DANIEL.PEREZ@IDMCOMPANIES.COM/JORDAN.GAITHER@IDMCOMPANIES.COM" xr:uid="{868349A6-C443-4716-99AF-40B4BCBBEBBF}"/>
    <hyperlink ref="Y6" r:id="rId12" display="Logan@desertservices.net" xr:uid="{DC4085AD-2BF9-4FBB-BDD2-7FDD27F4E104}"/>
    <hyperlink ref="Y18" r:id="rId13" xr:uid="{F03AB285-4DBB-4DAF-9E5B-477CE1ECFE11}"/>
    <hyperlink ref="Y19" r:id="rId14" xr:uid="{768CF0BF-1F49-41DA-BA9D-BF054A3DAB9E}"/>
    <hyperlink ref="Y20" r:id="rId15" xr:uid="{1AEE87EB-E4EC-422E-8BEE-DCEA702FAB44}"/>
    <hyperlink ref="Y21" r:id="rId16" xr:uid="{6548D472-6E4D-4BD3-9D6F-E7D0C5776FB1}"/>
    <hyperlink ref="Q21" r:id="rId17" xr:uid="{B49B3EDA-6ABF-4315-B983-E0FD7393EDD6}"/>
    <hyperlink ref="Q5" r:id="rId18" xr:uid="{421DDF08-4415-483F-BABC-AB5BFE36038C}"/>
    <hyperlink ref="Y22" r:id="rId19" display="Logan@desertservices.net" xr:uid="{02A29D50-28C0-4C51-A506-40B6DB016709}"/>
    <hyperlink ref="Y22" r:id="rId20" display="Logan@desertservices.net" xr:uid="{78DFD7D9-C4F7-462D-BE59-EB8ADB50E4F1}"/>
    <hyperlink ref="Q23" r:id="rId21" xr:uid="{A7D79A20-9897-4447-97D0-D75484B657E6}"/>
    <hyperlink ref="Y23" r:id="rId22" xr:uid="{459601D4-103A-4D42-B314-CAD5B1380002}"/>
    <hyperlink ref="Y24" r:id="rId23" display="Logan@desertservices.net" xr:uid="{F81D3DA1-F82D-47E2-BCE3-7D7B828720DA}"/>
  </hyperlinks>
  <pageMargins left="0.25" right="0.25" top="0.75" bottom="0.75" header="0.3" footer="0.3"/>
  <pageSetup scale="29" orientation="landscape" r:id="rId24"/>
  <legacyDrawing r:id="rId2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F481-51C6-497D-BECA-B3F0F5398EA3}">
  <dimension ref="A1:E66"/>
  <sheetViews>
    <sheetView topLeftCell="A61" workbookViewId="0">
      <selection activeCell="D71" sqref="D71"/>
    </sheetView>
  </sheetViews>
  <sheetFormatPr defaultRowHeight="17.25" customHeight="1"/>
  <cols>
    <col min="1" max="1" width="28.85546875" customWidth="1"/>
    <col min="2" max="2" width="35.7109375" customWidth="1"/>
    <col min="3" max="3" width="3.7109375" customWidth="1"/>
    <col min="4" max="4" width="29.5703125" customWidth="1"/>
    <col min="5" max="5" width="30.85546875" customWidth="1"/>
  </cols>
  <sheetData>
    <row r="1" spans="1:5" ht="17.25" customHeight="1">
      <c r="A1" s="29" t="s">
        <v>395</v>
      </c>
      <c r="B1" s="4" t="s">
        <v>396</v>
      </c>
      <c r="D1" s="29" t="s">
        <v>226</v>
      </c>
      <c r="E1" s="4" t="s">
        <v>227</v>
      </c>
    </row>
    <row r="2" spans="1:5" ht="17.25" customHeight="1">
      <c r="A2" s="29" t="s">
        <v>402</v>
      </c>
      <c r="B2" s="4" t="s">
        <v>403</v>
      </c>
      <c r="D2" s="29" t="s">
        <v>226</v>
      </c>
      <c r="E2" s="4" t="s">
        <v>231</v>
      </c>
    </row>
    <row r="3" spans="1:5" ht="17.25" customHeight="1">
      <c r="A3" s="29" t="s">
        <v>402</v>
      </c>
      <c r="B3" s="4" t="s">
        <v>409</v>
      </c>
      <c r="D3" s="15" t="s">
        <v>226</v>
      </c>
      <c r="E3" s="29" t="s">
        <v>600</v>
      </c>
    </row>
    <row r="4" spans="1:5" ht="17.25" customHeight="1">
      <c r="A4" s="29" t="s">
        <v>40</v>
      </c>
      <c r="B4" s="4" t="s">
        <v>41</v>
      </c>
      <c r="D4" s="102" t="s">
        <v>226</v>
      </c>
      <c r="E4" s="17" t="s">
        <v>1016</v>
      </c>
    </row>
    <row r="5" spans="1:5" ht="17.25" customHeight="1">
      <c r="A5" s="29" t="s">
        <v>40</v>
      </c>
      <c r="B5" s="4" t="s">
        <v>46</v>
      </c>
      <c r="D5" s="29" t="s">
        <v>226</v>
      </c>
      <c r="E5" s="4" t="s">
        <v>1021</v>
      </c>
    </row>
    <row r="6" spans="1:5" ht="17.25" customHeight="1">
      <c r="A6" s="29" t="s">
        <v>60</v>
      </c>
      <c r="B6" s="4" t="s">
        <v>61</v>
      </c>
      <c r="D6" s="29" t="s">
        <v>618</v>
      </c>
      <c r="E6" s="4" t="s">
        <v>619</v>
      </c>
    </row>
    <row r="7" spans="1:5" ht="17.25" customHeight="1">
      <c r="A7" s="15" t="s">
        <v>818</v>
      </c>
      <c r="B7" s="4" t="s">
        <v>819</v>
      </c>
      <c r="D7" s="29" t="s">
        <v>236</v>
      </c>
      <c r="E7" s="4" t="s">
        <v>237</v>
      </c>
    </row>
    <row r="8" spans="1:5" ht="17.25" customHeight="1">
      <c r="A8" s="311" t="s">
        <v>828</v>
      </c>
      <c r="B8" s="4" t="s">
        <v>829</v>
      </c>
      <c r="D8" s="29" t="s">
        <v>236</v>
      </c>
      <c r="E8" s="4" t="s">
        <v>242</v>
      </c>
    </row>
    <row r="9" spans="1:5" ht="17.25" customHeight="1">
      <c r="A9" s="29" t="s">
        <v>412</v>
      </c>
      <c r="B9" s="4" t="s">
        <v>419</v>
      </c>
      <c r="D9" s="29" t="s">
        <v>236</v>
      </c>
      <c r="E9" s="4" t="s">
        <v>247</v>
      </c>
    </row>
    <row r="10" spans="1:5" ht="17.25" customHeight="1">
      <c r="A10" s="29" t="s">
        <v>412</v>
      </c>
      <c r="B10" s="4" t="s">
        <v>835</v>
      </c>
      <c r="D10" s="29" t="s">
        <v>236</v>
      </c>
      <c r="E10" s="4" t="s">
        <v>624</v>
      </c>
    </row>
    <row r="11" spans="1:5" ht="17.25" customHeight="1">
      <c r="A11" s="15" t="s">
        <v>424</v>
      </c>
      <c r="B11" s="29" t="s">
        <v>425</v>
      </c>
      <c r="D11" s="29" t="s">
        <v>236</v>
      </c>
      <c r="E11" s="4" t="s">
        <v>629</v>
      </c>
    </row>
    <row r="12" spans="1:5" ht="17.25" customHeight="1">
      <c r="A12" s="29" t="s">
        <v>841</v>
      </c>
      <c r="B12" s="4" t="s">
        <v>842</v>
      </c>
      <c r="D12" s="29" t="s">
        <v>236</v>
      </c>
      <c r="E12" s="4" t="s">
        <v>634</v>
      </c>
    </row>
    <row r="13" spans="1:5" ht="17.25" customHeight="1">
      <c r="A13" s="15" t="s">
        <v>72</v>
      </c>
      <c r="B13" s="29" t="s">
        <v>73</v>
      </c>
      <c r="D13" s="29" t="s">
        <v>236</v>
      </c>
      <c r="E13" s="4" t="s">
        <v>639</v>
      </c>
    </row>
    <row r="14" spans="1:5" ht="17.25" customHeight="1">
      <c r="A14" s="29" t="s">
        <v>858</v>
      </c>
      <c r="B14" s="4" t="s">
        <v>859</v>
      </c>
      <c r="D14" s="29" t="s">
        <v>236</v>
      </c>
      <c r="E14" s="4" t="s">
        <v>643</v>
      </c>
    </row>
    <row r="15" spans="1:5" ht="17.25" customHeight="1">
      <c r="A15" s="15" t="s">
        <v>864</v>
      </c>
      <c r="B15" s="4" t="s">
        <v>865</v>
      </c>
      <c r="D15" s="15" t="s">
        <v>236</v>
      </c>
      <c r="E15" s="29" t="s">
        <v>1025</v>
      </c>
    </row>
    <row r="16" spans="1:5" ht="17.25" customHeight="1">
      <c r="A16" s="15" t="s">
        <v>87</v>
      </c>
      <c r="B16" s="4" t="s">
        <v>444</v>
      </c>
      <c r="D16" s="29" t="s">
        <v>236</v>
      </c>
      <c r="E16" s="4" t="s">
        <v>1030</v>
      </c>
    </row>
    <row r="17" spans="1:5" ht="17.25" customHeight="1">
      <c r="A17" s="15" t="s">
        <v>87</v>
      </c>
      <c r="B17" s="4" t="s">
        <v>449</v>
      </c>
      <c r="D17" s="29" t="s">
        <v>236</v>
      </c>
      <c r="E17" s="4" t="s">
        <v>648</v>
      </c>
    </row>
    <row r="18" spans="1:5" ht="17.25" customHeight="1">
      <c r="A18" s="29" t="s">
        <v>93</v>
      </c>
      <c r="B18" s="4" t="s">
        <v>94</v>
      </c>
      <c r="D18" s="29" t="s">
        <v>236</v>
      </c>
      <c r="E18" s="4" t="s">
        <v>1033</v>
      </c>
    </row>
    <row r="19" spans="1:5" ht="17.25" customHeight="1">
      <c r="A19" s="29" t="s">
        <v>93</v>
      </c>
      <c r="B19" s="4" t="s">
        <v>100</v>
      </c>
      <c r="D19" s="70" t="s">
        <v>1035</v>
      </c>
      <c r="E19" s="56" t="s">
        <v>1036</v>
      </c>
    </row>
    <row r="20" spans="1:5" ht="17.25" customHeight="1">
      <c r="A20" s="29" t="s">
        <v>93</v>
      </c>
      <c r="B20" s="4" t="s">
        <v>451</v>
      </c>
      <c r="D20" s="70" t="s">
        <v>1040</v>
      </c>
      <c r="E20" s="4" t="s">
        <v>1041</v>
      </c>
    </row>
    <row r="21" spans="1:5" ht="17.25" customHeight="1">
      <c r="A21" s="15" t="s">
        <v>111</v>
      </c>
      <c r="B21" s="4" t="s">
        <v>112</v>
      </c>
      <c r="D21" s="102" t="s">
        <v>258</v>
      </c>
      <c r="E21" s="17" t="s">
        <v>259</v>
      </c>
    </row>
    <row r="22" spans="1:5" ht="17.25" customHeight="1">
      <c r="A22" s="15" t="s">
        <v>461</v>
      </c>
      <c r="B22" s="29" t="s">
        <v>462</v>
      </c>
      <c r="D22" s="70" t="s">
        <v>258</v>
      </c>
      <c r="E22" s="4" t="s">
        <v>652</v>
      </c>
    </row>
    <row r="23" spans="1:5" ht="17.25" customHeight="1">
      <c r="A23" s="29" t="s">
        <v>467</v>
      </c>
      <c r="B23" s="4" t="s">
        <v>468</v>
      </c>
      <c r="D23" s="29" t="s">
        <v>258</v>
      </c>
      <c r="E23" s="4" t="s">
        <v>657</v>
      </c>
    </row>
    <row r="24" spans="1:5" ht="17.25" customHeight="1">
      <c r="A24" s="29" t="s">
        <v>126</v>
      </c>
      <c r="B24" s="4" t="s">
        <v>127</v>
      </c>
      <c r="D24" s="70" t="s">
        <v>258</v>
      </c>
      <c r="E24" s="4" t="s">
        <v>662</v>
      </c>
    </row>
    <row r="25" spans="1:5" ht="17.25" customHeight="1">
      <c r="A25" s="29" t="s">
        <v>126</v>
      </c>
      <c r="B25" s="4" t="s">
        <v>473</v>
      </c>
      <c r="D25" s="29" t="s">
        <v>258</v>
      </c>
      <c r="E25" s="4" t="s">
        <v>667</v>
      </c>
    </row>
    <row r="26" spans="1:5" ht="17.25" customHeight="1">
      <c r="A26" s="29" t="s">
        <v>126</v>
      </c>
      <c r="B26" s="4" t="s">
        <v>877</v>
      </c>
      <c r="D26" s="15" t="s">
        <v>672</v>
      </c>
      <c r="E26" s="4" t="s">
        <v>673</v>
      </c>
    </row>
    <row r="27" spans="1:5" ht="17.25" customHeight="1">
      <c r="A27" s="29" t="s">
        <v>478</v>
      </c>
      <c r="B27" s="4" t="s">
        <v>479</v>
      </c>
      <c r="D27" s="29" t="s">
        <v>270</v>
      </c>
      <c r="E27" s="4" t="s">
        <v>271</v>
      </c>
    </row>
    <row r="28" spans="1:5" ht="17.25" customHeight="1">
      <c r="A28" s="29" t="s">
        <v>478</v>
      </c>
      <c r="B28" s="4" t="s">
        <v>485</v>
      </c>
      <c r="D28" s="29" t="s">
        <v>276</v>
      </c>
      <c r="E28" s="4" t="s">
        <v>277</v>
      </c>
    </row>
    <row r="29" spans="1:5" ht="17.25" customHeight="1">
      <c r="A29" s="29" t="s">
        <v>478</v>
      </c>
      <c r="B29" s="4" t="s">
        <v>882</v>
      </c>
      <c r="D29" s="15" t="s">
        <v>276</v>
      </c>
      <c r="E29" s="29" t="s">
        <v>679</v>
      </c>
    </row>
    <row r="30" spans="1:5" ht="17.25" customHeight="1">
      <c r="A30" s="29" t="s">
        <v>478</v>
      </c>
      <c r="B30" s="4" t="s">
        <v>887</v>
      </c>
      <c r="D30" s="70" t="s">
        <v>1065</v>
      </c>
      <c r="E30" s="56" t="s">
        <v>1066</v>
      </c>
    </row>
    <row r="31" spans="1:5" ht="17.25" customHeight="1">
      <c r="A31" s="29" t="s">
        <v>478</v>
      </c>
      <c r="B31" s="4" t="s">
        <v>892</v>
      </c>
      <c r="D31" s="349" t="s">
        <v>1084</v>
      </c>
      <c r="E31" s="348" t="s">
        <v>1085</v>
      </c>
    </row>
    <row r="32" spans="1:5" ht="17.25" customHeight="1">
      <c r="A32" s="29" t="s">
        <v>490</v>
      </c>
      <c r="B32" s="4" t="s">
        <v>491</v>
      </c>
      <c r="D32" s="29" t="s">
        <v>1090</v>
      </c>
      <c r="E32" s="4" t="s">
        <v>1091</v>
      </c>
    </row>
    <row r="33" spans="1:5" ht="17.25" customHeight="1">
      <c r="A33" s="29" t="s">
        <v>898</v>
      </c>
      <c r="B33" s="4" t="s">
        <v>899</v>
      </c>
      <c r="D33" s="29" t="s">
        <v>1096</v>
      </c>
      <c r="E33" s="4" t="s">
        <v>1097</v>
      </c>
    </row>
    <row r="34" spans="1:5" ht="17.25" customHeight="1">
      <c r="A34" s="29" t="s">
        <v>139</v>
      </c>
      <c r="B34" s="4" t="s">
        <v>140</v>
      </c>
      <c r="D34" s="29" t="s">
        <v>302</v>
      </c>
      <c r="E34" s="4" t="s">
        <v>303</v>
      </c>
    </row>
    <row r="35" spans="1:5" ht="17.25" customHeight="1">
      <c r="A35" s="29" t="s">
        <v>139</v>
      </c>
      <c r="B35" s="4" t="s">
        <v>496</v>
      </c>
      <c r="D35" s="29" t="s">
        <v>1102</v>
      </c>
      <c r="E35" s="4" t="s">
        <v>1103</v>
      </c>
    </row>
    <row r="36" spans="1:5" ht="17.25" customHeight="1">
      <c r="A36" s="29" t="s">
        <v>139</v>
      </c>
      <c r="B36" s="4" t="s">
        <v>500</v>
      </c>
      <c r="D36" s="102" t="s">
        <v>690</v>
      </c>
      <c r="E36" s="17" t="s">
        <v>691</v>
      </c>
    </row>
    <row r="37" spans="1:5" ht="17.25" customHeight="1">
      <c r="A37" s="29" t="s">
        <v>144</v>
      </c>
      <c r="B37" s="4" t="s">
        <v>145</v>
      </c>
      <c r="D37" s="15" t="s">
        <v>1116</v>
      </c>
      <c r="E37" s="4" t="s">
        <v>1117</v>
      </c>
    </row>
    <row r="38" spans="1:5" ht="17.25" customHeight="1">
      <c r="A38" s="15" t="s">
        <v>150</v>
      </c>
      <c r="B38" s="29" t="s">
        <v>151</v>
      </c>
      <c r="D38" s="15" t="s">
        <v>308</v>
      </c>
      <c r="E38" s="4" t="s">
        <v>309</v>
      </c>
    </row>
    <row r="39" spans="1:5" ht="17.25" customHeight="1">
      <c r="A39" s="29" t="s">
        <v>907</v>
      </c>
      <c r="B39" s="4" t="s">
        <v>914</v>
      </c>
      <c r="D39" s="15" t="s">
        <v>308</v>
      </c>
      <c r="E39" s="29" t="s">
        <v>315</v>
      </c>
    </row>
    <row r="40" spans="1:5" ht="17.25" customHeight="1">
      <c r="A40" s="29" t="s">
        <v>907</v>
      </c>
      <c r="B40" s="4" t="s">
        <v>920</v>
      </c>
      <c r="D40" s="15" t="s">
        <v>308</v>
      </c>
      <c r="E40" s="4" t="s">
        <v>319</v>
      </c>
    </row>
    <row r="41" spans="1:5" ht="17.25" customHeight="1">
      <c r="A41" s="15" t="s">
        <v>157</v>
      </c>
      <c r="B41" s="29" t="s">
        <v>158</v>
      </c>
      <c r="D41" s="29" t="s">
        <v>323</v>
      </c>
      <c r="E41" s="4" t="s">
        <v>324</v>
      </c>
    </row>
    <row r="42" spans="1:5" ht="17.25" customHeight="1">
      <c r="A42" s="29" t="s">
        <v>514</v>
      </c>
      <c r="B42" s="4" t="s">
        <v>515</v>
      </c>
      <c r="D42" s="29" t="s">
        <v>323</v>
      </c>
      <c r="E42" s="350" t="s">
        <v>329</v>
      </c>
    </row>
    <row r="43" spans="1:5" ht="17.25" customHeight="1">
      <c r="A43" s="29" t="s">
        <v>521</v>
      </c>
      <c r="B43" s="4" t="s">
        <v>522</v>
      </c>
      <c r="D43" s="29" t="s">
        <v>323</v>
      </c>
      <c r="E43" t="s">
        <v>696</v>
      </c>
    </row>
    <row r="44" spans="1:5" ht="17.25" customHeight="1">
      <c r="A44" s="29" t="s">
        <v>951</v>
      </c>
      <c r="B44" s="4" t="s">
        <v>952</v>
      </c>
      <c r="D44" s="29" t="s">
        <v>1122</v>
      </c>
      <c r="E44" s="4" t="s">
        <v>1123</v>
      </c>
    </row>
    <row r="45" spans="1:5" ht="17.25" customHeight="1">
      <c r="A45" s="70" t="s">
        <v>168</v>
      </c>
      <c r="B45" s="4" t="s">
        <v>169</v>
      </c>
      <c r="D45" s="15" t="s">
        <v>701</v>
      </c>
      <c r="E45" s="29" t="s">
        <v>702</v>
      </c>
    </row>
    <row r="46" spans="1:5" ht="17.25" customHeight="1">
      <c r="A46" s="29" t="s">
        <v>168</v>
      </c>
      <c r="B46" s="4" t="s">
        <v>957</v>
      </c>
      <c r="D46" s="29" t="s">
        <v>1145</v>
      </c>
      <c r="E46" s="4" t="s">
        <v>1146</v>
      </c>
    </row>
    <row r="47" spans="1:5" ht="17.25" customHeight="1">
      <c r="A47" s="29" t="s">
        <v>168</v>
      </c>
      <c r="B47" s="4" t="s">
        <v>962</v>
      </c>
      <c r="D47" s="29" t="s">
        <v>727</v>
      </c>
      <c r="E47" s="4" t="s">
        <v>728</v>
      </c>
    </row>
    <row r="48" spans="1:5" ht="17.25" customHeight="1">
      <c r="A48" s="29" t="s">
        <v>168</v>
      </c>
      <c r="B48" s="4" t="s">
        <v>967</v>
      </c>
      <c r="D48" s="29" t="s">
        <v>351</v>
      </c>
      <c r="E48" s="4" t="s">
        <v>352</v>
      </c>
    </row>
    <row r="49" spans="1:5" ht="17.25" customHeight="1">
      <c r="A49" s="29" t="s">
        <v>977</v>
      </c>
      <c r="B49" s="4" t="s">
        <v>978</v>
      </c>
      <c r="D49" s="29" t="s">
        <v>351</v>
      </c>
      <c r="E49" s="4" t="s">
        <v>738</v>
      </c>
    </row>
    <row r="50" spans="1:5" ht="17.25" customHeight="1">
      <c r="A50" s="29" t="s">
        <v>541</v>
      </c>
      <c r="B50" s="4" t="s">
        <v>542</v>
      </c>
      <c r="D50" s="398" t="s">
        <v>1169</v>
      </c>
      <c r="E50" s="369" t="s">
        <v>1170</v>
      </c>
    </row>
    <row r="51" spans="1:5" ht="17.25" customHeight="1">
      <c r="A51" s="29" t="s">
        <v>547</v>
      </c>
      <c r="B51" s="4" t="s">
        <v>548</v>
      </c>
      <c r="D51" s="15" t="s">
        <v>1174</v>
      </c>
      <c r="E51" s="430" t="s">
        <v>1175</v>
      </c>
    </row>
    <row r="52" spans="1:5" ht="17.25" customHeight="1">
      <c r="A52" s="158" t="s">
        <v>547</v>
      </c>
      <c r="B52" s="158" t="s">
        <v>553</v>
      </c>
      <c r="D52" s="376" t="s">
        <v>1174</v>
      </c>
      <c r="E52" s="348" t="s">
        <v>1180</v>
      </c>
    </row>
    <row r="53" spans="1:5" ht="17.25" customHeight="1">
      <c r="A53" s="15" t="s">
        <v>559</v>
      </c>
      <c r="B53" s="4" t="s">
        <v>560</v>
      </c>
      <c r="D53" s="29" t="s">
        <v>357</v>
      </c>
      <c r="E53" s="350" t="s">
        <v>358</v>
      </c>
    </row>
    <row r="54" spans="1:5" ht="17.25" customHeight="1">
      <c r="A54" s="70" t="s">
        <v>559</v>
      </c>
      <c r="B54" s="4" t="s">
        <v>983</v>
      </c>
      <c r="D54" s="15" t="s">
        <v>768</v>
      </c>
      <c r="E54" s="4" t="s">
        <v>769</v>
      </c>
    </row>
    <row r="55" spans="1:5" ht="17.25" customHeight="1">
      <c r="A55" s="29" t="s">
        <v>175</v>
      </c>
      <c r="B55" s="4" t="s">
        <v>176</v>
      </c>
      <c r="D55" s="29" t="s">
        <v>1185</v>
      </c>
      <c r="E55" s="4" t="s">
        <v>1186</v>
      </c>
    </row>
    <row r="56" spans="1:5" ht="17.25" customHeight="1">
      <c r="A56" s="29" t="s">
        <v>989</v>
      </c>
      <c r="B56" s="4" t="s">
        <v>990</v>
      </c>
      <c r="D56" s="29" t="s">
        <v>1185</v>
      </c>
      <c r="E56" s="326" t="s">
        <v>1191</v>
      </c>
    </row>
    <row r="57" spans="1:5" ht="17.25" customHeight="1">
      <c r="A57" s="29" t="s">
        <v>989</v>
      </c>
      <c r="B57" s="4" t="s">
        <v>995</v>
      </c>
      <c r="D57" s="29" t="s">
        <v>1185</v>
      </c>
      <c r="E57" t="s">
        <v>1197</v>
      </c>
    </row>
    <row r="58" spans="1:5" ht="17.25" customHeight="1">
      <c r="A58" s="15" t="s">
        <v>565</v>
      </c>
      <c r="B58" s="29" t="s">
        <v>566</v>
      </c>
      <c r="D58" s="29" t="s">
        <v>1185</v>
      </c>
      <c r="E58" s="4" t="s">
        <v>1202</v>
      </c>
    </row>
    <row r="59" spans="1:5" ht="17.25" customHeight="1">
      <c r="A59" s="29" t="s">
        <v>571</v>
      </c>
      <c r="B59" s="4" t="s">
        <v>572</v>
      </c>
      <c r="D59" s="29" t="s">
        <v>1185</v>
      </c>
      <c r="E59" s="4" t="s">
        <v>1203</v>
      </c>
    </row>
    <row r="60" spans="1:5" ht="17.25" customHeight="1">
      <c r="A60" s="15" t="s">
        <v>182</v>
      </c>
      <c r="B60" s="29" t="s">
        <v>183</v>
      </c>
      <c r="D60" s="15" t="s">
        <v>775</v>
      </c>
      <c r="E60" s="4" t="s">
        <v>1208</v>
      </c>
    </row>
    <row r="61" spans="1:5" ht="17.25" customHeight="1">
      <c r="A61" s="233" t="s">
        <v>182</v>
      </c>
      <c r="B61" s="119" t="s">
        <v>188</v>
      </c>
      <c r="D61" s="29" t="s">
        <v>781</v>
      </c>
      <c r="E61" s="4" t="s">
        <v>782</v>
      </c>
    </row>
    <row r="62" spans="1:5" ht="17.25" customHeight="1">
      <c r="A62" s="15" t="s">
        <v>577</v>
      </c>
      <c r="B62" s="29" t="s">
        <v>578</v>
      </c>
      <c r="D62" s="29" t="s">
        <v>781</v>
      </c>
      <c r="E62" s="4" t="s">
        <v>787</v>
      </c>
    </row>
    <row r="63" spans="1:5" ht="17.25" customHeight="1">
      <c r="A63" s="29" t="s">
        <v>194</v>
      </c>
      <c r="B63" s="4" t="s">
        <v>584</v>
      </c>
      <c r="D63" s="29" t="s">
        <v>1213</v>
      </c>
      <c r="E63" s="4" t="s">
        <v>1219</v>
      </c>
    </row>
    <row r="64" spans="1:5" ht="17.25" customHeight="1">
      <c r="A64" s="29" t="s">
        <v>589</v>
      </c>
      <c r="B64" s="4" t="s">
        <v>590</v>
      </c>
      <c r="D64" s="118" t="s">
        <v>372</v>
      </c>
      <c r="E64" s="4" t="s">
        <v>373</v>
      </c>
    </row>
    <row r="65" spans="1:5" ht="17.25" customHeight="1">
      <c r="A65" s="144" t="s">
        <v>1010</v>
      </c>
      <c r="B65" s="107" t="s">
        <v>1011</v>
      </c>
      <c r="D65" s="29" t="s">
        <v>372</v>
      </c>
      <c r="E65" s="4" t="s">
        <v>378</v>
      </c>
    </row>
    <row r="66" spans="1:5" ht="17.25" customHeight="1">
      <c r="A66" s="348"/>
      <c r="B66" s="348"/>
      <c r="D66" s="118" t="s">
        <v>372</v>
      </c>
      <c r="E66" s="4" t="s">
        <v>384</v>
      </c>
    </row>
  </sheetData>
  <sortState xmlns:xlrd2="http://schemas.microsoft.com/office/spreadsheetml/2017/richdata2" ref="A1:B209">
    <sortCondition ref="A1:A20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8176-24CF-43E1-8322-810CD094B794}">
  <sheetPr>
    <pageSetUpPr fitToPage="1"/>
  </sheetPr>
  <dimension ref="A1:E39"/>
  <sheetViews>
    <sheetView workbookViewId="0">
      <selection activeCell="B15" sqref="B15"/>
    </sheetView>
  </sheetViews>
  <sheetFormatPr defaultColWidth="33.28515625" defaultRowHeight="15.75" customHeight="1"/>
  <cols>
    <col min="1" max="2" width="33.28515625" style="346"/>
    <col min="3" max="3" width="4.28515625" style="346" customWidth="1"/>
    <col min="4" max="16384" width="33.28515625" style="346"/>
  </cols>
  <sheetData>
    <row r="1" spans="1:5" ht="15.75" customHeight="1">
      <c r="A1" s="378" t="s">
        <v>26</v>
      </c>
      <c r="B1" s="348" t="s">
        <v>27</v>
      </c>
      <c r="C1" s="197"/>
      <c r="D1" s="378" t="s">
        <v>226</v>
      </c>
      <c r="E1" s="17" t="s">
        <v>605</v>
      </c>
    </row>
    <row r="2" spans="1:5" ht="15.75" customHeight="1">
      <c r="A2" s="378" t="s">
        <v>53</v>
      </c>
      <c r="B2" s="348" t="s">
        <v>54</v>
      </c>
      <c r="C2" s="383"/>
      <c r="D2" s="378" t="s">
        <v>226</v>
      </c>
      <c r="E2" s="419" t="s">
        <v>610</v>
      </c>
    </row>
    <row r="3" spans="1:5" ht="15.75" customHeight="1">
      <c r="A3" s="422" t="s">
        <v>813</v>
      </c>
      <c r="B3" s="348" t="s">
        <v>814</v>
      </c>
      <c r="C3" s="197"/>
      <c r="D3" s="422" t="s">
        <v>1046</v>
      </c>
      <c r="E3" s="17" t="s">
        <v>1047</v>
      </c>
    </row>
    <row r="4" spans="1:5" ht="15.75" customHeight="1">
      <c r="A4" s="378" t="s">
        <v>412</v>
      </c>
      <c r="B4" s="348" t="s">
        <v>413</v>
      </c>
      <c r="C4" s="383"/>
      <c r="D4" s="378" t="s">
        <v>252</v>
      </c>
      <c r="E4" s="102" t="s">
        <v>253</v>
      </c>
    </row>
    <row r="5" spans="1:5" ht="15.75" customHeight="1">
      <c r="A5" s="378" t="s">
        <v>66</v>
      </c>
      <c r="B5" s="348" t="s">
        <v>67</v>
      </c>
      <c r="C5" s="383"/>
      <c r="D5" s="378" t="s">
        <v>263</v>
      </c>
      <c r="E5" s="17" t="s">
        <v>264</v>
      </c>
    </row>
    <row r="6" spans="1:5" ht="15.75" customHeight="1">
      <c r="A6" s="423" t="s">
        <v>848</v>
      </c>
      <c r="B6" s="348" t="s">
        <v>849</v>
      </c>
      <c r="C6" s="383"/>
      <c r="D6" s="423" t="s">
        <v>1051</v>
      </c>
      <c r="E6" s="372" t="s">
        <v>1052</v>
      </c>
    </row>
    <row r="7" spans="1:5" ht="15.75" customHeight="1">
      <c r="A7" s="378" t="s">
        <v>852</v>
      </c>
      <c r="B7" s="348" t="s">
        <v>853</v>
      </c>
      <c r="C7" s="383"/>
      <c r="D7" s="423" t="s">
        <v>1051</v>
      </c>
      <c r="E7" s="17" t="s">
        <v>1056</v>
      </c>
    </row>
    <row r="8" spans="1:5" ht="15.75" customHeight="1">
      <c r="A8" s="424" t="s">
        <v>431</v>
      </c>
      <c r="B8" s="354" t="s">
        <v>432</v>
      </c>
      <c r="C8" s="383"/>
      <c r="D8" s="422" t="s">
        <v>1059</v>
      </c>
      <c r="E8" t="s">
        <v>1060</v>
      </c>
    </row>
    <row r="9" spans="1:5" ht="15.75" customHeight="1">
      <c r="A9" s="378" t="s">
        <v>80</v>
      </c>
      <c r="B9" s="348" t="s">
        <v>81</v>
      </c>
      <c r="C9" s="383"/>
      <c r="D9" s="378" t="s">
        <v>282</v>
      </c>
      <c r="E9" s="102" t="s">
        <v>283</v>
      </c>
    </row>
    <row r="10" spans="1:5" ht="15.75" customHeight="1">
      <c r="A10" s="378" t="s">
        <v>87</v>
      </c>
      <c r="B10" s="348" t="s">
        <v>88</v>
      </c>
      <c r="C10" s="381"/>
      <c r="D10" s="378" t="s">
        <v>288</v>
      </c>
      <c r="E10" t="s">
        <v>289</v>
      </c>
    </row>
    <row r="11" spans="1:5" ht="15.75" customHeight="1">
      <c r="A11" s="422" t="s">
        <v>87</v>
      </c>
      <c r="B11" s="348" t="s">
        <v>438</v>
      </c>
      <c r="C11" s="383"/>
      <c r="D11" s="423" t="s">
        <v>1071</v>
      </c>
      <c r="E11" s="419" t="s">
        <v>1072</v>
      </c>
    </row>
    <row r="12" spans="1:5" ht="15.75" customHeight="1">
      <c r="A12" s="378" t="s">
        <v>870</v>
      </c>
      <c r="B12" s="348" t="s">
        <v>871</v>
      </c>
      <c r="C12" s="383"/>
      <c r="D12" s="378" t="s">
        <v>295</v>
      </c>
      <c r="E12" t="s">
        <v>296</v>
      </c>
    </row>
    <row r="13" spans="1:5" ht="15.75" customHeight="1">
      <c r="A13" s="378" t="s">
        <v>105</v>
      </c>
      <c r="B13" s="348" t="s">
        <v>106</v>
      </c>
      <c r="C13" s="383"/>
      <c r="D13" s="422" t="s">
        <v>684</v>
      </c>
      <c r="E13" s="192" t="s">
        <v>685</v>
      </c>
    </row>
    <row r="14" spans="1:5" ht="15.75" customHeight="1">
      <c r="A14" s="378" t="s">
        <v>111</v>
      </c>
      <c r="B14" s="348" t="s">
        <v>456</v>
      </c>
      <c r="C14" s="383"/>
      <c r="D14" s="423" t="s">
        <v>1078</v>
      </c>
      <c r="E14" s="394" t="s">
        <v>1079</v>
      </c>
    </row>
    <row r="15" spans="1:5" ht="15.75" customHeight="1">
      <c r="A15" s="378" t="s">
        <v>117</v>
      </c>
      <c r="B15" s="348" t="s">
        <v>118</v>
      </c>
      <c r="C15" s="381"/>
      <c r="D15" s="424" t="s">
        <v>1108</v>
      </c>
      <c r="E15" s="427" t="s">
        <v>1109</v>
      </c>
    </row>
    <row r="16" spans="1:5" ht="15.75" customHeight="1">
      <c r="A16" s="378" t="s">
        <v>117</v>
      </c>
      <c r="B16" s="348" t="s">
        <v>124</v>
      </c>
      <c r="C16" s="381"/>
      <c r="D16" s="422" t="s">
        <v>1128</v>
      </c>
      <c r="E16" s="102" t="s">
        <v>1129</v>
      </c>
    </row>
    <row r="17" spans="1:5" ht="15.75" customHeight="1">
      <c r="A17" s="378" t="s">
        <v>133</v>
      </c>
      <c r="B17" s="348" t="s">
        <v>134</v>
      </c>
      <c r="C17" s="206"/>
      <c r="D17" s="423" t="s">
        <v>1133</v>
      </c>
      <c r="E17" s="394" t="s">
        <v>1134</v>
      </c>
    </row>
    <row r="18" spans="1:5" ht="15.75" customHeight="1">
      <c r="A18" s="378" t="s">
        <v>904</v>
      </c>
      <c r="B18" s="348" t="s">
        <v>905</v>
      </c>
      <c r="C18" s="197"/>
      <c r="D18" s="378" t="s">
        <v>707</v>
      </c>
      <c r="E18" s="17" t="s">
        <v>708</v>
      </c>
    </row>
    <row r="19" spans="1:5" ht="15.75" customHeight="1">
      <c r="A19" s="378" t="s">
        <v>907</v>
      </c>
      <c r="B19" s="348" t="s">
        <v>908</v>
      </c>
      <c r="C19" s="382"/>
      <c r="D19" s="378" t="s">
        <v>713</v>
      </c>
      <c r="E19" s="17" t="s">
        <v>714</v>
      </c>
    </row>
    <row r="20" spans="1:5" ht="15.75" customHeight="1">
      <c r="A20" s="422" t="s">
        <v>157</v>
      </c>
      <c r="B20" s="348" t="s">
        <v>163</v>
      </c>
      <c r="C20" s="383"/>
      <c r="D20" s="378" t="s">
        <v>1139</v>
      </c>
      <c r="E20" s="17" t="s">
        <v>1140</v>
      </c>
    </row>
    <row r="21" spans="1:5" ht="15.75" customHeight="1">
      <c r="A21" s="378" t="s">
        <v>157</v>
      </c>
      <c r="B21" s="348" t="s">
        <v>505</v>
      </c>
      <c r="C21" s="381"/>
      <c r="D21" s="426" t="s">
        <v>720</v>
      </c>
      <c r="E21" s="428" t="s">
        <v>721</v>
      </c>
    </row>
    <row r="22" spans="1:5" ht="15.75" customHeight="1">
      <c r="A22" s="378" t="s">
        <v>157</v>
      </c>
      <c r="B22" s="348" t="s">
        <v>510</v>
      </c>
      <c r="C22" s="420"/>
      <c r="D22" s="378" t="s">
        <v>334</v>
      </c>
      <c r="E22" s="17" t="s">
        <v>335</v>
      </c>
    </row>
    <row r="23" spans="1:5" ht="15.75" customHeight="1">
      <c r="A23" s="422" t="s">
        <v>925</v>
      </c>
      <c r="B23" s="378" t="s">
        <v>926</v>
      </c>
      <c r="C23" s="197"/>
      <c r="D23" s="425" t="s">
        <v>1151</v>
      </c>
      <c r="E23" s="276" t="s">
        <v>1152</v>
      </c>
    </row>
    <row r="24" spans="1:5" ht="15.75" customHeight="1">
      <c r="A24" s="378" t="s">
        <v>931</v>
      </c>
      <c r="B24" s="348" t="s">
        <v>932</v>
      </c>
      <c r="C24" s="380"/>
      <c r="D24" s="422" t="s">
        <v>1157</v>
      </c>
      <c r="E24" s="17" t="s">
        <v>1158</v>
      </c>
    </row>
    <row r="25" spans="1:5" ht="15.75" customHeight="1">
      <c r="A25" s="378" t="s">
        <v>938</v>
      </c>
      <c r="B25" s="348" t="s">
        <v>939</v>
      </c>
      <c r="C25" s="382"/>
      <c r="D25" s="378" t="s">
        <v>340</v>
      </c>
      <c r="E25" s="17" t="s">
        <v>341</v>
      </c>
    </row>
    <row r="26" spans="1:5" ht="15.75" customHeight="1">
      <c r="A26" s="378" t="s">
        <v>938</v>
      </c>
      <c r="B26" s="348" t="s">
        <v>943</v>
      </c>
      <c r="C26" s="381"/>
      <c r="D26" s="424" t="s">
        <v>344</v>
      </c>
      <c r="E26" s="427" t="s">
        <v>345</v>
      </c>
    </row>
    <row r="27" spans="1:5" ht="15.75" customHeight="1">
      <c r="A27" s="378" t="s">
        <v>938</v>
      </c>
      <c r="B27" s="348" t="s">
        <v>948</v>
      </c>
      <c r="C27" s="383"/>
      <c r="D27" s="423" t="s">
        <v>1163</v>
      </c>
      <c r="E27" s="429" t="s">
        <v>1164</v>
      </c>
    </row>
    <row r="28" spans="1:5" ht="15.75" customHeight="1">
      <c r="A28" s="378" t="s">
        <v>526</v>
      </c>
      <c r="B28" s="348" t="s">
        <v>527</v>
      </c>
      <c r="C28" s="383"/>
      <c r="D28" s="378" t="s">
        <v>351</v>
      </c>
      <c r="E28" s="17" t="s">
        <v>733</v>
      </c>
    </row>
    <row r="29" spans="1:5" ht="15.75" customHeight="1">
      <c r="A29" s="422" t="s">
        <v>534</v>
      </c>
      <c r="B29" s="348" t="s">
        <v>535</v>
      </c>
      <c r="C29" s="381"/>
      <c r="D29" s="378" t="s">
        <v>743</v>
      </c>
      <c r="E29" s="17" t="s">
        <v>744</v>
      </c>
    </row>
    <row r="30" spans="1:5" ht="15.75" customHeight="1">
      <c r="A30" s="378" t="s">
        <v>972</v>
      </c>
      <c r="B30" s="425" t="s">
        <v>973</v>
      </c>
      <c r="C30" s="383"/>
      <c r="D30" s="378" t="s">
        <v>743</v>
      </c>
      <c r="E30" s="17" t="s">
        <v>749</v>
      </c>
    </row>
    <row r="31" spans="1:5" ht="15.75" customHeight="1">
      <c r="A31" s="378" t="s">
        <v>1000</v>
      </c>
      <c r="B31" s="348" t="s">
        <v>1001</v>
      </c>
      <c r="C31" s="380"/>
      <c r="D31" s="424" t="s">
        <v>755</v>
      </c>
      <c r="E31" s="427" t="s">
        <v>756</v>
      </c>
    </row>
    <row r="32" spans="1:5" ht="15.75" customHeight="1">
      <c r="A32" s="423" t="s">
        <v>194</v>
      </c>
      <c r="B32" s="418" t="s">
        <v>195</v>
      </c>
      <c r="C32" s="380"/>
      <c r="D32" s="424" t="s">
        <v>761</v>
      </c>
      <c r="E32" s="427" t="s">
        <v>762</v>
      </c>
    </row>
    <row r="33" spans="1:5" ht="15.75" customHeight="1">
      <c r="A33" s="423" t="s">
        <v>194</v>
      </c>
      <c r="B33" s="418" t="s">
        <v>200</v>
      </c>
      <c r="C33" s="380"/>
      <c r="D33" s="422" t="s">
        <v>775</v>
      </c>
      <c r="E33" s="102" t="s">
        <v>776</v>
      </c>
    </row>
    <row r="34" spans="1:5" ht="15.75" customHeight="1">
      <c r="A34" s="423" t="s">
        <v>194</v>
      </c>
      <c r="B34" s="418" t="s">
        <v>205</v>
      </c>
      <c r="C34" s="421"/>
      <c r="D34" s="422" t="s">
        <v>365</v>
      </c>
      <c r="E34" s="192" t="s">
        <v>366</v>
      </c>
    </row>
    <row r="35" spans="1:5" ht="15.75" customHeight="1">
      <c r="A35" s="423" t="s">
        <v>194</v>
      </c>
      <c r="B35" s="418" t="s">
        <v>211</v>
      </c>
      <c r="C35" s="383"/>
      <c r="D35" s="378" t="s">
        <v>1213</v>
      </c>
      <c r="E35" s="17" t="s">
        <v>1214</v>
      </c>
    </row>
    <row r="36" spans="1:5" ht="15.75" customHeight="1">
      <c r="A36" s="378" t="s">
        <v>194</v>
      </c>
      <c r="B36" s="348" t="s">
        <v>1006</v>
      </c>
      <c r="C36" s="383"/>
      <c r="D36" s="378" t="s">
        <v>388</v>
      </c>
      <c r="E36" s="17" t="s">
        <v>389</v>
      </c>
    </row>
    <row r="37" spans="1:5" ht="15.75" customHeight="1">
      <c r="A37" s="423" t="s">
        <v>215</v>
      </c>
      <c r="B37" s="418" t="s">
        <v>216</v>
      </c>
      <c r="C37" s="383"/>
      <c r="D37" s="378" t="s">
        <v>792</v>
      </c>
      <c r="E37" s="17" t="s">
        <v>793</v>
      </c>
    </row>
    <row r="38" spans="1:5" ht="15.75" customHeight="1">
      <c r="A38" s="378" t="s">
        <v>594</v>
      </c>
      <c r="B38" s="348" t="s">
        <v>595</v>
      </c>
      <c r="C38" s="206"/>
      <c r="D38" s="424" t="s">
        <v>799</v>
      </c>
      <c r="E38" s="142" t="s">
        <v>800</v>
      </c>
    </row>
    <row r="39" spans="1:5" ht="15.75" customHeight="1">
      <c r="A39" s="423" t="s">
        <v>221</v>
      </c>
      <c r="B39" s="418" t="s">
        <v>222</v>
      </c>
      <c r="C39" s="380"/>
      <c r="D39" s="378" t="s">
        <v>806</v>
      </c>
      <c r="E39" s="17" t="s">
        <v>807</v>
      </c>
    </row>
  </sheetData>
  <sortState xmlns:xlrd2="http://schemas.microsoft.com/office/spreadsheetml/2017/richdata2" ref="A1:B78">
    <sortCondition ref="A1:A78"/>
  </sortState>
  <pageMargins left="0.25" right="0.25" top="0.75" bottom="0.75" header="0.3" footer="0.3"/>
  <pageSetup paperSize="3"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52783-904B-4F97-A6CC-77F90137B791}">
  <sheetPr>
    <pageSetUpPr fitToPage="1"/>
  </sheetPr>
  <dimension ref="A1:E74"/>
  <sheetViews>
    <sheetView workbookViewId="0">
      <selection activeCell="B10" sqref="B10"/>
    </sheetView>
  </sheetViews>
  <sheetFormatPr defaultColWidth="22.7109375" defaultRowHeight="16.5" customHeight="1"/>
  <cols>
    <col min="1" max="1" width="30" style="346" customWidth="1"/>
    <col min="2" max="2" width="32.28515625" style="346" customWidth="1"/>
    <col min="3" max="3" width="5" customWidth="1"/>
    <col min="4" max="4" width="29" customWidth="1"/>
    <col min="5" max="5" width="31" customWidth="1"/>
  </cols>
  <sheetData>
    <row r="1" spans="1:5" ht="16.5" customHeight="1">
      <c r="A1" s="29" t="s">
        <v>395</v>
      </c>
      <c r="B1" s="4" t="s">
        <v>396</v>
      </c>
      <c r="C1" s="380"/>
      <c r="D1" s="29" t="s">
        <v>226</v>
      </c>
      <c r="E1" s="4" t="s">
        <v>227</v>
      </c>
    </row>
    <row r="2" spans="1:5" ht="16.5" customHeight="1">
      <c r="A2" s="29" t="s">
        <v>402</v>
      </c>
      <c r="B2" s="4" t="s">
        <v>5984</v>
      </c>
      <c r="C2" s="197"/>
      <c r="D2" s="29" t="s">
        <v>226</v>
      </c>
      <c r="E2" s="4" t="s">
        <v>231</v>
      </c>
    </row>
    <row r="3" spans="1:5" ht="16.5" customHeight="1">
      <c r="A3" s="29" t="s">
        <v>402</v>
      </c>
      <c r="B3" s="4" t="s">
        <v>403</v>
      </c>
      <c r="C3" s="380"/>
      <c r="D3" s="15" t="s">
        <v>226</v>
      </c>
      <c r="E3" s="29" t="s">
        <v>600</v>
      </c>
    </row>
    <row r="4" spans="1:5" ht="16.5" customHeight="1">
      <c r="A4" s="29" t="s">
        <v>402</v>
      </c>
      <c r="B4" s="4" t="s">
        <v>409</v>
      </c>
      <c r="C4" s="381"/>
      <c r="D4" s="29" t="s">
        <v>226</v>
      </c>
      <c r="E4" s="4" t="s">
        <v>1016</v>
      </c>
    </row>
    <row r="5" spans="1:5" ht="16.5" customHeight="1">
      <c r="A5" s="29" t="s">
        <v>40</v>
      </c>
      <c r="B5" s="4" t="s">
        <v>46</v>
      </c>
      <c r="C5" s="381"/>
      <c r="D5" s="29" t="s">
        <v>226</v>
      </c>
      <c r="E5" s="4" t="s">
        <v>1021</v>
      </c>
    </row>
    <row r="6" spans="1:5" ht="16.5" customHeight="1">
      <c r="A6" s="29" t="s">
        <v>60</v>
      </c>
      <c r="B6" s="4" t="s">
        <v>61</v>
      </c>
      <c r="C6" s="381"/>
      <c r="D6" s="29" t="s">
        <v>618</v>
      </c>
      <c r="E6" s="4" t="s">
        <v>619</v>
      </c>
    </row>
    <row r="7" spans="1:5" ht="16.5" customHeight="1">
      <c r="A7" s="15" t="s">
        <v>818</v>
      </c>
      <c r="B7" s="4" t="s">
        <v>819</v>
      </c>
      <c r="C7" s="381"/>
      <c r="D7" s="29" t="s">
        <v>236</v>
      </c>
      <c r="E7" s="4" t="s">
        <v>247</v>
      </c>
    </row>
    <row r="8" spans="1:5" ht="16.5" customHeight="1">
      <c r="A8" s="29" t="s">
        <v>412</v>
      </c>
      <c r="B8" s="4" t="s">
        <v>419</v>
      </c>
      <c r="C8" s="206"/>
      <c r="D8" s="29" t="s">
        <v>236</v>
      </c>
      <c r="E8" s="4" t="s">
        <v>242</v>
      </c>
    </row>
    <row r="9" spans="1:5" ht="16.5" customHeight="1">
      <c r="A9" s="29" t="s">
        <v>412</v>
      </c>
      <c r="B9" s="4" t="s">
        <v>835</v>
      </c>
      <c r="C9" s="382"/>
      <c r="D9" s="102" t="s">
        <v>236</v>
      </c>
      <c r="E9" s="17" t="s">
        <v>624</v>
      </c>
    </row>
    <row r="10" spans="1:5" ht="16.5" customHeight="1">
      <c r="A10" s="15" t="s">
        <v>424</v>
      </c>
      <c r="B10" s="29" t="s">
        <v>425</v>
      </c>
      <c r="C10" s="382"/>
      <c r="D10" s="29" t="s">
        <v>236</v>
      </c>
      <c r="E10" s="4" t="s">
        <v>634</v>
      </c>
    </row>
    <row r="11" spans="1:5" ht="16.5" customHeight="1">
      <c r="A11" s="29" t="s">
        <v>841</v>
      </c>
      <c r="B11" s="4" t="s">
        <v>842</v>
      </c>
      <c r="C11" s="381"/>
      <c r="D11" s="29" t="s">
        <v>236</v>
      </c>
      <c r="E11" s="4" t="s">
        <v>643</v>
      </c>
    </row>
    <row r="12" spans="1:5" ht="16.5" customHeight="1">
      <c r="A12" s="15" t="s">
        <v>72</v>
      </c>
      <c r="B12" s="29" t="s">
        <v>73</v>
      </c>
      <c r="C12" s="380"/>
      <c r="D12" s="15" t="s">
        <v>236</v>
      </c>
      <c r="E12" s="29" t="s">
        <v>1025</v>
      </c>
    </row>
    <row r="13" spans="1:5" ht="16.5" customHeight="1">
      <c r="A13" s="29" t="s">
        <v>858</v>
      </c>
      <c r="B13" s="4" t="s">
        <v>859</v>
      </c>
      <c r="C13" s="382"/>
      <c r="D13" s="29" t="s">
        <v>236</v>
      </c>
      <c r="E13" s="4" t="s">
        <v>1030</v>
      </c>
    </row>
    <row r="14" spans="1:5" ht="16.5" customHeight="1">
      <c r="A14" s="15" t="s">
        <v>864</v>
      </c>
      <c r="B14" s="4" t="s">
        <v>865</v>
      </c>
      <c r="C14" s="380"/>
      <c r="D14" s="29" t="s">
        <v>236</v>
      </c>
      <c r="E14" s="4" t="s">
        <v>237</v>
      </c>
    </row>
    <row r="15" spans="1:5" ht="16.5" customHeight="1">
      <c r="A15" s="15" t="s">
        <v>87</v>
      </c>
      <c r="B15" s="4" t="s">
        <v>444</v>
      </c>
      <c r="C15" s="383"/>
      <c r="D15" s="70" t="s">
        <v>1040</v>
      </c>
      <c r="E15" s="4" t="s">
        <v>1041</v>
      </c>
    </row>
    <row r="16" spans="1:5" ht="16.5" customHeight="1">
      <c r="A16" s="29" t="s">
        <v>93</v>
      </c>
      <c r="B16" s="4" t="s">
        <v>100</v>
      </c>
      <c r="C16" s="381"/>
      <c r="D16" s="29" t="s">
        <v>252</v>
      </c>
      <c r="E16" s="4" t="s">
        <v>5993</v>
      </c>
    </row>
    <row r="17" spans="1:5" ht="16.5" customHeight="1">
      <c r="A17" s="29" t="s">
        <v>93</v>
      </c>
      <c r="B17" s="4" t="s">
        <v>94</v>
      </c>
      <c r="C17" s="381"/>
      <c r="D17" s="15" t="s">
        <v>5745</v>
      </c>
      <c r="E17" s="4" t="s">
        <v>6032</v>
      </c>
    </row>
    <row r="18" spans="1:5" ht="16.5" customHeight="1">
      <c r="A18" s="29" t="s">
        <v>93</v>
      </c>
      <c r="B18" s="4" t="s">
        <v>451</v>
      </c>
      <c r="C18" s="381"/>
      <c r="D18" s="29" t="s">
        <v>258</v>
      </c>
      <c r="E18" s="4" t="s">
        <v>259</v>
      </c>
    </row>
    <row r="19" spans="1:5" ht="16.5" customHeight="1">
      <c r="A19" s="15" t="s">
        <v>111</v>
      </c>
      <c r="B19" s="4" t="s">
        <v>112</v>
      </c>
      <c r="C19" s="381"/>
      <c r="D19" s="70" t="s">
        <v>258</v>
      </c>
      <c r="E19" s="4" t="s">
        <v>652</v>
      </c>
    </row>
    <row r="20" spans="1:5" ht="16.5" customHeight="1">
      <c r="A20" s="29" t="s">
        <v>111</v>
      </c>
      <c r="B20" s="4" t="s">
        <v>5974</v>
      </c>
      <c r="C20" s="381"/>
      <c r="D20" s="29" t="s">
        <v>258</v>
      </c>
      <c r="E20" s="4" t="s">
        <v>657</v>
      </c>
    </row>
    <row r="21" spans="1:5" ht="16.5" customHeight="1">
      <c r="A21" s="15" t="s">
        <v>461</v>
      </c>
      <c r="B21" s="29" t="s">
        <v>462</v>
      </c>
      <c r="C21" s="380"/>
      <c r="D21" s="29" t="s">
        <v>258</v>
      </c>
      <c r="E21" s="4" t="s">
        <v>5977</v>
      </c>
    </row>
    <row r="22" spans="1:5" ht="16.5" customHeight="1">
      <c r="A22" s="29" t="s">
        <v>126</v>
      </c>
      <c r="B22" s="4" t="s">
        <v>127</v>
      </c>
      <c r="C22" s="380"/>
      <c r="D22" s="70" t="s">
        <v>258</v>
      </c>
      <c r="E22" s="4" t="s">
        <v>662</v>
      </c>
    </row>
    <row r="23" spans="1:5" ht="16.5" customHeight="1">
      <c r="A23" s="29" t="s">
        <v>126</v>
      </c>
      <c r="B23" s="4" t="s">
        <v>473</v>
      </c>
      <c r="C23" s="381"/>
      <c r="D23" s="29" t="s">
        <v>258</v>
      </c>
      <c r="E23" s="4" t="s">
        <v>667</v>
      </c>
    </row>
    <row r="24" spans="1:5" ht="16.5" customHeight="1">
      <c r="A24" s="29" t="s">
        <v>126</v>
      </c>
      <c r="B24" s="4" t="s">
        <v>877</v>
      </c>
      <c r="C24" s="383"/>
      <c r="D24" s="15" t="s">
        <v>672</v>
      </c>
      <c r="E24" s="4" t="s">
        <v>673</v>
      </c>
    </row>
    <row r="25" spans="1:5" ht="16.5" customHeight="1">
      <c r="A25" s="29" t="s">
        <v>478</v>
      </c>
      <c r="B25" s="4" t="s">
        <v>479</v>
      </c>
      <c r="C25" s="383"/>
      <c r="D25" s="29" t="s">
        <v>270</v>
      </c>
      <c r="E25" s="4" t="s">
        <v>271</v>
      </c>
    </row>
    <row r="26" spans="1:5" ht="16.5" customHeight="1">
      <c r="A26" s="29" t="s">
        <v>478</v>
      </c>
      <c r="B26" s="4" t="s">
        <v>485</v>
      </c>
      <c r="C26" s="383"/>
      <c r="D26" s="141" t="s">
        <v>1059</v>
      </c>
      <c r="E26" s="17" t="s">
        <v>1060</v>
      </c>
    </row>
    <row r="27" spans="1:5" ht="16.5" customHeight="1">
      <c r="A27" s="29" t="s">
        <v>478</v>
      </c>
      <c r="B27" s="4" t="s">
        <v>882</v>
      </c>
      <c r="C27" s="206"/>
      <c r="D27" s="29" t="s">
        <v>276</v>
      </c>
      <c r="E27" s="4" t="s">
        <v>277</v>
      </c>
    </row>
    <row r="28" spans="1:5" ht="16.5" customHeight="1">
      <c r="A28" s="29" t="s">
        <v>478</v>
      </c>
      <c r="B28" s="4" t="s">
        <v>887</v>
      </c>
      <c r="C28" s="380"/>
      <c r="D28" s="141" t="s">
        <v>276</v>
      </c>
      <c r="E28" s="102" t="s">
        <v>679</v>
      </c>
    </row>
    <row r="29" spans="1:5" ht="16.5" customHeight="1">
      <c r="A29" s="29" t="s">
        <v>478</v>
      </c>
      <c r="B29" s="4" t="s">
        <v>892</v>
      </c>
      <c r="C29" s="383"/>
      <c r="D29" s="70" t="s">
        <v>1065</v>
      </c>
      <c r="E29" s="56" t="s">
        <v>1066</v>
      </c>
    </row>
    <row r="30" spans="1:5" ht="16.5" customHeight="1">
      <c r="A30" s="29" t="s">
        <v>490</v>
      </c>
      <c r="B30" s="4" t="s">
        <v>491</v>
      </c>
      <c r="C30" s="383"/>
      <c r="D30" s="29" t="s">
        <v>1084</v>
      </c>
      <c r="E30" s="4" t="s">
        <v>1085</v>
      </c>
    </row>
    <row r="31" spans="1:5" ht="16.5" customHeight="1">
      <c r="A31" s="29" t="s">
        <v>898</v>
      </c>
      <c r="B31" s="4" t="s">
        <v>899</v>
      </c>
      <c r="C31" s="383"/>
      <c r="D31" s="29" t="s">
        <v>1090</v>
      </c>
      <c r="E31" s="4" t="s">
        <v>1091</v>
      </c>
    </row>
    <row r="32" spans="1:5" ht="16.5" customHeight="1">
      <c r="A32" s="29" t="s">
        <v>139</v>
      </c>
      <c r="B32" s="4" t="s">
        <v>140</v>
      </c>
      <c r="C32" s="380"/>
      <c r="D32" s="29" t="s">
        <v>1096</v>
      </c>
      <c r="E32" s="4" t="s">
        <v>1097</v>
      </c>
    </row>
    <row r="33" spans="1:5" ht="16.5" customHeight="1">
      <c r="A33" s="29" t="s">
        <v>139</v>
      </c>
      <c r="B33" s="4" t="s">
        <v>496</v>
      </c>
      <c r="C33" s="383"/>
      <c r="D33" s="29" t="s">
        <v>302</v>
      </c>
      <c r="E33" s="4" t="s">
        <v>303</v>
      </c>
    </row>
    <row r="34" spans="1:5" ht="16.5" customHeight="1">
      <c r="A34" s="29" t="s">
        <v>139</v>
      </c>
      <c r="B34" s="4" t="s">
        <v>500</v>
      </c>
      <c r="C34" s="380"/>
      <c r="D34" s="29" t="s">
        <v>1102</v>
      </c>
      <c r="E34" s="4" t="s">
        <v>1103</v>
      </c>
    </row>
    <row r="35" spans="1:5" ht="16.5" customHeight="1">
      <c r="A35" s="29" t="s">
        <v>144</v>
      </c>
      <c r="B35" s="4" t="s">
        <v>145</v>
      </c>
      <c r="C35" s="382"/>
      <c r="D35" s="29" t="s">
        <v>690</v>
      </c>
      <c r="E35" s="4" t="s">
        <v>691</v>
      </c>
    </row>
    <row r="36" spans="1:5" ht="16.5" customHeight="1">
      <c r="A36" s="15" t="s">
        <v>150</v>
      </c>
      <c r="B36" s="29" t="s">
        <v>151</v>
      </c>
      <c r="C36" s="380"/>
      <c r="D36" s="15" t="s">
        <v>1116</v>
      </c>
      <c r="E36" s="4" t="s">
        <v>1117</v>
      </c>
    </row>
    <row r="37" spans="1:5" ht="16.5" customHeight="1">
      <c r="A37" s="29" t="s">
        <v>907</v>
      </c>
      <c r="B37" s="4" t="s">
        <v>914</v>
      </c>
      <c r="C37" s="383"/>
      <c r="D37" s="15" t="s">
        <v>308</v>
      </c>
      <c r="E37" s="4" t="s">
        <v>309</v>
      </c>
    </row>
    <row r="38" spans="1:5" ht="16.5" customHeight="1">
      <c r="A38" s="29" t="s">
        <v>907</v>
      </c>
      <c r="B38" s="4" t="s">
        <v>920</v>
      </c>
      <c r="C38" s="382"/>
      <c r="D38" s="134" t="s">
        <v>308</v>
      </c>
      <c r="E38" s="378" t="s">
        <v>315</v>
      </c>
    </row>
    <row r="39" spans="1:5" ht="16.5" customHeight="1">
      <c r="A39" s="15" t="s">
        <v>157</v>
      </c>
      <c r="B39" s="29" t="s">
        <v>158</v>
      </c>
      <c r="C39" s="381"/>
      <c r="D39" s="376" t="s">
        <v>308</v>
      </c>
      <c r="E39" s="348" t="s">
        <v>319</v>
      </c>
    </row>
    <row r="40" spans="1:5" ht="16.5" customHeight="1">
      <c r="A40" s="29" t="s">
        <v>514</v>
      </c>
      <c r="B40" s="4" t="s">
        <v>515</v>
      </c>
      <c r="C40" s="381"/>
      <c r="D40" s="29" t="s">
        <v>323</v>
      </c>
      <c r="E40" s="4" t="s">
        <v>329</v>
      </c>
    </row>
    <row r="41" spans="1:5" ht="16.5" customHeight="1">
      <c r="A41" s="29" t="s">
        <v>951</v>
      </c>
      <c r="B41" s="4" t="s">
        <v>952</v>
      </c>
      <c r="C41" s="382"/>
      <c r="D41" s="29" t="s">
        <v>323</v>
      </c>
      <c r="E41" s="4" t="s">
        <v>324</v>
      </c>
    </row>
    <row r="42" spans="1:5" ht="16.5" customHeight="1">
      <c r="A42" s="70" t="s">
        <v>168</v>
      </c>
      <c r="B42" s="4" t="s">
        <v>169</v>
      </c>
      <c r="C42" s="381"/>
      <c r="D42" s="29" t="s">
        <v>323</v>
      </c>
      <c r="E42" s="4" t="s">
        <v>696</v>
      </c>
    </row>
    <row r="43" spans="1:5" ht="16.5" customHeight="1">
      <c r="A43" s="29" t="s">
        <v>168</v>
      </c>
      <c r="B43" s="4" t="s">
        <v>957</v>
      </c>
      <c r="C43" s="380"/>
      <c r="D43" s="29" t="s">
        <v>1122</v>
      </c>
      <c r="E43" s="4" t="s">
        <v>1123</v>
      </c>
    </row>
    <row r="44" spans="1:5" ht="16.5" customHeight="1">
      <c r="A44" s="29" t="s">
        <v>168</v>
      </c>
      <c r="B44" s="4" t="s">
        <v>962</v>
      </c>
      <c r="C44" s="381"/>
      <c r="D44" s="15" t="s">
        <v>701</v>
      </c>
      <c r="E44" s="29" t="s">
        <v>702</v>
      </c>
    </row>
    <row r="45" spans="1:5" ht="16.5" customHeight="1">
      <c r="A45" s="29" t="s">
        <v>168</v>
      </c>
      <c r="B45" s="4" t="s">
        <v>967</v>
      </c>
      <c r="C45" s="383"/>
      <c r="D45" s="102" t="s">
        <v>1145</v>
      </c>
      <c r="E45" s="17" t="s">
        <v>1146</v>
      </c>
    </row>
    <row r="46" spans="1:5" ht="16.5" customHeight="1">
      <c r="A46" s="29" t="s">
        <v>977</v>
      </c>
      <c r="B46" s="4" t="s">
        <v>978</v>
      </c>
      <c r="C46" s="381"/>
      <c r="D46" s="29" t="s">
        <v>727</v>
      </c>
      <c r="E46" s="4" t="s">
        <v>728</v>
      </c>
    </row>
    <row r="47" spans="1:5" ht="16.5" customHeight="1">
      <c r="A47" s="29" t="s">
        <v>541</v>
      </c>
      <c r="B47" s="4" t="s">
        <v>542</v>
      </c>
      <c r="C47" s="380"/>
      <c r="D47" s="29" t="s">
        <v>351</v>
      </c>
      <c r="E47" s="4" t="s">
        <v>352</v>
      </c>
    </row>
    <row r="48" spans="1:5" ht="16.5" customHeight="1">
      <c r="A48" s="29" t="s">
        <v>547</v>
      </c>
      <c r="B48" s="4" t="s">
        <v>548</v>
      </c>
      <c r="C48" s="380"/>
      <c r="D48" s="29" t="s">
        <v>351</v>
      </c>
      <c r="E48" s="4" t="s">
        <v>738</v>
      </c>
    </row>
    <row r="49" spans="1:5" ht="16.5" customHeight="1">
      <c r="A49" s="323" t="s">
        <v>547</v>
      </c>
      <c r="B49" s="323" t="s">
        <v>553</v>
      </c>
      <c r="C49" s="380"/>
      <c r="D49" s="392" t="s">
        <v>1169</v>
      </c>
      <c r="E49" s="369" t="s">
        <v>1170</v>
      </c>
    </row>
    <row r="50" spans="1:5" ht="16.5" customHeight="1">
      <c r="A50" s="15" t="s">
        <v>559</v>
      </c>
      <c r="B50" s="4" t="s">
        <v>560</v>
      </c>
      <c r="C50" s="383"/>
      <c r="D50" s="323" t="s">
        <v>4622</v>
      </c>
      <c r="E50" s="323" t="s">
        <v>6003</v>
      </c>
    </row>
    <row r="51" spans="1:5" ht="16.5" customHeight="1">
      <c r="A51" s="15" t="s">
        <v>559</v>
      </c>
      <c r="B51" s="29" t="s">
        <v>6015</v>
      </c>
      <c r="C51" s="383"/>
      <c r="D51" s="15" t="s">
        <v>1174</v>
      </c>
      <c r="E51" s="350" t="s">
        <v>1180</v>
      </c>
    </row>
    <row r="52" spans="1:5" ht="16.5" customHeight="1">
      <c r="A52" s="70" t="s">
        <v>559</v>
      </c>
      <c r="B52" s="56" t="s">
        <v>6010</v>
      </c>
      <c r="C52" s="206"/>
      <c r="D52" s="15" t="s">
        <v>1174</v>
      </c>
      <c r="E52" s="4" t="s">
        <v>1175</v>
      </c>
    </row>
    <row r="53" spans="1:5" ht="16.5" customHeight="1">
      <c r="A53" s="70" t="s">
        <v>559</v>
      </c>
      <c r="B53" s="4" t="s">
        <v>983</v>
      </c>
      <c r="C53" s="380"/>
      <c r="D53" s="29" t="s">
        <v>357</v>
      </c>
      <c r="E53" t="s">
        <v>358</v>
      </c>
    </row>
    <row r="54" spans="1:5" ht="16.5" customHeight="1">
      <c r="A54" s="29" t="s">
        <v>175</v>
      </c>
      <c r="B54" s="4" t="s">
        <v>176</v>
      </c>
      <c r="C54" s="380"/>
      <c r="D54" s="15" t="s">
        <v>768</v>
      </c>
      <c r="E54" s="4" t="s">
        <v>769</v>
      </c>
    </row>
    <row r="55" spans="1:5" ht="16.5" customHeight="1">
      <c r="A55" s="15" t="s">
        <v>989</v>
      </c>
      <c r="B55" s="29" t="s">
        <v>6005</v>
      </c>
      <c r="C55" s="382"/>
      <c r="D55" s="29" t="s">
        <v>1185</v>
      </c>
      <c r="E55" s="4" t="s">
        <v>1186</v>
      </c>
    </row>
    <row r="56" spans="1:5" ht="16.5" customHeight="1">
      <c r="A56" s="29" t="s">
        <v>989</v>
      </c>
      <c r="B56" s="4" t="s">
        <v>990</v>
      </c>
      <c r="C56" s="383"/>
      <c r="D56" s="29" t="s">
        <v>1185</v>
      </c>
      <c r="E56" s="4" t="s">
        <v>1197</v>
      </c>
    </row>
    <row r="57" spans="1:5" ht="16.5" customHeight="1">
      <c r="A57" s="29" t="s">
        <v>989</v>
      </c>
      <c r="B57" s="4" t="s">
        <v>995</v>
      </c>
      <c r="C57" s="380"/>
      <c r="D57" s="29" t="s">
        <v>1185</v>
      </c>
      <c r="E57" s="4" t="s">
        <v>1202</v>
      </c>
    </row>
    <row r="58" spans="1:5" ht="16.5" customHeight="1">
      <c r="A58" s="15" t="s">
        <v>565</v>
      </c>
      <c r="B58" s="29" t="s">
        <v>566</v>
      </c>
      <c r="C58" s="206"/>
      <c r="D58" s="29" t="s">
        <v>1185</v>
      </c>
      <c r="E58" s="4" t="s">
        <v>1203</v>
      </c>
    </row>
    <row r="59" spans="1:5" ht="16.5" customHeight="1">
      <c r="A59" s="29" t="s">
        <v>571</v>
      </c>
      <c r="B59" s="4" t="s">
        <v>572</v>
      </c>
      <c r="C59" s="380"/>
      <c r="D59" s="15" t="s">
        <v>775</v>
      </c>
      <c r="E59" s="4" t="s">
        <v>1208</v>
      </c>
    </row>
    <row r="60" spans="1:5" ht="16.5" customHeight="1">
      <c r="A60" s="15" t="s">
        <v>182</v>
      </c>
      <c r="B60" s="29" t="s">
        <v>183</v>
      </c>
      <c r="C60" s="381"/>
      <c r="D60" s="29" t="s">
        <v>781</v>
      </c>
      <c r="E60" s="4" t="s">
        <v>782</v>
      </c>
    </row>
    <row r="61" spans="1:5" ht="16.5" customHeight="1">
      <c r="A61" s="15" t="s">
        <v>182</v>
      </c>
      <c r="B61" s="4" t="s">
        <v>188</v>
      </c>
      <c r="C61" s="380"/>
      <c r="D61" s="29" t="s">
        <v>781</v>
      </c>
      <c r="E61" s="4" t="s">
        <v>787</v>
      </c>
    </row>
    <row r="62" spans="1:5" ht="16.5" customHeight="1">
      <c r="A62" s="15" t="s">
        <v>577</v>
      </c>
      <c r="B62" s="29" t="s">
        <v>578</v>
      </c>
      <c r="C62" s="383"/>
      <c r="D62" s="29" t="s">
        <v>1213</v>
      </c>
      <c r="E62" s="107" t="s">
        <v>1219</v>
      </c>
    </row>
    <row r="63" spans="1:5" ht="16.5" customHeight="1">
      <c r="A63" s="29" t="s">
        <v>194</v>
      </c>
      <c r="B63" s="4" t="s">
        <v>584</v>
      </c>
      <c r="C63" s="383"/>
      <c r="D63" s="390" t="s">
        <v>372</v>
      </c>
      <c r="E63" s="348" t="s">
        <v>373</v>
      </c>
    </row>
    <row r="64" spans="1:5" ht="16.5" customHeight="1">
      <c r="A64" s="391" t="s">
        <v>2329</v>
      </c>
      <c r="B64" s="4" t="s">
        <v>5998</v>
      </c>
      <c r="C64" s="383"/>
      <c r="D64" s="29" t="s">
        <v>372</v>
      </c>
      <c r="E64" s="350" t="s">
        <v>378</v>
      </c>
    </row>
    <row r="65" spans="1:5" ht="16.5" customHeight="1">
      <c r="A65" s="144" t="s">
        <v>1010</v>
      </c>
      <c r="B65" s="107" t="s">
        <v>1011</v>
      </c>
      <c r="C65" s="380"/>
      <c r="D65" s="118" t="s">
        <v>372</v>
      </c>
      <c r="E65" s="4" t="s">
        <v>384</v>
      </c>
    </row>
    <row r="66" spans="1:5" ht="16.5" customHeight="1">
      <c r="A66" s="431"/>
      <c r="B66" s="431"/>
      <c r="C66" s="383"/>
      <c r="D66" s="233" t="s">
        <v>372</v>
      </c>
      <c r="E66" s="29" t="s">
        <v>6019</v>
      </c>
    </row>
    <row r="67" spans="1:5" ht="16.5" customHeight="1">
      <c r="C67" s="380"/>
    </row>
    <row r="68" spans="1:5" ht="16.5" customHeight="1">
      <c r="C68" s="380"/>
    </row>
    <row r="69" spans="1:5" ht="16.5" customHeight="1">
      <c r="C69" s="380"/>
    </row>
    <row r="70" spans="1:5" ht="16.5" customHeight="1">
      <c r="C70" s="383"/>
    </row>
    <row r="71" spans="1:5" ht="16.5" customHeight="1">
      <c r="C71" s="384"/>
    </row>
    <row r="72" spans="1:5" ht="16.5" customHeight="1">
      <c r="C72" s="383"/>
    </row>
    <row r="73" spans="1:5" ht="16.5" customHeight="1">
      <c r="C73" s="383"/>
    </row>
    <row r="74" spans="1:5" ht="16.5" customHeight="1">
      <c r="C74" s="383"/>
    </row>
  </sheetData>
  <sortState xmlns:xlrd2="http://schemas.microsoft.com/office/spreadsheetml/2017/richdata2" ref="A1:B74">
    <sortCondition ref="A1:A74"/>
  </sortState>
  <pageMargins left="0.25" right="0.25" top="0.75" bottom="0.75" header="0.3" footer="0.3"/>
  <pageSetup paperSize="3"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4cba2f-a9f2-447d-9036-41102d09ce07" xsi:nil="true"/>
    <lcf76f155ced4ddcb4097134ff3c332f xmlns="d3bba364-9819-4bb3-b122-f81a0a9699c1">
      <Terms xmlns="http://schemas.microsoft.com/office/infopath/2007/PartnerControls"/>
    </lcf76f155ced4ddcb4097134ff3c332f>
    <ContractorName xmlns="d3bba364-9819-4bb3-b122-f81a0a9699c1" xsi:nil="true"/>
    <Location2 xmlns="d3bba364-9819-4bb3-b122-f81a0a9699c1" xsi:nil="true"/>
    <ProjectName xmlns="d3bba364-9819-4bb3-b122-f81a0a9699c1" xsi:nil="true"/>
    <EstimateID xmlns="d3bba364-9819-4bb3-b122-f81a0a9699c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1733393CBFFF48A5393EF64F6E6E40" ma:contentTypeVersion="25" ma:contentTypeDescription="Create a new document." ma:contentTypeScope="" ma:versionID="a08f0fa373aefddbb6505bbf5302800b">
  <xsd:schema xmlns:xsd="http://www.w3.org/2001/XMLSchema" xmlns:xs="http://www.w3.org/2001/XMLSchema" xmlns:p="http://schemas.microsoft.com/office/2006/metadata/properties" xmlns:ns2="d3bba364-9819-4bb3-b122-f81a0a9699c1" xmlns:ns3="af4cba2f-a9f2-447d-9036-41102d09ce07" targetNamespace="http://schemas.microsoft.com/office/2006/metadata/properties" ma:root="true" ma:fieldsID="ba4c8d7bffc2ed666cab5a17dbb8578c" ns2:_="" ns3:_="">
    <xsd:import namespace="d3bba364-9819-4bb3-b122-f81a0a9699c1"/>
    <xsd:import namespace="af4cba2f-a9f2-447d-9036-41102d09ce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ocation2" minOccurs="0"/>
                <xsd:element ref="ns2:ProjectName" minOccurs="0"/>
                <xsd:element ref="ns2:ContractorName" minOccurs="0"/>
                <xsd:element ref="ns2:Estimat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ba364-9819-4bb3-b122-f81a0a9699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5a85233-7211-4a87-ab21-86bfc8bb1d6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ocation2" ma:index="21" nillable="true" ma:displayName="Project Address" ma:format="Dropdown" ma:internalName="Location2">
      <xsd:simpleType>
        <xsd:restriction base="dms:Text">
          <xsd:maxLength value="255"/>
        </xsd:restriction>
      </xsd:simpleType>
    </xsd:element>
    <xsd:element name="ProjectName" ma:index="22" nillable="true" ma:displayName="Project Name" ma:format="Dropdown" ma:internalName="ProjectName">
      <xsd:simpleType>
        <xsd:restriction base="dms:Text">
          <xsd:maxLength value="255"/>
        </xsd:restriction>
      </xsd:simpleType>
    </xsd:element>
    <xsd:element name="ContractorName" ma:index="23" nillable="true" ma:displayName="Contractor Name" ma:format="Dropdown" ma:internalName="ContractorName">
      <xsd:simpleType>
        <xsd:restriction base="dms:Text">
          <xsd:maxLength value="255"/>
        </xsd:restriction>
      </xsd:simpleType>
    </xsd:element>
    <xsd:element name="EstimateID" ma:index="24" nillable="true" ma:displayName="Estimate ID" ma:format="Dropdown" ma:internalName="Estimate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4cba2f-a9f2-447d-9036-41102d09ce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af301b-9613-4ceb-afbf-bd0da5914f4b}" ma:internalName="TaxCatchAll" ma:showField="CatchAllData" ma:web="af4cba2f-a9f2-447d-9036-41102d09ce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D4AE57-08C1-4D63-A7CE-1F8D421CCF8A}"/>
</file>

<file path=customXml/itemProps2.xml><?xml version="1.0" encoding="utf-8"?>
<ds:datastoreItem xmlns:ds="http://schemas.openxmlformats.org/officeDocument/2006/customXml" ds:itemID="{989D0C13-6E80-4FD4-B302-AF726C7DDF48}"/>
</file>

<file path=customXml/itemProps3.xml><?xml version="1.0" encoding="utf-8"?>
<ds:datastoreItem xmlns:ds="http://schemas.openxmlformats.org/officeDocument/2006/customXml" ds:itemID="{C286C0BB-15AC-42C6-AEAA-89000D97C6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 Kennedy</dc:creator>
  <cp:keywords/>
  <dc:description/>
  <cp:lastModifiedBy>James Neal</cp:lastModifiedBy>
  <cp:revision/>
  <dcterms:created xsi:type="dcterms:W3CDTF">2013-12-12T19:21:29Z</dcterms:created>
  <dcterms:modified xsi:type="dcterms:W3CDTF">2025-12-31T21:18:10Z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0x0101004B1733393CBFFF48A5393EF64F6E6E40</vt:lpwstr>
  </property>
  <property fmtid="{D5CDD505-2E9C-101B-9397-08002B2CF9AE}" pid="3" name="Order">
    <vt:r8>5367200</vt:r8>
  </property>
  <property fmtid="{D5CDD505-2E9C-101B-9397-08002B2CF9AE}" pid="4" name="MediaServiceImageTags">
    <vt:lpwstr/>
  </property>
</Properties>
</file>